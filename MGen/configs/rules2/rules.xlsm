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6"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<sst xmlns="http://schemas.openxmlformats.org/spreadsheetml/2006/main" count="4254" uniqueCount="959">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</sst>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2">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1" xfId="0" applyFont="1" applyBorder="1" applyAlignment="1">
      <alignment horizontal="center" vertical="center" textRotation="90"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6"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2" activePane="bottomLeft" state="frozen"/>
      <selection activeCell="C37" sqref="C37"/>
      <selection pane="bottomLeft" activeCell="C10" sqref="C10"/>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939</v>
      </c>
      <c r="F1" s="107" t="s">
        <v>30</v>
      </c>
      <c r="G1" s="108"/>
      <c r="H1" s="108"/>
      <c r="I1" s="108"/>
      <c r="J1" s="108"/>
      <c r="K1" s="108"/>
      <c r="L1" s="108"/>
      <c r="M1" s="109"/>
      <c r="N1" s="53"/>
      <c r="O1" s="54" t="s">
        <v>15</v>
      </c>
      <c r="P1" s="55"/>
      <c r="Q1" s="54" t="s">
        <v>47</v>
      </c>
    </row>
    <row r="2" spans="1:25" ht="12.75" customHeight="1" x14ac:dyDescent="0.2">
      <c r="A2" s="97" t="s">
        <v>31</v>
      </c>
      <c r="B2" s="94" t="s">
        <v>317</v>
      </c>
      <c r="C2" s="19" t="s">
        <v>843</v>
      </c>
      <c r="D2" s="3"/>
      <c r="E2" s="3"/>
      <c r="F2" s="46" t="s">
        <v>858</v>
      </c>
      <c r="G2" s="46" t="s">
        <v>856</v>
      </c>
      <c r="H2" s="46" t="s">
        <v>170</v>
      </c>
      <c r="I2" s="3"/>
      <c r="J2" s="3"/>
      <c r="K2" s="3"/>
      <c r="L2" s="3"/>
      <c r="M2" s="3"/>
      <c r="N2" s="10"/>
      <c r="O2" s="18" t="s">
        <v>531</v>
      </c>
      <c r="Q2" s="2">
        <v>49</v>
      </c>
      <c r="R2" s="2">
        <v>90</v>
      </c>
      <c r="S2" s="2">
        <v>33</v>
      </c>
    </row>
    <row r="3" spans="1:25" x14ac:dyDescent="0.2">
      <c r="A3" s="98"/>
      <c r="B3" s="95"/>
      <c r="C3" s="19" t="s">
        <v>48</v>
      </c>
      <c r="D3" s="3"/>
      <c r="E3" s="3"/>
      <c r="F3" s="17" t="s">
        <v>301</v>
      </c>
      <c r="G3" s="17" t="s">
        <v>734</v>
      </c>
      <c r="H3" s="3"/>
      <c r="I3" s="3"/>
      <c r="J3" s="3"/>
      <c r="K3" s="3"/>
      <c r="L3" s="3"/>
      <c r="M3" s="3"/>
      <c r="N3" s="4"/>
      <c r="O3" s="18" t="s">
        <v>531</v>
      </c>
      <c r="Q3" s="2">
        <v>14</v>
      </c>
      <c r="R3" s="2">
        <v>34</v>
      </c>
    </row>
    <row r="4" spans="1:25" x14ac:dyDescent="0.2">
      <c r="A4" s="98"/>
      <c r="B4" s="95"/>
      <c r="C4" s="19" t="s">
        <v>49</v>
      </c>
      <c r="D4" s="3"/>
      <c r="E4" s="3"/>
      <c r="F4" s="17" t="s">
        <v>300</v>
      </c>
      <c r="G4" s="17" t="s">
        <v>672</v>
      </c>
      <c r="H4" s="3"/>
      <c r="I4" s="3"/>
      <c r="J4" s="3"/>
      <c r="K4" s="3"/>
      <c r="L4" s="3"/>
      <c r="M4" s="3"/>
      <c r="N4" s="38"/>
      <c r="O4" s="18" t="s">
        <v>531</v>
      </c>
      <c r="Q4" s="2">
        <v>51</v>
      </c>
      <c r="R4" s="2">
        <v>13</v>
      </c>
    </row>
    <row r="5" spans="1:25" x14ac:dyDescent="0.2">
      <c r="A5" s="98"/>
      <c r="B5" s="95"/>
      <c r="C5" s="19" t="s">
        <v>842</v>
      </c>
      <c r="D5" s="3"/>
      <c r="E5" s="3"/>
      <c r="F5" s="46" t="s">
        <v>299</v>
      </c>
      <c r="G5" s="3"/>
      <c r="H5" s="3"/>
      <c r="I5" s="3"/>
      <c r="J5" s="3"/>
      <c r="K5" s="3"/>
      <c r="L5" s="3"/>
      <c r="M5" s="3"/>
      <c r="N5" s="13"/>
      <c r="O5" s="18" t="s">
        <v>531</v>
      </c>
      <c r="Q5" s="22">
        <v>50</v>
      </c>
      <c r="R5" s="2"/>
      <c r="S5" s="22"/>
    </row>
    <row r="6" spans="1:25" ht="13.5" customHeight="1" x14ac:dyDescent="0.2">
      <c r="A6" s="99"/>
      <c r="B6" s="96"/>
      <c r="C6" s="19" t="s">
        <v>841</v>
      </c>
      <c r="D6" s="3"/>
      <c r="E6" s="3"/>
      <c r="F6" s="47" t="s">
        <v>323</v>
      </c>
      <c r="G6" s="47" t="s">
        <v>322</v>
      </c>
      <c r="H6" s="3"/>
      <c r="I6" s="3"/>
      <c r="J6" s="3"/>
      <c r="K6" s="3"/>
      <c r="L6" s="3"/>
      <c r="M6" s="3"/>
      <c r="N6" s="38"/>
      <c r="O6" s="18"/>
      <c r="Q6" s="2">
        <v>52</v>
      </c>
      <c r="R6" s="2">
        <v>87</v>
      </c>
    </row>
    <row r="7" spans="1:25" ht="15.95" customHeight="1" x14ac:dyDescent="0.2">
      <c r="A7" s="97" t="s">
        <v>29</v>
      </c>
      <c r="B7" s="103" t="s">
        <v>56</v>
      </c>
      <c r="C7" s="19" t="s">
        <v>921</v>
      </c>
      <c r="D7" s="3"/>
      <c r="E7" s="3"/>
      <c r="F7" s="17" t="s">
        <v>2</v>
      </c>
      <c r="G7" s="17" t="s">
        <v>3</v>
      </c>
      <c r="H7" s="17" t="s">
        <v>4</v>
      </c>
      <c r="I7" s="17" t="s">
        <v>36</v>
      </c>
      <c r="J7" s="82" t="s">
        <v>84</v>
      </c>
      <c r="K7" s="46" t="s">
        <v>342</v>
      </c>
      <c r="L7" s="3"/>
      <c r="M7" s="3"/>
      <c r="N7" s="4"/>
      <c r="O7" s="18" t="s">
        <v>489</v>
      </c>
      <c r="Q7" s="2">
        <v>42</v>
      </c>
      <c r="R7" s="2">
        <v>43</v>
      </c>
      <c r="S7" s="2">
        <v>44</v>
      </c>
      <c r="T7" s="2">
        <v>45</v>
      </c>
      <c r="U7" s="21">
        <v>191</v>
      </c>
      <c r="V7" s="2">
        <v>386</v>
      </c>
      <c r="W7" s="2"/>
      <c r="X7" s="2"/>
      <c r="Y7" s="2"/>
    </row>
    <row r="8" spans="1:25" ht="15.95" customHeight="1" x14ac:dyDescent="0.2">
      <c r="A8" s="98"/>
      <c r="B8" s="103"/>
      <c r="C8" s="19" t="s">
        <v>957</v>
      </c>
      <c r="D8" s="3">
        <v>1240</v>
      </c>
      <c r="E8" s="3"/>
      <c r="F8" s="81" t="s">
        <v>2</v>
      </c>
      <c r="G8" s="81" t="s">
        <v>3</v>
      </c>
      <c r="H8" s="81" t="s">
        <v>4</v>
      </c>
      <c r="I8" s="81" t="s">
        <v>36</v>
      </c>
      <c r="J8" s="82" t="s">
        <v>84</v>
      </c>
      <c r="K8" s="3"/>
      <c r="L8" s="3"/>
      <c r="M8" s="3"/>
      <c r="N8" s="38"/>
      <c r="O8" s="18" t="s">
        <v>490</v>
      </c>
      <c r="Q8" s="2">
        <v>120</v>
      </c>
      <c r="R8" s="2">
        <v>121</v>
      </c>
      <c r="S8" s="2">
        <v>122</v>
      </c>
      <c r="T8" s="2">
        <v>123</v>
      </c>
      <c r="U8" s="21">
        <v>192</v>
      </c>
      <c r="V8" s="2"/>
      <c r="W8" s="2"/>
      <c r="X8" s="2"/>
      <c r="Y8" s="2"/>
    </row>
    <row r="9" spans="1:25" ht="15.95" customHeight="1" x14ac:dyDescent="0.2">
      <c r="A9" s="98"/>
      <c r="B9" s="103"/>
      <c r="C9" s="19" t="s">
        <v>957</v>
      </c>
      <c r="D9" s="3">
        <v>35</v>
      </c>
      <c r="E9" s="3"/>
      <c r="F9" s="17" t="s">
        <v>2</v>
      </c>
      <c r="G9" s="17" t="s">
        <v>3</v>
      </c>
      <c r="H9" s="17" t="s">
        <v>4</v>
      </c>
      <c r="I9" s="81" t="s">
        <v>36</v>
      </c>
      <c r="J9" s="82" t="s">
        <v>84</v>
      </c>
      <c r="K9" s="3"/>
      <c r="L9" s="3"/>
      <c r="M9" s="3"/>
      <c r="N9" s="38"/>
      <c r="O9" s="18" t="s">
        <v>490</v>
      </c>
      <c r="Q9" s="2">
        <v>120</v>
      </c>
      <c r="R9" s="2">
        <v>121</v>
      </c>
      <c r="S9" s="2">
        <v>122</v>
      </c>
      <c r="T9" s="2">
        <v>123</v>
      </c>
      <c r="U9" s="21">
        <v>192</v>
      </c>
      <c r="V9" s="2"/>
      <c r="W9" s="2"/>
      <c r="X9" s="2"/>
      <c r="Y9" s="2"/>
    </row>
    <row r="10" spans="1:25" ht="15.95" customHeight="1" x14ac:dyDescent="0.2">
      <c r="A10" s="98"/>
      <c r="B10" s="103"/>
      <c r="C10" s="19" t="s">
        <v>54</v>
      </c>
      <c r="D10" s="3"/>
      <c r="E10" s="3"/>
      <c r="F10" s="17" t="s">
        <v>2</v>
      </c>
      <c r="G10" s="17" t="s">
        <v>3</v>
      </c>
      <c r="H10" s="17" t="s">
        <v>4</v>
      </c>
      <c r="I10" s="17" t="s">
        <v>36</v>
      </c>
      <c r="J10" s="3"/>
      <c r="K10" s="3"/>
      <c r="L10" s="3"/>
      <c r="M10" s="3"/>
      <c r="N10" s="10"/>
      <c r="O10" s="18" t="s">
        <v>491</v>
      </c>
      <c r="Q10" s="2">
        <v>53</v>
      </c>
      <c r="R10" s="2">
        <v>54</v>
      </c>
      <c r="S10" s="2">
        <v>55</v>
      </c>
      <c r="T10" s="2">
        <v>56</v>
      </c>
      <c r="V10" s="2"/>
      <c r="W10" s="2"/>
      <c r="X10" s="2"/>
      <c r="Y10" s="2"/>
    </row>
    <row r="11" spans="1:25" ht="15.95" customHeight="1" x14ac:dyDescent="0.2">
      <c r="A11" s="98"/>
      <c r="B11" s="103"/>
      <c r="C11" s="19" t="s">
        <v>622</v>
      </c>
      <c r="D11" s="3"/>
      <c r="E11" s="3"/>
      <c r="F11" s="59" t="s">
        <v>59</v>
      </c>
      <c r="G11" s="17" t="s">
        <v>3</v>
      </c>
      <c r="H11" s="17" t="s">
        <v>4</v>
      </c>
      <c r="I11" s="17" t="s">
        <v>36</v>
      </c>
      <c r="J11" s="3"/>
      <c r="K11" s="3"/>
      <c r="L11" s="3"/>
      <c r="M11" s="3"/>
      <c r="N11" s="13"/>
      <c r="O11" s="37" t="s">
        <v>242</v>
      </c>
      <c r="Q11" s="2">
        <v>100</v>
      </c>
      <c r="R11" s="2">
        <v>101</v>
      </c>
      <c r="S11" s="2">
        <v>102</v>
      </c>
      <c r="T11" s="2">
        <v>103</v>
      </c>
      <c r="V11" s="2"/>
      <c r="W11" s="2"/>
      <c r="X11" s="2"/>
      <c r="Y11" s="2"/>
    </row>
    <row r="12" spans="1:25" ht="15.95" customHeight="1" x14ac:dyDescent="0.2">
      <c r="A12" s="98"/>
      <c r="B12" s="103"/>
      <c r="C12" s="19" t="s">
        <v>52</v>
      </c>
      <c r="D12" s="3"/>
      <c r="E12" s="3"/>
      <c r="F12" s="59" t="s">
        <v>59</v>
      </c>
      <c r="G12" s="17" t="s">
        <v>3</v>
      </c>
      <c r="H12" s="17" t="s">
        <v>4</v>
      </c>
      <c r="I12" s="17" t="s">
        <v>36</v>
      </c>
      <c r="J12" s="3"/>
      <c r="K12" s="3"/>
      <c r="L12" s="3"/>
      <c r="M12" s="3"/>
      <c r="N12" s="4"/>
      <c r="O12" s="18"/>
      <c r="Q12" s="2">
        <v>104</v>
      </c>
      <c r="R12" s="2">
        <v>105</v>
      </c>
      <c r="S12" s="2">
        <v>106</v>
      </c>
      <c r="T12" s="2">
        <v>107</v>
      </c>
      <c r="V12" s="2"/>
      <c r="W12" s="2"/>
      <c r="X12" s="2"/>
      <c r="Y12" s="2"/>
    </row>
    <row r="13" spans="1:25" ht="15.95" customHeight="1" x14ac:dyDescent="0.2">
      <c r="A13" s="98"/>
      <c r="B13" s="103"/>
      <c r="C13" s="86" t="s">
        <v>456</v>
      </c>
      <c r="D13" s="3"/>
      <c r="E13" s="3"/>
      <c r="F13" s="17" t="s">
        <v>2</v>
      </c>
      <c r="G13" s="17" t="s">
        <v>3</v>
      </c>
      <c r="H13" s="17" t="s">
        <v>4</v>
      </c>
      <c r="I13" s="17" t="s">
        <v>36</v>
      </c>
      <c r="J13" s="20"/>
      <c r="K13" s="3"/>
      <c r="L13" s="3"/>
      <c r="M13" s="3"/>
      <c r="N13" s="38"/>
      <c r="O13" s="37" t="s">
        <v>457</v>
      </c>
      <c r="P13" s="2"/>
      <c r="Q13" s="2">
        <v>144</v>
      </c>
      <c r="R13" s="2">
        <v>145</v>
      </c>
      <c r="S13" s="2">
        <v>146</v>
      </c>
      <c r="T13" s="2">
        <v>147</v>
      </c>
      <c r="V13" s="2"/>
      <c r="W13" s="2"/>
      <c r="X13" s="2"/>
    </row>
    <row r="14" spans="1:25" ht="15.95" customHeight="1" x14ac:dyDescent="0.2">
      <c r="A14" s="98"/>
      <c r="B14" s="103" t="s">
        <v>55</v>
      </c>
      <c r="C14" s="19" t="s">
        <v>922</v>
      </c>
      <c r="D14" s="3"/>
      <c r="E14" s="3"/>
      <c r="F14" s="17" t="s">
        <v>2</v>
      </c>
      <c r="G14" s="17" t="s">
        <v>3</v>
      </c>
      <c r="H14" s="81" t="s">
        <v>4</v>
      </c>
      <c r="I14" s="46" t="s">
        <v>36</v>
      </c>
      <c r="J14" s="20"/>
      <c r="K14" s="3"/>
      <c r="L14" s="3"/>
      <c r="M14" s="3"/>
      <c r="N14" s="10"/>
      <c r="O14" s="18"/>
      <c r="P14" s="2"/>
      <c r="Q14" s="2">
        <v>112</v>
      </c>
      <c r="R14" s="2">
        <v>113</v>
      </c>
      <c r="S14" s="2">
        <v>114</v>
      </c>
      <c r="T14" s="2">
        <v>115</v>
      </c>
      <c r="U14" s="2"/>
    </row>
    <row r="15" spans="1:25" ht="15.95" customHeight="1" x14ac:dyDescent="0.2">
      <c r="A15" s="98"/>
      <c r="B15" s="103"/>
      <c r="C15" s="86" t="s">
        <v>106</v>
      </c>
      <c r="D15" s="3"/>
      <c r="E15" s="3"/>
      <c r="F15" s="17" t="s">
        <v>2</v>
      </c>
      <c r="G15" s="17" t="s">
        <v>3</v>
      </c>
      <c r="H15" s="17" t="s">
        <v>4</v>
      </c>
      <c r="I15" s="17" t="s">
        <v>36</v>
      </c>
      <c r="J15" s="20"/>
      <c r="K15" s="3"/>
      <c r="L15" s="3"/>
      <c r="M15" s="3"/>
      <c r="N15" s="13"/>
      <c r="O15" s="18" t="s">
        <v>492</v>
      </c>
      <c r="P15" s="2"/>
      <c r="Q15" s="2">
        <v>204</v>
      </c>
      <c r="R15" s="2">
        <v>205</v>
      </c>
      <c r="S15" s="2">
        <v>206</v>
      </c>
      <c r="T15" s="2">
        <v>207</v>
      </c>
      <c r="U15" s="2"/>
    </row>
    <row r="16" spans="1:25" ht="15.95" customHeight="1" x14ac:dyDescent="0.2">
      <c r="A16" s="98"/>
      <c r="B16" s="103"/>
      <c r="C16" s="19" t="s">
        <v>100</v>
      </c>
      <c r="D16" s="3"/>
      <c r="E16" s="3"/>
      <c r="F16" s="17" t="s">
        <v>2</v>
      </c>
      <c r="G16" s="17" t="s">
        <v>3</v>
      </c>
      <c r="H16" s="17" t="s">
        <v>4</v>
      </c>
      <c r="I16" s="17" t="s">
        <v>36</v>
      </c>
      <c r="J16" s="3"/>
      <c r="K16" s="3"/>
      <c r="L16" s="3"/>
      <c r="M16" s="3"/>
      <c r="N16" s="4"/>
      <c r="O16" s="18" t="s">
        <v>101</v>
      </c>
      <c r="Q16" s="2">
        <v>116</v>
      </c>
      <c r="R16" s="2">
        <v>117</v>
      </c>
      <c r="S16" s="2">
        <v>118</v>
      </c>
      <c r="T16" s="2">
        <v>119</v>
      </c>
      <c r="V16" s="2"/>
      <c r="W16" s="2"/>
      <c r="X16" s="2"/>
      <c r="Y16" s="2"/>
    </row>
    <row r="17" spans="1:25" ht="15.95" customHeight="1" x14ac:dyDescent="0.2">
      <c r="A17" s="98"/>
      <c r="B17" s="103"/>
      <c r="C17" s="19" t="s">
        <v>55</v>
      </c>
      <c r="D17" s="3"/>
      <c r="E17" s="3"/>
      <c r="F17" s="17" t="s">
        <v>2</v>
      </c>
      <c r="G17" s="47" t="s">
        <v>3</v>
      </c>
      <c r="H17" s="81" t="s">
        <v>4</v>
      </c>
      <c r="I17" s="46" t="s">
        <v>36</v>
      </c>
      <c r="J17" s="17" t="s">
        <v>107</v>
      </c>
      <c r="K17" s="3"/>
      <c r="L17" s="3"/>
      <c r="M17" s="3"/>
      <c r="N17" s="38"/>
      <c r="O17" s="18" t="s">
        <v>102</v>
      </c>
      <c r="Q17" s="2">
        <v>124</v>
      </c>
      <c r="R17" s="2">
        <v>125</v>
      </c>
      <c r="S17" s="2">
        <v>126</v>
      </c>
      <c r="T17" s="2">
        <v>127</v>
      </c>
      <c r="U17" s="21">
        <v>1</v>
      </c>
      <c r="V17" s="2"/>
      <c r="W17" s="2"/>
      <c r="X17" s="2"/>
      <c r="Y17" s="2"/>
    </row>
    <row r="18" spans="1:25" ht="15.95" customHeight="1" x14ac:dyDescent="0.2">
      <c r="A18" s="98"/>
      <c r="B18" s="103" t="s">
        <v>905</v>
      </c>
      <c r="C18" s="19" t="s">
        <v>924</v>
      </c>
      <c r="D18" s="3">
        <v>35</v>
      </c>
      <c r="E18" s="3"/>
      <c r="F18" s="4" t="s">
        <v>2</v>
      </c>
      <c r="G18" s="4" t="s">
        <v>3</v>
      </c>
      <c r="H18" s="4" t="s">
        <v>4</v>
      </c>
      <c r="I18" s="4" t="s">
        <v>36</v>
      </c>
      <c r="J18" s="3"/>
      <c r="K18" s="3"/>
      <c r="L18" s="3"/>
      <c r="M18" s="3"/>
      <c r="N18" s="10"/>
      <c r="O18" s="18" t="s">
        <v>926</v>
      </c>
      <c r="Q18" s="2">
        <v>510</v>
      </c>
      <c r="R18" s="2">
        <v>511</v>
      </c>
      <c r="S18" s="2">
        <v>512</v>
      </c>
      <c r="T18" s="2">
        <v>513</v>
      </c>
      <c r="U18" s="21"/>
      <c r="V18" s="2"/>
      <c r="W18" s="2"/>
      <c r="X18" s="2"/>
      <c r="Y18" s="2"/>
    </row>
    <row r="19" spans="1:25" ht="15.95" customHeight="1" x14ac:dyDescent="0.2">
      <c r="A19" s="98"/>
      <c r="B19" s="103"/>
      <c r="C19" s="19" t="s">
        <v>906</v>
      </c>
      <c r="D19" s="3"/>
      <c r="E19" s="3"/>
      <c r="F19" s="17" t="s">
        <v>2</v>
      </c>
      <c r="G19" s="17" t="s">
        <v>3</v>
      </c>
      <c r="H19" s="17" t="s">
        <v>4</v>
      </c>
      <c r="I19" s="81" t="s">
        <v>36</v>
      </c>
      <c r="J19" s="3"/>
      <c r="K19" s="3"/>
      <c r="L19" s="3"/>
      <c r="M19" s="3"/>
      <c r="N19" s="10"/>
      <c r="O19" s="18" t="s">
        <v>493</v>
      </c>
      <c r="Q19" s="2">
        <v>128</v>
      </c>
      <c r="R19" s="2">
        <v>129</v>
      </c>
      <c r="S19" s="2">
        <v>130</v>
      </c>
      <c r="T19" s="2">
        <v>131</v>
      </c>
      <c r="U19" s="21"/>
      <c r="V19" s="2"/>
      <c r="W19" s="2"/>
      <c r="X19" s="2"/>
      <c r="Y19" s="2"/>
    </row>
    <row r="20" spans="1:25" ht="15.95" customHeight="1" x14ac:dyDescent="0.2">
      <c r="A20" s="98"/>
      <c r="B20" s="103"/>
      <c r="C20" s="19" t="s">
        <v>907</v>
      </c>
      <c r="D20" s="3"/>
      <c r="E20" s="3"/>
      <c r="F20" s="17" t="s">
        <v>2</v>
      </c>
      <c r="G20" s="17" t="s">
        <v>3</v>
      </c>
      <c r="H20" s="81" t="s">
        <v>4</v>
      </c>
      <c r="I20" s="46" t="s">
        <v>36</v>
      </c>
      <c r="J20" s="3"/>
      <c r="K20" s="2"/>
      <c r="L20" s="3"/>
      <c r="M20" s="3"/>
      <c r="N20" s="13"/>
      <c r="O20" s="18" t="s">
        <v>494</v>
      </c>
      <c r="Q20" s="2">
        <v>140</v>
      </c>
      <c r="R20" s="2">
        <v>141</v>
      </c>
      <c r="S20" s="2">
        <v>142</v>
      </c>
      <c r="T20" s="2">
        <v>143</v>
      </c>
      <c r="V20" s="2"/>
      <c r="W20" s="2"/>
      <c r="X20" s="2"/>
      <c r="Y20" s="2"/>
    </row>
    <row r="21" spans="1:25" ht="15.95" customHeight="1" x14ac:dyDescent="0.2">
      <c r="A21" s="98"/>
      <c r="B21" s="103"/>
      <c r="C21" s="19" t="s">
        <v>908</v>
      </c>
      <c r="D21" s="3"/>
      <c r="E21" s="3"/>
      <c r="F21" s="17" t="s">
        <v>2</v>
      </c>
      <c r="G21" s="47" t="s">
        <v>3</v>
      </c>
      <c r="H21" s="46" t="s">
        <v>4</v>
      </c>
      <c r="I21" s="46" t="s">
        <v>36</v>
      </c>
      <c r="J21" s="3"/>
      <c r="K21" s="3"/>
      <c r="L21" s="3"/>
      <c r="M21" s="3"/>
      <c r="N21" s="4"/>
      <c r="O21" s="18" t="s">
        <v>495</v>
      </c>
      <c r="Q21" s="2">
        <v>108</v>
      </c>
      <c r="R21" s="2">
        <v>109</v>
      </c>
      <c r="S21" s="2">
        <v>110</v>
      </c>
      <c r="T21" s="2">
        <v>111</v>
      </c>
      <c r="V21" s="2"/>
      <c r="W21" s="2"/>
      <c r="X21" s="2"/>
      <c r="Y21" s="2"/>
    </row>
    <row r="22" spans="1:25" ht="15.95" customHeight="1" x14ac:dyDescent="0.2">
      <c r="A22" s="98"/>
      <c r="B22" s="103"/>
      <c r="C22" s="19" t="s">
        <v>925</v>
      </c>
      <c r="D22" s="3">
        <v>35</v>
      </c>
      <c r="E22" s="3"/>
      <c r="F22" s="4" t="s">
        <v>2</v>
      </c>
      <c r="G22" s="4" t="s">
        <v>3</v>
      </c>
      <c r="H22" s="4" t="s">
        <v>4</v>
      </c>
      <c r="I22" s="4" t="s">
        <v>36</v>
      </c>
      <c r="J22" s="3"/>
      <c r="K22" s="3"/>
      <c r="L22" s="3"/>
      <c r="M22" s="3"/>
      <c r="N22" s="10"/>
      <c r="O22" s="18" t="s">
        <v>927</v>
      </c>
      <c r="Q22" s="2">
        <v>506</v>
      </c>
      <c r="R22" s="2">
        <v>507</v>
      </c>
      <c r="S22" s="2">
        <v>508</v>
      </c>
      <c r="T22" s="2">
        <v>509</v>
      </c>
      <c r="V22" s="2"/>
      <c r="W22" s="2"/>
      <c r="X22" s="2"/>
      <c r="Y22" s="2"/>
    </row>
    <row r="23" spans="1:25" ht="15.95" customHeight="1" x14ac:dyDescent="0.2">
      <c r="A23" s="98"/>
      <c r="B23" s="103"/>
      <c r="C23" s="19" t="s">
        <v>909</v>
      </c>
      <c r="D23" s="3"/>
      <c r="E23" s="3"/>
      <c r="F23" s="4" t="s">
        <v>2</v>
      </c>
      <c r="G23" s="4" t="s">
        <v>3</v>
      </c>
      <c r="H23" s="4" t="s">
        <v>4</v>
      </c>
      <c r="I23" s="46" t="s">
        <v>36</v>
      </c>
      <c r="J23" s="3"/>
      <c r="K23" s="3"/>
      <c r="L23" s="3"/>
      <c r="M23" s="3"/>
      <c r="N23" s="10"/>
      <c r="O23" s="18" t="s">
        <v>496</v>
      </c>
      <c r="Q23" s="2">
        <v>59</v>
      </c>
      <c r="R23" s="2">
        <v>60</v>
      </c>
      <c r="S23" s="2">
        <v>61</v>
      </c>
      <c r="T23" s="2">
        <v>62</v>
      </c>
      <c r="V23" s="2"/>
      <c r="W23" s="2"/>
      <c r="X23" s="2"/>
      <c r="Y23" s="2"/>
    </row>
    <row r="24" spans="1:25" ht="15.95" customHeight="1" x14ac:dyDescent="0.2">
      <c r="A24" s="98"/>
      <c r="B24" s="103"/>
      <c r="C24" s="19" t="s">
        <v>910</v>
      </c>
      <c r="D24" s="3"/>
      <c r="E24" s="3"/>
      <c r="F24" s="17" t="s">
        <v>2</v>
      </c>
      <c r="G24" s="4" t="s">
        <v>3</v>
      </c>
      <c r="H24" s="4" t="s">
        <v>4</v>
      </c>
      <c r="I24" s="81" t="s">
        <v>36</v>
      </c>
      <c r="J24" s="3"/>
      <c r="K24" s="3"/>
      <c r="L24" s="3"/>
      <c r="M24" s="3"/>
      <c r="N24" s="38"/>
      <c r="O24" s="18" t="s">
        <v>497</v>
      </c>
      <c r="Q24" s="2">
        <v>132</v>
      </c>
      <c r="R24" s="2">
        <v>133</v>
      </c>
      <c r="S24" s="2">
        <v>134</v>
      </c>
      <c r="T24" s="2">
        <v>135</v>
      </c>
      <c r="V24" s="2"/>
      <c r="W24" s="2"/>
      <c r="X24" s="2"/>
      <c r="Y24" s="2"/>
    </row>
    <row r="25" spans="1:25" ht="15.95" customHeight="1" x14ac:dyDescent="0.2">
      <c r="A25" s="98"/>
      <c r="B25" s="103"/>
      <c r="C25" s="19" t="s">
        <v>911</v>
      </c>
      <c r="D25" s="3"/>
      <c r="E25" s="3"/>
      <c r="F25" s="4" t="s">
        <v>2</v>
      </c>
      <c r="G25" s="47" t="s">
        <v>3</v>
      </c>
      <c r="H25" s="81" t="s">
        <v>4</v>
      </c>
      <c r="I25" s="46" t="s">
        <v>36</v>
      </c>
      <c r="J25" s="3"/>
      <c r="K25" s="3"/>
      <c r="L25" s="3"/>
      <c r="M25" s="3"/>
      <c r="N25" s="13"/>
      <c r="O25" s="18" t="s">
        <v>498</v>
      </c>
      <c r="Q25" s="2">
        <v>63</v>
      </c>
      <c r="R25" s="2">
        <v>64</v>
      </c>
      <c r="S25" s="2">
        <v>65</v>
      </c>
      <c r="T25" s="2">
        <v>66</v>
      </c>
      <c r="V25" s="2"/>
      <c r="W25" s="2"/>
      <c r="X25" s="2"/>
      <c r="Y25" s="2"/>
    </row>
    <row r="26" spans="1:25" ht="15.95" customHeight="1" x14ac:dyDescent="0.2">
      <c r="A26" s="98"/>
      <c r="B26" s="103"/>
      <c r="C26" s="19" t="s">
        <v>912</v>
      </c>
      <c r="D26" s="3"/>
      <c r="E26" s="3"/>
      <c r="F26" s="4" t="s">
        <v>2</v>
      </c>
      <c r="G26" s="47" t="s">
        <v>3</v>
      </c>
      <c r="H26" s="81" t="s">
        <v>4</v>
      </c>
      <c r="I26" s="46" t="s">
        <v>36</v>
      </c>
      <c r="J26" s="3"/>
      <c r="K26" s="3"/>
      <c r="L26" s="3"/>
      <c r="M26" s="3"/>
      <c r="N26" s="4"/>
      <c r="O26" s="18" t="s">
        <v>499</v>
      </c>
      <c r="Q26" s="2">
        <v>391</v>
      </c>
      <c r="R26" s="2">
        <v>392</v>
      </c>
      <c r="S26" s="2">
        <v>393</v>
      </c>
      <c r="T26" s="2">
        <v>394</v>
      </c>
      <c r="V26" s="2"/>
      <c r="W26" s="2"/>
      <c r="X26" s="2"/>
      <c r="Y26" s="2"/>
    </row>
    <row r="27" spans="1:25" ht="15.95" customHeight="1" x14ac:dyDescent="0.2">
      <c r="A27" s="98"/>
      <c r="B27" s="103"/>
      <c r="C27" s="19" t="s">
        <v>913</v>
      </c>
      <c r="D27" s="3"/>
      <c r="E27" s="3"/>
      <c r="F27" s="4" t="s">
        <v>2</v>
      </c>
      <c r="G27" s="47" t="s">
        <v>3</v>
      </c>
      <c r="H27" s="46" t="s">
        <v>4</v>
      </c>
      <c r="I27" s="46" t="s">
        <v>36</v>
      </c>
      <c r="J27" s="77"/>
      <c r="K27" s="3"/>
      <c r="L27" s="3"/>
      <c r="M27" s="3"/>
      <c r="N27" s="4"/>
      <c r="O27" s="18" t="s">
        <v>500</v>
      </c>
      <c r="Q27" s="2">
        <v>148</v>
      </c>
      <c r="R27" s="2">
        <v>149</v>
      </c>
      <c r="S27" s="2">
        <v>150</v>
      </c>
      <c r="T27" s="2">
        <v>151</v>
      </c>
      <c r="V27" s="2"/>
      <c r="W27" s="2"/>
      <c r="X27" s="2"/>
      <c r="Y27" s="2"/>
    </row>
    <row r="28" spans="1:25" ht="15.95" customHeight="1" x14ac:dyDescent="0.2">
      <c r="A28" s="98"/>
      <c r="B28" s="103"/>
      <c r="C28" s="19" t="s">
        <v>914</v>
      </c>
      <c r="D28" s="3"/>
      <c r="E28" s="3"/>
      <c r="F28" s="4" t="s">
        <v>2</v>
      </c>
      <c r="G28" s="47" t="s">
        <v>3</v>
      </c>
      <c r="H28" s="46" t="s">
        <v>4</v>
      </c>
      <c r="I28" s="46" t="s">
        <v>36</v>
      </c>
      <c r="J28" s="3"/>
      <c r="K28" s="3"/>
      <c r="L28" s="3"/>
      <c r="M28" s="3"/>
      <c r="N28" s="4"/>
      <c r="O28" s="18" t="s">
        <v>501</v>
      </c>
      <c r="Q28" s="2">
        <v>398</v>
      </c>
      <c r="R28" s="2">
        <v>399</v>
      </c>
      <c r="S28" s="2">
        <v>400</v>
      </c>
      <c r="T28" s="2">
        <v>401</v>
      </c>
      <c r="V28" s="2"/>
      <c r="W28" s="2"/>
      <c r="X28" s="2"/>
      <c r="Y28" s="2"/>
    </row>
    <row r="29" spans="1:25" ht="15.95" customHeight="1" x14ac:dyDescent="0.2">
      <c r="A29" s="98"/>
      <c r="B29" s="103"/>
      <c r="C29" s="19" t="s">
        <v>923</v>
      </c>
      <c r="D29" s="3">
        <v>35</v>
      </c>
      <c r="E29" s="3"/>
      <c r="F29" s="4" t="s">
        <v>2</v>
      </c>
      <c r="G29" s="4" t="s">
        <v>3</v>
      </c>
      <c r="H29" s="4" t="s">
        <v>4</v>
      </c>
      <c r="I29" s="4" t="s">
        <v>36</v>
      </c>
      <c r="J29" s="3"/>
      <c r="K29" s="3"/>
      <c r="L29" s="3"/>
      <c r="M29" s="3"/>
      <c r="N29" s="4"/>
      <c r="O29" s="18" t="s">
        <v>928</v>
      </c>
      <c r="Q29" s="2">
        <v>414</v>
      </c>
      <c r="R29" s="2">
        <v>415</v>
      </c>
      <c r="S29" s="2">
        <v>416</v>
      </c>
      <c r="T29" s="2">
        <v>417</v>
      </c>
      <c r="V29" s="2"/>
      <c r="W29" s="2"/>
      <c r="X29" s="2"/>
      <c r="Y29" s="2"/>
    </row>
    <row r="30" spans="1:25" ht="15.95" customHeight="1" x14ac:dyDescent="0.2">
      <c r="A30" s="98"/>
      <c r="B30" s="103"/>
      <c r="C30" s="19" t="s">
        <v>915</v>
      </c>
      <c r="D30" s="3"/>
      <c r="E30" s="3"/>
      <c r="F30" s="81" t="s">
        <v>2</v>
      </c>
      <c r="G30" s="81" t="s">
        <v>3</v>
      </c>
      <c r="H30" s="46" t="s">
        <v>4</v>
      </c>
      <c r="I30" s="46" t="s">
        <v>36</v>
      </c>
      <c r="J30" s="3"/>
      <c r="K30" s="3"/>
      <c r="L30" s="3"/>
      <c r="M30" s="3"/>
      <c r="N30" s="10"/>
      <c r="O30" s="18" t="s">
        <v>496</v>
      </c>
      <c r="Q30" s="2">
        <v>476</v>
      </c>
      <c r="R30" s="2">
        <v>477</v>
      </c>
      <c r="S30" s="2">
        <v>478</v>
      </c>
      <c r="T30" s="2">
        <v>479</v>
      </c>
      <c r="V30" s="2"/>
      <c r="W30" s="2"/>
      <c r="X30" s="2"/>
      <c r="Y30" s="2"/>
    </row>
    <row r="31" spans="1:25" ht="15.95" customHeight="1" x14ac:dyDescent="0.2">
      <c r="A31" s="98"/>
      <c r="B31" s="103"/>
      <c r="C31" s="19" t="s">
        <v>916</v>
      </c>
      <c r="D31" s="3"/>
      <c r="E31" s="3"/>
      <c r="F31" s="81" t="s">
        <v>2</v>
      </c>
      <c r="G31" s="81" t="s">
        <v>3</v>
      </c>
      <c r="H31" s="46" t="s">
        <v>4</v>
      </c>
      <c r="I31" s="46" t="s">
        <v>36</v>
      </c>
      <c r="J31" s="3"/>
      <c r="K31" s="3"/>
      <c r="L31" s="3"/>
      <c r="M31" s="3"/>
      <c r="N31" s="38"/>
      <c r="O31" s="18" t="s">
        <v>497</v>
      </c>
      <c r="Q31" s="2">
        <v>25</v>
      </c>
      <c r="R31" s="2">
        <v>26</v>
      </c>
      <c r="S31" s="2">
        <v>27</v>
      </c>
      <c r="T31" s="2">
        <v>28</v>
      </c>
      <c r="V31" s="2"/>
      <c r="W31" s="2"/>
      <c r="X31" s="2"/>
      <c r="Y31" s="2"/>
    </row>
    <row r="32" spans="1:25" ht="15.95" customHeight="1" x14ac:dyDescent="0.2">
      <c r="A32" s="98"/>
      <c r="B32" s="103"/>
      <c r="C32" s="19" t="s">
        <v>917</v>
      </c>
      <c r="D32" s="3"/>
      <c r="E32" s="3"/>
      <c r="F32" s="81" t="s">
        <v>2</v>
      </c>
      <c r="G32" s="81" t="s">
        <v>3</v>
      </c>
      <c r="H32" s="46" t="s">
        <v>4</v>
      </c>
      <c r="I32" s="46" t="s">
        <v>36</v>
      </c>
      <c r="J32" s="3"/>
      <c r="K32" s="3"/>
      <c r="L32" s="3"/>
      <c r="M32" s="3"/>
      <c r="N32" s="13"/>
      <c r="O32" s="18" t="s">
        <v>618</v>
      </c>
      <c r="Q32" s="2">
        <v>460</v>
      </c>
      <c r="R32" s="2">
        <v>461</v>
      </c>
      <c r="S32" s="2">
        <v>462</v>
      </c>
      <c r="T32" s="2">
        <v>463</v>
      </c>
      <c r="V32" s="2"/>
      <c r="W32" s="2"/>
      <c r="X32" s="2"/>
      <c r="Y32" s="2"/>
    </row>
    <row r="33" spans="1:25" ht="15.95" customHeight="1" x14ac:dyDescent="0.2">
      <c r="A33" s="98"/>
      <c r="B33" s="103"/>
      <c r="C33" s="19" t="s">
        <v>918</v>
      </c>
      <c r="D33" s="3"/>
      <c r="E33" s="3"/>
      <c r="F33" s="81" t="s">
        <v>2</v>
      </c>
      <c r="G33" s="81" t="s">
        <v>3</v>
      </c>
      <c r="H33" s="46" t="s">
        <v>4</v>
      </c>
      <c r="I33" s="46" t="s">
        <v>36</v>
      </c>
      <c r="J33" s="3"/>
      <c r="K33" s="3"/>
      <c r="L33" s="3"/>
      <c r="M33" s="3"/>
      <c r="N33" s="4"/>
      <c r="O33" s="18" t="s">
        <v>619</v>
      </c>
      <c r="Q33" s="2">
        <v>464</v>
      </c>
      <c r="R33" s="2">
        <v>465</v>
      </c>
      <c r="S33" s="2">
        <v>466</v>
      </c>
      <c r="T33" s="2">
        <v>467</v>
      </c>
      <c r="V33" s="2"/>
      <c r="W33" s="2"/>
      <c r="X33" s="2"/>
      <c r="Y33" s="2"/>
    </row>
    <row r="34" spans="1:25" ht="15.95" customHeight="1" x14ac:dyDescent="0.2">
      <c r="A34" s="98"/>
      <c r="B34" s="103"/>
      <c r="C34" s="19" t="s">
        <v>919</v>
      </c>
      <c r="D34" s="3"/>
      <c r="E34" s="3"/>
      <c r="F34" s="81" t="s">
        <v>2</v>
      </c>
      <c r="G34" s="81" t="s">
        <v>3</v>
      </c>
      <c r="H34" s="46" t="s">
        <v>4</v>
      </c>
      <c r="I34" s="46" t="s">
        <v>36</v>
      </c>
      <c r="J34" s="77"/>
      <c r="K34" s="3"/>
      <c r="L34" s="3"/>
      <c r="M34" s="3"/>
      <c r="N34" s="4"/>
      <c r="O34" s="18" t="s">
        <v>620</v>
      </c>
      <c r="Q34" s="2">
        <v>468</v>
      </c>
      <c r="R34" s="2">
        <v>469</v>
      </c>
      <c r="S34" s="2">
        <v>470</v>
      </c>
      <c r="T34" s="2">
        <v>471</v>
      </c>
      <c r="V34" s="2"/>
      <c r="W34" s="2"/>
      <c r="X34" s="2"/>
      <c r="Y34" s="2"/>
    </row>
    <row r="35" spans="1:25" ht="15.95" customHeight="1" x14ac:dyDescent="0.2">
      <c r="A35" s="98"/>
      <c r="B35" s="103"/>
      <c r="C35" s="19" t="s">
        <v>920</v>
      </c>
      <c r="D35" s="3"/>
      <c r="E35" s="3"/>
      <c r="F35" s="81" t="s">
        <v>2</v>
      </c>
      <c r="G35" s="81" t="s">
        <v>3</v>
      </c>
      <c r="H35" s="46" t="s">
        <v>4</v>
      </c>
      <c r="I35" s="46" t="s">
        <v>36</v>
      </c>
      <c r="J35" s="3"/>
      <c r="K35" s="3"/>
      <c r="L35" s="3"/>
      <c r="M35" s="3"/>
      <c r="N35" s="4"/>
      <c r="O35" s="18" t="s">
        <v>621</v>
      </c>
      <c r="Q35" s="2">
        <v>472</v>
      </c>
      <c r="R35" s="2">
        <v>473</v>
      </c>
      <c r="S35" s="2">
        <v>474</v>
      </c>
      <c r="T35" s="2">
        <v>475</v>
      </c>
      <c r="V35" s="2"/>
      <c r="W35" s="2"/>
      <c r="X35" s="2"/>
      <c r="Y35" s="2"/>
    </row>
    <row r="36" spans="1:25" ht="15.95" customHeight="1" x14ac:dyDescent="0.2">
      <c r="A36" s="98"/>
      <c r="B36" s="103"/>
      <c r="C36" s="19" t="s">
        <v>5</v>
      </c>
      <c r="D36" s="3"/>
      <c r="E36" s="3"/>
      <c r="F36" s="17" t="s">
        <v>58</v>
      </c>
      <c r="G36" s="17" t="s">
        <v>57</v>
      </c>
      <c r="H36" s="17" t="s">
        <v>17</v>
      </c>
      <c r="I36" s="48"/>
      <c r="J36" s="19"/>
      <c r="K36" s="3"/>
      <c r="L36" s="3"/>
      <c r="M36" s="3"/>
      <c r="N36" s="38"/>
      <c r="O36" s="18"/>
      <c r="Q36" s="2">
        <v>8</v>
      </c>
      <c r="R36" s="2">
        <v>22</v>
      </c>
      <c r="S36" s="2">
        <v>58</v>
      </c>
      <c r="T36" s="2"/>
      <c r="U36" s="2"/>
      <c r="V36" s="2"/>
      <c r="W36" s="2"/>
      <c r="X36" s="2"/>
      <c r="Y36" s="2"/>
    </row>
    <row r="37" spans="1:25" ht="15.95" customHeight="1" x14ac:dyDescent="0.2">
      <c r="A37" s="98"/>
      <c r="B37" s="103" t="s">
        <v>6</v>
      </c>
      <c r="C37" s="19" t="s">
        <v>895</v>
      </c>
      <c r="D37" s="3"/>
      <c r="E37" s="3"/>
      <c r="F37" s="17" t="s">
        <v>894</v>
      </c>
      <c r="G37" s="17" t="s">
        <v>893</v>
      </c>
      <c r="H37" s="81" t="s">
        <v>891</v>
      </c>
      <c r="I37" s="46" t="s">
        <v>892</v>
      </c>
      <c r="J37" s="17" t="s">
        <v>898</v>
      </c>
      <c r="K37" s="46" t="s">
        <v>897</v>
      </c>
      <c r="L37" s="3"/>
      <c r="M37" s="3"/>
      <c r="N37" s="10"/>
      <c r="O37" s="18"/>
      <c r="Q37" s="2">
        <v>175</v>
      </c>
      <c r="R37" s="2">
        <v>176</v>
      </c>
      <c r="S37" s="22">
        <v>177</v>
      </c>
      <c r="T37" s="22">
        <v>178</v>
      </c>
      <c r="U37" s="22">
        <v>179</v>
      </c>
      <c r="V37" s="22">
        <v>180</v>
      </c>
    </row>
    <row r="38" spans="1:25" ht="15.95" customHeight="1" x14ac:dyDescent="0.2">
      <c r="A38" s="98"/>
      <c r="B38" s="103"/>
      <c r="C38" s="19" t="s">
        <v>896</v>
      </c>
      <c r="D38" s="3"/>
      <c r="E38" s="3"/>
      <c r="F38" s="17" t="s">
        <v>894</v>
      </c>
      <c r="G38" s="17" t="s">
        <v>893</v>
      </c>
      <c r="H38" s="81" t="s">
        <v>891</v>
      </c>
      <c r="I38" s="46" t="s">
        <v>892</v>
      </c>
      <c r="J38" s="17" t="s">
        <v>898</v>
      </c>
      <c r="K38" s="46" t="s">
        <v>897</v>
      </c>
      <c r="L38" s="3"/>
      <c r="M38" s="3"/>
      <c r="N38" s="13"/>
      <c r="O38" s="18"/>
      <c r="Q38" s="2">
        <v>181</v>
      </c>
      <c r="R38" s="2">
        <v>182</v>
      </c>
      <c r="S38" s="22">
        <v>183</v>
      </c>
      <c r="T38" s="22">
        <v>184</v>
      </c>
      <c r="U38" s="22">
        <v>185</v>
      </c>
      <c r="V38" s="22">
        <v>186</v>
      </c>
    </row>
    <row r="39" spans="1:25" ht="15.95" customHeight="1" x14ac:dyDescent="0.2">
      <c r="A39" s="98"/>
      <c r="B39" s="103"/>
      <c r="C39" s="86" t="s">
        <v>899</v>
      </c>
      <c r="D39" s="3">
        <v>0</v>
      </c>
      <c r="E39" s="3"/>
      <c r="F39" s="43" t="s">
        <v>204</v>
      </c>
      <c r="G39" s="43" t="s">
        <v>645</v>
      </c>
      <c r="H39" s="82" t="s">
        <v>227</v>
      </c>
      <c r="I39" s="82" t="s">
        <v>634</v>
      </c>
      <c r="J39" s="3"/>
      <c r="K39" s="3"/>
      <c r="L39" s="3"/>
      <c r="M39" s="3"/>
      <c r="N39" s="13"/>
      <c r="O39" s="37"/>
      <c r="Q39" s="2">
        <v>493</v>
      </c>
      <c r="R39" s="2">
        <v>494</v>
      </c>
      <c r="S39" s="2">
        <v>495</v>
      </c>
      <c r="T39" s="2">
        <v>496</v>
      </c>
      <c r="U39" s="22"/>
      <c r="V39" s="22"/>
    </row>
    <row r="40" spans="1:25" ht="15.95" customHeight="1" x14ac:dyDescent="0.2">
      <c r="A40" s="98"/>
      <c r="B40" s="103"/>
      <c r="C40" s="86" t="s">
        <v>899</v>
      </c>
      <c r="D40" s="3">
        <v>1</v>
      </c>
      <c r="E40" s="3"/>
      <c r="F40" s="43" t="s">
        <v>226</v>
      </c>
      <c r="G40" s="43" t="s">
        <v>645</v>
      </c>
      <c r="H40" s="82" t="s">
        <v>227</v>
      </c>
      <c r="I40" s="82" t="s">
        <v>634</v>
      </c>
      <c r="J40" s="3"/>
      <c r="K40" s="3"/>
      <c r="L40" s="3"/>
      <c r="M40" s="3"/>
      <c r="N40" s="13"/>
      <c r="O40" s="37"/>
      <c r="Q40" s="2">
        <v>493</v>
      </c>
      <c r="R40" s="2">
        <v>494</v>
      </c>
      <c r="S40" s="2">
        <v>495</v>
      </c>
      <c r="T40" s="2">
        <v>496</v>
      </c>
      <c r="U40" s="22"/>
      <c r="V40" s="22"/>
    </row>
    <row r="41" spans="1:25" ht="15.95" customHeight="1" x14ac:dyDescent="0.2">
      <c r="A41" s="98"/>
      <c r="B41" s="103"/>
      <c r="C41" s="86" t="s">
        <v>899</v>
      </c>
      <c r="D41" s="3">
        <v>2</v>
      </c>
      <c r="E41" s="3"/>
      <c r="F41" s="82" t="s">
        <v>226</v>
      </c>
      <c r="G41" s="82" t="s">
        <v>635</v>
      </c>
      <c r="H41" s="44" t="s">
        <v>204</v>
      </c>
      <c r="I41" s="44" t="s">
        <v>645</v>
      </c>
      <c r="J41" s="3"/>
      <c r="K41" s="3"/>
      <c r="L41" s="3"/>
      <c r="M41" s="3"/>
      <c r="N41" s="13"/>
      <c r="O41" s="37"/>
      <c r="Q41" s="2">
        <v>493</v>
      </c>
      <c r="R41" s="2">
        <v>494</v>
      </c>
      <c r="S41" s="2">
        <v>495</v>
      </c>
      <c r="T41" s="2">
        <v>496</v>
      </c>
      <c r="U41" s="22"/>
      <c r="V41" s="22"/>
    </row>
    <row r="42" spans="1:25" ht="15.95" customHeight="1" x14ac:dyDescent="0.2">
      <c r="A42" s="98"/>
      <c r="B42" s="103"/>
      <c r="C42" s="86" t="s">
        <v>899</v>
      </c>
      <c r="D42" s="3">
        <v>3</v>
      </c>
      <c r="E42" s="3"/>
      <c r="F42" s="82" t="s">
        <v>226</v>
      </c>
      <c r="G42" s="82" t="s">
        <v>635</v>
      </c>
      <c r="H42" s="44" t="s">
        <v>226</v>
      </c>
      <c r="I42" s="44" t="s">
        <v>635</v>
      </c>
      <c r="J42" s="3"/>
      <c r="K42" s="3"/>
      <c r="L42" s="3"/>
      <c r="M42" s="3"/>
      <c r="N42" s="13"/>
      <c r="O42" s="37"/>
      <c r="Q42" s="2">
        <v>493</v>
      </c>
      <c r="R42" s="2">
        <v>494</v>
      </c>
      <c r="S42" s="2">
        <v>495</v>
      </c>
      <c r="T42" s="2">
        <v>496</v>
      </c>
      <c r="U42" s="22"/>
      <c r="V42" s="22"/>
    </row>
    <row r="43" spans="1:25" ht="15.95" customHeight="1" x14ac:dyDescent="0.2">
      <c r="A43" s="98"/>
      <c r="B43" s="103"/>
      <c r="C43" s="86" t="s">
        <v>899</v>
      </c>
      <c r="D43" s="3">
        <v>4</v>
      </c>
      <c r="E43" s="3"/>
      <c r="F43" s="43" t="s">
        <v>204</v>
      </c>
      <c r="G43" s="43" t="s">
        <v>645</v>
      </c>
      <c r="H43" s="82" t="s">
        <v>227</v>
      </c>
      <c r="I43" s="82" t="s">
        <v>634</v>
      </c>
      <c r="J43" s="3"/>
      <c r="K43" s="3"/>
      <c r="L43" s="3"/>
      <c r="M43" s="3"/>
      <c r="N43" s="13"/>
      <c r="O43" s="37"/>
      <c r="Q43" s="2">
        <v>493</v>
      </c>
      <c r="R43" s="2">
        <v>494</v>
      </c>
      <c r="S43" s="2">
        <v>495</v>
      </c>
      <c r="T43" s="2">
        <v>496</v>
      </c>
      <c r="U43" s="22"/>
      <c r="V43" s="22"/>
    </row>
    <row r="44" spans="1:25" ht="15.95" customHeight="1" x14ac:dyDescent="0.2">
      <c r="A44" s="98"/>
      <c r="B44" s="103"/>
      <c r="C44" s="86" t="s">
        <v>899</v>
      </c>
      <c r="D44" s="3">
        <v>5</v>
      </c>
      <c r="E44" s="3"/>
      <c r="F44" s="43" t="s">
        <v>204</v>
      </c>
      <c r="G44" s="43" t="s">
        <v>645</v>
      </c>
      <c r="H44" s="82" t="s">
        <v>227</v>
      </c>
      <c r="I44" s="82" t="s">
        <v>634</v>
      </c>
      <c r="J44" s="3"/>
      <c r="K44" s="3"/>
      <c r="L44" s="3"/>
      <c r="M44" s="3"/>
      <c r="N44" s="13"/>
      <c r="O44" s="37"/>
      <c r="Q44" s="2">
        <v>493</v>
      </c>
      <c r="R44" s="2">
        <v>494</v>
      </c>
      <c r="S44" s="2">
        <v>495</v>
      </c>
      <c r="T44" s="2">
        <v>496</v>
      </c>
      <c r="U44" s="22"/>
      <c r="V44" s="22"/>
    </row>
    <row r="45" spans="1:25" ht="15.95" customHeight="1" x14ac:dyDescent="0.2">
      <c r="A45" s="98"/>
      <c r="B45" s="103"/>
      <c r="C45" s="86" t="s">
        <v>900</v>
      </c>
      <c r="D45" s="3">
        <v>0</v>
      </c>
      <c r="E45" s="3"/>
      <c r="F45" s="43" t="s">
        <v>646</v>
      </c>
      <c r="G45" s="43" t="s">
        <v>647</v>
      </c>
      <c r="H45" s="82" t="s">
        <v>648</v>
      </c>
      <c r="I45" s="82" t="s">
        <v>649</v>
      </c>
      <c r="J45" s="3"/>
      <c r="K45" s="3"/>
      <c r="L45" s="3"/>
      <c r="M45" s="3"/>
      <c r="N45" s="13"/>
      <c r="O45" s="37"/>
      <c r="Q45" s="2">
        <v>497</v>
      </c>
      <c r="R45" s="2">
        <v>498</v>
      </c>
      <c r="S45" s="2">
        <v>499</v>
      </c>
      <c r="T45" s="2">
        <v>500</v>
      </c>
      <c r="U45" s="22"/>
      <c r="V45" s="22"/>
    </row>
    <row r="46" spans="1:25" ht="15.95" customHeight="1" x14ac:dyDescent="0.2">
      <c r="A46" s="98"/>
      <c r="B46" s="103"/>
      <c r="C46" s="86" t="s">
        <v>900</v>
      </c>
      <c r="D46" s="3">
        <v>1</v>
      </c>
      <c r="E46" s="3"/>
      <c r="F46" s="43" t="s">
        <v>227</v>
      </c>
      <c r="G46" s="43" t="s">
        <v>647</v>
      </c>
      <c r="H46" s="82" t="s">
        <v>648</v>
      </c>
      <c r="I46" s="82" t="s">
        <v>649</v>
      </c>
      <c r="J46" s="3"/>
      <c r="K46" s="3"/>
      <c r="L46" s="3"/>
      <c r="M46" s="3"/>
      <c r="N46" s="13"/>
      <c r="O46" s="37"/>
      <c r="Q46" s="2">
        <v>497</v>
      </c>
      <c r="R46" s="2">
        <v>498</v>
      </c>
      <c r="S46" s="2">
        <v>499</v>
      </c>
      <c r="T46" s="2">
        <v>500</v>
      </c>
      <c r="U46" s="22"/>
      <c r="V46" s="22"/>
    </row>
    <row r="47" spans="1:25" ht="15.95" customHeight="1" x14ac:dyDescent="0.2">
      <c r="A47" s="98"/>
      <c r="B47" s="103"/>
      <c r="C47" s="86" t="s">
        <v>900</v>
      </c>
      <c r="D47" s="3">
        <v>2</v>
      </c>
      <c r="E47" s="3"/>
      <c r="F47" s="82" t="s">
        <v>227</v>
      </c>
      <c r="G47" s="82" t="s">
        <v>636</v>
      </c>
      <c r="H47" s="44" t="s">
        <v>227</v>
      </c>
      <c r="I47" s="44" t="s">
        <v>636</v>
      </c>
      <c r="J47" s="3"/>
      <c r="K47" s="3"/>
      <c r="L47" s="3"/>
      <c r="M47" s="3"/>
      <c r="N47" s="13"/>
      <c r="O47" s="37"/>
      <c r="Q47" s="2">
        <v>497</v>
      </c>
      <c r="R47" s="2">
        <v>498</v>
      </c>
      <c r="S47" s="2">
        <v>499</v>
      </c>
      <c r="T47" s="2">
        <v>500</v>
      </c>
      <c r="U47" s="22"/>
      <c r="V47" s="22"/>
    </row>
    <row r="48" spans="1:25" ht="15.95" customHeight="1" x14ac:dyDescent="0.2">
      <c r="A48" s="98"/>
      <c r="B48" s="103"/>
      <c r="C48" s="86" t="s">
        <v>900</v>
      </c>
      <c r="D48" s="3">
        <v>3</v>
      </c>
      <c r="E48" s="3"/>
      <c r="F48" s="82" t="s">
        <v>227</v>
      </c>
      <c r="G48" s="82" t="s">
        <v>636</v>
      </c>
      <c r="H48" s="44" t="s">
        <v>227</v>
      </c>
      <c r="I48" s="44" t="s">
        <v>636</v>
      </c>
      <c r="J48" s="3"/>
      <c r="K48" s="3"/>
      <c r="L48" s="3"/>
      <c r="M48" s="3"/>
      <c r="N48" s="13"/>
      <c r="O48" s="37"/>
      <c r="Q48" s="2">
        <v>497</v>
      </c>
      <c r="R48" s="2">
        <v>498</v>
      </c>
      <c r="S48" s="2">
        <v>499</v>
      </c>
      <c r="T48" s="2">
        <v>500</v>
      </c>
      <c r="U48" s="22"/>
      <c r="V48" s="22"/>
    </row>
    <row r="49" spans="1:22" ht="15.95" customHeight="1" x14ac:dyDescent="0.2">
      <c r="A49" s="98"/>
      <c r="B49" s="103"/>
      <c r="C49" s="86" t="s">
        <v>900</v>
      </c>
      <c r="D49" s="3">
        <v>4</v>
      </c>
      <c r="E49" s="3"/>
      <c r="F49" s="43" t="s">
        <v>646</v>
      </c>
      <c r="G49" s="43" t="s">
        <v>647</v>
      </c>
      <c r="H49" s="82" t="s">
        <v>648</v>
      </c>
      <c r="I49" s="82" t="s">
        <v>649</v>
      </c>
      <c r="J49" s="3"/>
      <c r="K49" s="3"/>
      <c r="L49" s="3"/>
      <c r="M49" s="3"/>
      <c r="N49" s="13"/>
      <c r="O49" s="37"/>
      <c r="Q49" s="2">
        <v>497</v>
      </c>
      <c r="R49" s="2">
        <v>498</v>
      </c>
      <c r="S49" s="2">
        <v>499</v>
      </c>
      <c r="T49" s="2">
        <v>500</v>
      </c>
      <c r="U49" s="22"/>
      <c r="V49" s="22"/>
    </row>
    <row r="50" spans="1:22" ht="15.95" customHeight="1" x14ac:dyDescent="0.2">
      <c r="A50" s="98"/>
      <c r="B50" s="103"/>
      <c r="C50" s="86" t="s">
        <v>900</v>
      </c>
      <c r="D50" s="3">
        <v>5</v>
      </c>
      <c r="E50" s="3"/>
      <c r="F50" s="43" t="s">
        <v>646</v>
      </c>
      <c r="G50" s="43" t="s">
        <v>647</v>
      </c>
      <c r="H50" s="82" t="s">
        <v>648</v>
      </c>
      <c r="I50" s="82" t="s">
        <v>649</v>
      </c>
      <c r="J50" s="3"/>
      <c r="K50" s="3"/>
      <c r="L50" s="3"/>
      <c r="M50" s="3"/>
      <c r="N50" s="13"/>
      <c r="O50" s="37"/>
      <c r="Q50" s="2">
        <v>497</v>
      </c>
      <c r="R50" s="2">
        <v>498</v>
      </c>
      <c r="S50" s="2">
        <v>499</v>
      </c>
      <c r="T50" s="2">
        <v>500</v>
      </c>
      <c r="U50" s="22"/>
      <c r="V50" s="22"/>
    </row>
    <row r="51" spans="1:22" ht="15.95" customHeight="1" x14ac:dyDescent="0.2">
      <c r="A51" s="98"/>
      <c r="B51" s="103"/>
      <c r="C51" s="19" t="s">
        <v>440</v>
      </c>
      <c r="D51" s="3">
        <v>120</v>
      </c>
      <c r="E51" s="3"/>
      <c r="F51" s="82">
        <v>3</v>
      </c>
      <c r="G51" s="44" t="s">
        <v>903</v>
      </c>
      <c r="H51" s="3"/>
      <c r="I51" s="3"/>
      <c r="J51" s="3"/>
      <c r="K51" s="3"/>
      <c r="L51" s="3"/>
      <c r="M51" s="3"/>
      <c r="N51" s="13"/>
      <c r="O51" s="37" t="s">
        <v>656</v>
      </c>
      <c r="Q51" s="2">
        <v>501</v>
      </c>
      <c r="R51" s="2">
        <v>502</v>
      </c>
      <c r="S51" s="22"/>
      <c r="T51" s="22"/>
      <c r="U51" s="22"/>
      <c r="V51" s="22"/>
    </row>
    <row r="52" spans="1:22" ht="15.95" customHeight="1" x14ac:dyDescent="0.2">
      <c r="A52" s="98"/>
      <c r="B52" s="103"/>
      <c r="C52" s="19" t="s">
        <v>440</v>
      </c>
      <c r="D52" s="3">
        <v>34</v>
      </c>
      <c r="E52" s="3"/>
      <c r="F52" s="82">
        <v>3</v>
      </c>
      <c r="G52" s="44" t="s">
        <v>903</v>
      </c>
      <c r="H52" s="3"/>
      <c r="I52" s="3"/>
      <c r="J52" s="3"/>
      <c r="K52" s="3"/>
      <c r="L52" s="3"/>
      <c r="M52" s="3"/>
      <c r="N52" s="13"/>
      <c r="O52" s="37" t="s">
        <v>638</v>
      </c>
      <c r="Q52" s="2">
        <v>501</v>
      </c>
      <c r="R52" s="2">
        <v>502</v>
      </c>
      <c r="S52" s="22"/>
      <c r="T52" s="22"/>
      <c r="U52" s="22"/>
      <c r="V52" s="22"/>
    </row>
    <row r="53" spans="1:22" ht="15.95" customHeight="1" x14ac:dyDescent="0.2">
      <c r="A53" s="98"/>
      <c r="B53" s="103"/>
      <c r="C53" s="19" t="s">
        <v>440</v>
      </c>
      <c r="D53" s="3">
        <v>5</v>
      </c>
      <c r="E53" s="3"/>
      <c r="F53" s="82">
        <v>4</v>
      </c>
      <c r="G53" s="44" t="s">
        <v>904</v>
      </c>
      <c r="H53" s="3"/>
      <c r="I53" s="3"/>
      <c r="J53" s="3"/>
      <c r="K53" s="3"/>
      <c r="L53" s="3"/>
      <c r="M53" s="3"/>
      <c r="N53" s="13"/>
      <c r="O53" s="37" t="s">
        <v>638</v>
      </c>
      <c r="Q53" s="2">
        <v>501</v>
      </c>
      <c r="R53" s="2">
        <v>502</v>
      </c>
      <c r="S53" s="22"/>
      <c r="T53" s="22"/>
      <c r="U53" s="22"/>
      <c r="V53" s="22"/>
    </row>
    <row r="54" spans="1:22" ht="15.95" customHeight="1" x14ac:dyDescent="0.2">
      <c r="A54" s="98"/>
      <c r="B54" s="103"/>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98"/>
      <c r="B55" s="103"/>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98"/>
      <c r="B56" s="94" t="s">
        <v>225</v>
      </c>
      <c r="C56" s="19" t="s">
        <v>901</v>
      </c>
      <c r="D56" s="3">
        <v>0</v>
      </c>
      <c r="E56" s="88"/>
      <c r="F56" s="105" t="s">
        <v>871</v>
      </c>
      <c r="G56" s="106"/>
      <c r="H56" s="105" t="s">
        <v>872</v>
      </c>
      <c r="I56" s="106"/>
      <c r="J56" s="3"/>
      <c r="K56" s="3"/>
      <c r="L56" s="3"/>
      <c r="M56" s="3"/>
      <c r="N56" s="38"/>
      <c r="O56" s="18" t="s">
        <v>510</v>
      </c>
      <c r="Q56" s="2">
        <v>4</v>
      </c>
      <c r="S56" s="2">
        <v>5</v>
      </c>
    </row>
    <row r="57" spans="1:22" ht="15.95" customHeight="1" x14ac:dyDescent="0.2">
      <c r="A57" s="98"/>
      <c r="B57" s="95"/>
      <c r="C57" s="19" t="s">
        <v>901</v>
      </c>
      <c r="D57" s="3">
        <v>14</v>
      </c>
      <c r="E57" s="88"/>
      <c r="F57" s="110" t="s">
        <v>874</v>
      </c>
      <c r="G57" s="111"/>
      <c r="H57" s="3"/>
      <c r="I57" s="3"/>
      <c r="J57" s="3"/>
      <c r="K57" s="3"/>
      <c r="L57" s="3"/>
      <c r="M57" s="3"/>
      <c r="N57" s="38"/>
      <c r="O57" s="18"/>
      <c r="Q57" s="2">
        <v>302</v>
      </c>
      <c r="S57" s="2"/>
    </row>
    <row r="58" spans="1:22" ht="15.95" customHeight="1" x14ac:dyDescent="0.2">
      <c r="A58" s="98"/>
      <c r="B58" s="95"/>
      <c r="C58" s="19" t="s">
        <v>901</v>
      </c>
      <c r="D58" s="3">
        <v>2</v>
      </c>
      <c r="E58" s="88"/>
      <c r="F58" s="110" t="s">
        <v>875</v>
      </c>
      <c r="G58" s="111"/>
      <c r="H58" s="3"/>
      <c r="I58" s="3"/>
      <c r="J58" s="3"/>
      <c r="K58" s="3"/>
      <c r="L58" s="3"/>
      <c r="M58" s="3"/>
      <c r="N58" s="38"/>
      <c r="O58" s="18"/>
      <c r="Q58" s="2">
        <v>302</v>
      </c>
      <c r="S58" s="2"/>
    </row>
    <row r="59" spans="1:22" ht="15.95" customHeight="1" x14ac:dyDescent="0.2">
      <c r="A59" s="98"/>
      <c r="B59" s="95"/>
      <c r="C59" s="19" t="s">
        <v>901</v>
      </c>
      <c r="D59" s="3">
        <v>35</v>
      </c>
      <c r="E59" s="88"/>
      <c r="F59" s="110" t="s">
        <v>870</v>
      </c>
      <c r="G59" s="111"/>
      <c r="H59" s="3"/>
      <c r="I59" s="3"/>
      <c r="J59" s="3"/>
      <c r="K59" s="3"/>
      <c r="L59" s="3"/>
      <c r="M59" s="3"/>
      <c r="N59" s="38"/>
      <c r="O59" s="18"/>
      <c r="Q59" s="2">
        <v>302</v>
      </c>
      <c r="S59" s="2"/>
    </row>
    <row r="60" spans="1:22" ht="15.95" customHeight="1" x14ac:dyDescent="0.2">
      <c r="A60" s="98"/>
      <c r="B60" s="95"/>
      <c r="C60" s="19" t="s">
        <v>902</v>
      </c>
      <c r="D60" s="3">
        <v>14</v>
      </c>
      <c r="E60" s="88"/>
      <c r="F60" s="110" t="s">
        <v>873</v>
      </c>
      <c r="G60" s="111"/>
      <c r="H60" s="3"/>
      <c r="I60" s="3"/>
      <c r="J60" s="3"/>
      <c r="K60" s="3"/>
      <c r="L60" s="3"/>
      <c r="M60" s="3"/>
      <c r="N60" s="10"/>
      <c r="O60" s="18"/>
      <c r="Q60" s="2">
        <v>303</v>
      </c>
    </row>
    <row r="61" spans="1:22" ht="15.95" customHeight="1" x14ac:dyDescent="0.2">
      <c r="A61" s="98"/>
      <c r="B61" s="95"/>
      <c r="C61" s="19" t="s">
        <v>902</v>
      </c>
      <c r="D61" s="3">
        <v>2</v>
      </c>
      <c r="E61" s="88"/>
      <c r="F61" s="110" t="s">
        <v>873</v>
      </c>
      <c r="G61" s="111"/>
      <c r="H61" s="3"/>
      <c r="I61" s="3"/>
      <c r="J61" s="3"/>
      <c r="K61" s="3"/>
      <c r="L61" s="3"/>
      <c r="M61" s="3"/>
      <c r="N61" s="10"/>
      <c r="O61" s="18"/>
      <c r="Q61" s="2">
        <v>303</v>
      </c>
    </row>
    <row r="62" spans="1:22" ht="15.95" customHeight="1" x14ac:dyDescent="0.2">
      <c r="A62" s="98"/>
      <c r="B62" s="96"/>
      <c r="C62" s="19" t="s">
        <v>902</v>
      </c>
      <c r="D62" s="3">
        <v>35</v>
      </c>
      <c r="E62" s="88"/>
      <c r="F62" s="110" t="s">
        <v>873</v>
      </c>
      <c r="G62" s="111"/>
      <c r="H62" s="3"/>
      <c r="I62" s="3"/>
      <c r="J62" s="3"/>
      <c r="K62" s="3"/>
      <c r="L62" s="3"/>
      <c r="M62" s="3"/>
      <c r="N62" s="10"/>
      <c r="O62" s="18"/>
      <c r="Q62" s="2">
        <v>303</v>
      </c>
    </row>
    <row r="63" spans="1:22" ht="15.95" customHeight="1" x14ac:dyDescent="0.2">
      <c r="A63" s="98"/>
      <c r="B63" s="94" t="s">
        <v>876</v>
      </c>
      <c r="C63" s="19" t="s">
        <v>859</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98"/>
      <c r="B64" s="95"/>
      <c r="C64" s="19" t="s">
        <v>859</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98"/>
      <c r="B65" s="95"/>
      <c r="C65" s="19" t="s">
        <v>859</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98"/>
      <c r="B66" s="95"/>
      <c r="C66" s="19" t="s">
        <v>860</v>
      </c>
      <c r="D66" s="3">
        <v>23</v>
      </c>
      <c r="E66" s="3"/>
      <c r="F66" s="81" t="s">
        <v>238</v>
      </c>
      <c r="G66" s="81" t="s">
        <v>236</v>
      </c>
      <c r="H66" s="47" t="s">
        <v>237</v>
      </c>
      <c r="I66" s="3"/>
      <c r="J66" s="3"/>
      <c r="K66" s="3"/>
      <c r="L66" s="3"/>
      <c r="M66" s="3"/>
      <c r="N66" s="10"/>
      <c r="O66" s="18" t="s">
        <v>851</v>
      </c>
      <c r="Q66" s="1">
        <v>411</v>
      </c>
      <c r="R66" s="1">
        <v>412</v>
      </c>
      <c r="S66" s="1">
        <v>413</v>
      </c>
    </row>
    <row r="67" spans="1:23" ht="15.95" customHeight="1" x14ac:dyDescent="0.2">
      <c r="A67" s="98"/>
      <c r="B67" s="95"/>
      <c r="C67" s="19" t="s">
        <v>859</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98"/>
      <c r="B68" s="95"/>
      <c r="C68" s="19" t="s">
        <v>860</v>
      </c>
      <c r="D68" s="3">
        <v>5</v>
      </c>
      <c r="E68" s="3"/>
      <c r="F68" s="81" t="s">
        <v>238</v>
      </c>
      <c r="G68" s="81" t="s">
        <v>236</v>
      </c>
      <c r="H68" s="47" t="s">
        <v>237</v>
      </c>
      <c r="I68" s="3"/>
      <c r="J68" s="3"/>
      <c r="K68" s="3"/>
      <c r="L68" s="3"/>
      <c r="M68" s="3"/>
      <c r="N68" s="13"/>
      <c r="O68" s="18" t="s">
        <v>851</v>
      </c>
      <c r="Q68" s="1">
        <v>411</v>
      </c>
      <c r="R68" s="1">
        <v>412</v>
      </c>
      <c r="S68" s="1">
        <v>413</v>
      </c>
    </row>
    <row r="69" spans="1:23" ht="15.95" customHeight="1" x14ac:dyDescent="0.2">
      <c r="A69" s="98"/>
      <c r="B69" s="95"/>
      <c r="C69" s="19" t="s">
        <v>861</v>
      </c>
      <c r="D69" s="3"/>
      <c r="E69" s="3"/>
      <c r="F69" s="47" t="s">
        <v>865</v>
      </c>
      <c r="G69" s="47" t="s">
        <v>866</v>
      </c>
      <c r="H69" s="3"/>
      <c r="I69" s="3"/>
      <c r="J69" s="3"/>
      <c r="K69" s="3"/>
      <c r="L69" s="3"/>
      <c r="M69" s="3"/>
      <c r="N69" s="38"/>
      <c r="O69" s="18" t="s">
        <v>662</v>
      </c>
      <c r="Q69" s="2">
        <v>311</v>
      </c>
      <c r="R69" s="2">
        <v>405</v>
      </c>
      <c r="T69" s="2"/>
      <c r="U69" s="2"/>
    </row>
    <row r="70" spans="1:23" ht="15.95" customHeight="1" x14ac:dyDescent="0.2">
      <c r="A70" s="98"/>
      <c r="B70" s="95"/>
      <c r="C70" s="19" t="s">
        <v>862</v>
      </c>
      <c r="D70" s="3"/>
      <c r="E70" s="3"/>
      <c r="F70" s="81" t="s">
        <v>865</v>
      </c>
      <c r="G70" s="81" t="s">
        <v>866</v>
      </c>
      <c r="H70" s="3"/>
      <c r="I70" s="3"/>
      <c r="J70" s="3"/>
      <c r="K70" s="3"/>
      <c r="L70" s="3"/>
      <c r="M70" s="3"/>
      <c r="N70" s="38"/>
      <c r="O70" s="18" t="s">
        <v>662</v>
      </c>
      <c r="Q70" s="2">
        <v>313</v>
      </c>
      <c r="R70" s="2">
        <v>407</v>
      </c>
      <c r="T70" s="2"/>
      <c r="U70" s="2"/>
    </row>
    <row r="71" spans="1:23" ht="15.95" customHeight="1" x14ac:dyDescent="0.2">
      <c r="A71" s="98"/>
      <c r="B71" s="95"/>
      <c r="C71" s="19" t="s">
        <v>863</v>
      </c>
      <c r="D71" s="3"/>
      <c r="E71" s="3"/>
      <c r="F71" s="47" t="s">
        <v>865</v>
      </c>
      <c r="G71" s="47" t="s">
        <v>866</v>
      </c>
      <c r="H71" s="3"/>
      <c r="I71" s="3"/>
      <c r="J71" s="3"/>
      <c r="K71" s="3"/>
      <c r="L71" s="3"/>
      <c r="M71" s="3"/>
      <c r="N71" s="38"/>
      <c r="O71" s="18" t="s">
        <v>662</v>
      </c>
      <c r="Q71" s="2">
        <v>312</v>
      </c>
      <c r="R71" s="2">
        <v>406</v>
      </c>
      <c r="U71" s="2"/>
    </row>
    <row r="72" spans="1:23" ht="15.95" customHeight="1" x14ac:dyDescent="0.2">
      <c r="A72" s="98"/>
      <c r="B72" s="95"/>
      <c r="C72" s="19" t="s">
        <v>864</v>
      </c>
      <c r="D72" s="3"/>
      <c r="E72" s="3"/>
      <c r="F72" s="81" t="s">
        <v>865</v>
      </c>
      <c r="G72" s="81" t="s">
        <v>866</v>
      </c>
      <c r="H72" s="3"/>
      <c r="I72" s="3"/>
      <c r="J72" s="3"/>
      <c r="K72" s="3"/>
      <c r="L72" s="3"/>
      <c r="M72" s="3"/>
      <c r="N72" s="38"/>
      <c r="O72" s="18" t="s">
        <v>662</v>
      </c>
      <c r="Q72" s="2">
        <v>314</v>
      </c>
      <c r="R72" s="2">
        <v>408</v>
      </c>
      <c r="U72" s="2"/>
    </row>
    <row r="73" spans="1:23" ht="15.95" customHeight="1" x14ac:dyDescent="0.2">
      <c r="A73" s="98"/>
      <c r="B73" s="95"/>
      <c r="C73" s="19" t="s">
        <v>852</v>
      </c>
      <c r="D73" s="3"/>
      <c r="E73" s="3"/>
      <c r="F73" s="17" t="s">
        <v>80</v>
      </c>
      <c r="G73" s="17" t="s">
        <v>83</v>
      </c>
      <c r="H73" s="17" t="s">
        <v>81</v>
      </c>
      <c r="I73" s="17" t="s">
        <v>82</v>
      </c>
      <c r="J73" s="17" t="s">
        <v>60</v>
      </c>
      <c r="K73" s="3"/>
      <c r="L73" s="3"/>
      <c r="M73" s="3"/>
      <c r="N73" s="4"/>
      <c r="O73" s="18"/>
      <c r="Q73" s="22">
        <v>193</v>
      </c>
      <c r="R73" s="2">
        <v>79</v>
      </c>
      <c r="S73" s="2">
        <v>78</v>
      </c>
      <c r="T73" s="2">
        <v>21</v>
      </c>
      <c r="U73" s="2">
        <v>6</v>
      </c>
    </row>
    <row r="74" spans="1:23" ht="15.95" customHeight="1" x14ac:dyDescent="0.2">
      <c r="A74" s="98"/>
      <c r="B74" s="95"/>
      <c r="C74" s="19" t="s">
        <v>853</v>
      </c>
      <c r="D74" s="3"/>
      <c r="E74" s="3"/>
      <c r="F74" s="49" t="s">
        <v>854</v>
      </c>
      <c r="G74" s="50" t="s">
        <v>855</v>
      </c>
      <c r="H74" s="3"/>
      <c r="I74" s="3"/>
      <c r="J74" s="3"/>
      <c r="K74" s="3"/>
      <c r="L74" s="3"/>
      <c r="M74" s="3"/>
      <c r="N74" s="4"/>
      <c r="O74" s="18"/>
      <c r="Q74" s="2">
        <v>305</v>
      </c>
      <c r="R74" s="2">
        <v>12</v>
      </c>
      <c r="S74" s="2"/>
      <c r="T74" s="2"/>
      <c r="U74" s="2"/>
      <c r="V74" s="2"/>
      <c r="W74" s="2"/>
    </row>
    <row r="75" spans="1:23" ht="15.95" customHeight="1" x14ac:dyDescent="0.2">
      <c r="A75" s="98"/>
      <c r="B75" s="95"/>
      <c r="C75" s="19" t="s">
        <v>867</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98"/>
      <c r="B76" s="95"/>
      <c r="C76" s="19" t="s">
        <v>869</v>
      </c>
      <c r="D76" s="3"/>
      <c r="E76" s="3"/>
      <c r="F76" s="82" t="s">
        <v>727</v>
      </c>
      <c r="G76" s="3"/>
      <c r="H76" s="3"/>
      <c r="I76" s="3"/>
      <c r="J76" s="3"/>
      <c r="K76" s="3"/>
      <c r="L76" s="3"/>
      <c r="M76" s="3"/>
      <c r="N76" s="10"/>
      <c r="O76" s="18"/>
      <c r="Q76" s="2">
        <v>348</v>
      </c>
      <c r="R76" s="2"/>
      <c r="S76" s="2"/>
      <c r="T76" s="2"/>
    </row>
    <row r="77" spans="1:23" ht="15.95" customHeight="1" x14ac:dyDescent="0.2">
      <c r="A77" s="98"/>
      <c r="B77" s="95"/>
      <c r="C77" s="86" t="s">
        <v>868</v>
      </c>
      <c r="D77" s="3"/>
      <c r="E77" s="3"/>
      <c r="F77" s="17" t="s">
        <v>209</v>
      </c>
      <c r="G77" s="82" t="s">
        <v>208</v>
      </c>
      <c r="I77" s="3"/>
      <c r="J77" s="3"/>
      <c r="K77" s="3"/>
      <c r="L77" s="3"/>
      <c r="M77" s="3"/>
      <c r="N77" s="13"/>
      <c r="O77" s="18" t="s">
        <v>514</v>
      </c>
      <c r="Q77" s="2">
        <v>10</v>
      </c>
      <c r="R77" s="2">
        <v>39</v>
      </c>
    </row>
    <row r="78" spans="1:23" ht="15.95" customHeight="1" x14ac:dyDescent="0.2">
      <c r="A78" s="98"/>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98"/>
      <c r="B79" s="94" t="s">
        <v>11</v>
      </c>
      <c r="C79" s="19" t="s">
        <v>601</v>
      </c>
      <c r="D79" s="3">
        <v>10</v>
      </c>
      <c r="E79" s="3"/>
      <c r="F79" s="81" t="s">
        <v>850</v>
      </c>
      <c r="G79" s="46" t="s">
        <v>746</v>
      </c>
      <c r="H79" s="47" t="s">
        <v>16</v>
      </c>
      <c r="I79" s="3"/>
      <c r="J79" s="3"/>
      <c r="K79" s="3"/>
      <c r="L79" s="3"/>
      <c r="M79" s="3"/>
      <c r="N79" s="4"/>
      <c r="O79" s="18" t="s">
        <v>339</v>
      </c>
      <c r="Q79" s="2">
        <v>2</v>
      </c>
      <c r="R79" s="2">
        <v>31</v>
      </c>
      <c r="S79" s="2">
        <v>32</v>
      </c>
      <c r="T79" s="2"/>
      <c r="U79" s="2"/>
      <c r="V79" s="2"/>
    </row>
    <row r="80" spans="1:23" ht="15.95" customHeight="1" x14ac:dyDescent="0.2">
      <c r="A80" s="98"/>
      <c r="B80" s="95"/>
      <c r="C80" s="19" t="s">
        <v>604</v>
      </c>
      <c r="D80" s="3">
        <v>10</v>
      </c>
      <c r="E80" s="3"/>
      <c r="F80" s="47" t="s">
        <v>850</v>
      </c>
      <c r="G80" s="81" t="s">
        <v>746</v>
      </c>
      <c r="H80" s="47" t="s">
        <v>16</v>
      </c>
      <c r="I80" s="42"/>
      <c r="J80" s="3"/>
      <c r="K80" s="3"/>
      <c r="L80" s="3"/>
      <c r="M80" s="3"/>
      <c r="N80" s="38"/>
      <c r="O80" s="18" t="s">
        <v>684</v>
      </c>
      <c r="Q80" s="2">
        <v>371</v>
      </c>
      <c r="R80" s="2">
        <v>372</v>
      </c>
      <c r="S80" s="2">
        <v>373</v>
      </c>
      <c r="T80" s="2"/>
    </row>
    <row r="81" spans="1:25" ht="15.95" customHeight="1" x14ac:dyDescent="0.2">
      <c r="A81" s="98"/>
      <c r="B81" s="95"/>
      <c r="C81" s="19" t="s">
        <v>601</v>
      </c>
      <c r="D81" s="3">
        <v>2345</v>
      </c>
      <c r="E81" s="3"/>
      <c r="F81" s="81" t="s">
        <v>850</v>
      </c>
      <c r="G81" s="46" t="s">
        <v>746</v>
      </c>
      <c r="H81" s="47" t="s">
        <v>16</v>
      </c>
      <c r="I81" s="3"/>
      <c r="J81" s="3"/>
      <c r="K81" s="3"/>
      <c r="L81" s="3"/>
      <c r="M81" s="3"/>
      <c r="N81" s="4"/>
      <c r="O81" s="18" t="s">
        <v>681</v>
      </c>
      <c r="Q81" s="2">
        <v>368</v>
      </c>
      <c r="R81" s="2">
        <v>369</v>
      </c>
      <c r="S81" s="2">
        <v>370</v>
      </c>
      <c r="T81" s="2"/>
      <c r="U81" s="2"/>
      <c r="V81" s="2"/>
    </row>
    <row r="82" spans="1:25" ht="15.95" customHeight="1" x14ac:dyDescent="0.2">
      <c r="A82" s="98"/>
      <c r="B82" s="95"/>
      <c r="C82" s="19" t="s">
        <v>602</v>
      </c>
      <c r="D82" s="3">
        <v>2345</v>
      </c>
      <c r="E82" s="3"/>
      <c r="F82" s="81" t="s">
        <v>850</v>
      </c>
      <c r="G82" s="46" t="s">
        <v>746</v>
      </c>
      <c r="H82" s="47" t="s">
        <v>16</v>
      </c>
      <c r="I82" s="3"/>
      <c r="J82" s="3"/>
      <c r="K82" s="3"/>
      <c r="L82" s="3"/>
      <c r="M82" s="3"/>
      <c r="N82" s="4"/>
      <c r="O82" s="18" t="s">
        <v>682</v>
      </c>
      <c r="Q82" s="2">
        <v>365</v>
      </c>
      <c r="R82" s="2">
        <v>366</v>
      </c>
      <c r="S82" s="2">
        <v>367</v>
      </c>
    </row>
    <row r="83" spans="1:25" ht="15.95" customHeight="1" x14ac:dyDescent="0.2">
      <c r="A83" s="98"/>
      <c r="B83" s="95"/>
      <c r="C83" s="19" t="s">
        <v>603</v>
      </c>
      <c r="D83" s="3">
        <v>2345</v>
      </c>
      <c r="E83" s="3"/>
      <c r="F83" s="81" t="s">
        <v>850</v>
      </c>
      <c r="G83" s="46" t="s">
        <v>746</v>
      </c>
      <c r="H83" s="47" t="s">
        <v>16</v>
      </c>
      <c r="I83" s="3"/>
      <c r="J83" s="3"/>
      <c r="K83" s="3"/>
      <c r="L83" s="3"/>
      <c r="M83" s="3"/>
      <c r="N83" s="4"/>
      <c r="O83" s="18" t="s">
        <v>683</v>
      </c>
      <c r="Q83" s="2">
        <v>360</v>
      </c>
      <c r="R83" s="2">
        <v>361</v>
      </c>
      <c r="S83" s="2">
        <v>362</v>
      </c>
    </row>
    <row r="84" spans="1:25" ht="15.95" customHeight="1" x14ac:dyDescent="0.2">
      <c r="A84" s="98"/>
      <c r="B84" s="95"/>
      <c r="C84" s="19" t="s">
        <v>604</v>
      </c>
      <c r="D84" s="3">
        <v>2345</v>
      </c>
      <c r="E84" s="3"/>
      <c r="F84" s="47" t="s">
        <v>850</v>
      </c>
      <c r="G84" s="81" t="s">
        <v>746</v>
      </c>
      <c r="H84" s="47" t="s">
        <v>16</v>
      </c>
      <c r="I84" s="42"/>
      <c r="J84" s="3"/>
      <c r="K84" s="3"/>
      <c r="L84" s="3"/>
      <c r="M84" s="3"/>
      <c r="N84" s="38"/>
      <c r="O84" s="18" t="s">
        <v>315</v>
      </c>
      <c r="Q84" s="2">
        <v>18</v>
      </c>
      <c r="R84" s="2">
        <v>19</v>
      </c>
      <c r="S84" s="2">
        <v>363</v>
      </c>
      <c r="T84" s="2"/>
    </row>
    <row r="85" spans="1:25" ht="15.95" customHeight="1" x14ac:dyDescent="0.2">
      <c r="A85" s="98"/>
      <c r="B85" s="96"/>
      <c r="C85" s="19" t="s">
        <v>605</v>
      </c>
      <c r="D85" s="3">
        <v>2345</v>
      </c>
      <c r="E85" s="3"/>
      <c r="F85" s="47" t="s">
        <v>850</v>
      </c>
      <c r="G85" s="81" t="s">
        <v>746</v>
      </c>
      <c r="H85" s="47" t="s">
        <v>16</v>
      </c>
      <c r="I85" s="42"/>
      <c r="J85" s="3"/>
      <c r="K85" s="3"/>
      <c r="L85" s="3"/>
      <c r="M85" s="3"/>
      <c r="N85" s="38"/>
      <c r="O85" s="18" t="s">
        <v>316</v>
      </c>
      <c r="Q85" s="2">
        <v>342</v>
      </c>
      <c r="R85" s="2">
        <v>343</v>
      </c>
      <c r="S85" s="2">
        <v>364</v>
      </c>
      <c r="T85" s="2"/>
    </row>
    <row r="86" spans="1:25" ht="15.95" customHeight="1" x14ac:dyDescent="0.2">
      <c r="A86" s="98"/>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98"/>
      <c r="B87" s="95"/>
      <c r="C87" s="19" t="s">
        <v>845</v>
      </c>
      <c r="D87" s="3"/>
      <c r="E87" s="3"/>
      <c r="F87" s="45" t="s">
        <v>88</v>
      </c>
      <c r="G87" s="3"/>
      <c r="H87" s="3"/>
      <c r="I87" s="3"/>
      <c r="J87" s="3"/>
      <c r="K87" s="3"/>
      <c r="L87" s="3"/>
      <c r="M87" s="3"/>
      <c r="N87" s="13"/>
      <c r="O87" s="18"/>
      <c r="Q87" s="2">
        <v>38</v>
      </c>
    </row>
    <row r="88" spans="1:25" ht="15.95" customHeight="1" x14ac:dyDescent="0.2">
      <c r="A88" s="98"/>
      <c r="B88" s="95"/>
      <c r="C88" s="19" t="s">
        <v>846</v>
      </c>
      <c r="D88" s="3"/>
      <c r="E88" s="3"/>
      <c r="F88" s="45" t="s">
        <v>214</v>
      </c>
      <c r="G88" s="3"/>
      <c r="H88" s="3"/>
      <c r="I88" s="3"/>
      <c r="J88" s="3"/>
      <c r="K88" s="3"/>
      <c r="L88" s="3"/>
      <c r="M88" s="3"/>
      <c r="N88" s="10"/>
      <c r="O88" s="18"/>
      <c r="Q88" s="2">
        <v>37</v>
      </c>
      <c r="R88" s="2"/>
      <c r="S88" s="2"/>
      <c r="T88" s="21"/>
    </row>
    <row r="89" spans="1:25" ht="15.95" customHeight="1" x14ac:dyDescent="0.2">
      <c r="A89" s="98"/>
      <c r="B89" s="95"/>
      <c r="C89" s="19" t="s">
        <v>847</v>
      </c>
      <c r="D89" s="3"/>
      <c r="E89" s="3"/>
      <c r="F89" s="83" t="s">
        <v>844</v>
      </c>
      <c r="G89" s="3"/>
      <c r="H89" s="3"/>
      <c r="I89" s="3"/>
      <c r="J89" s="3"/>
      <c r="K89" s="3"/>
      <c r="L89" s="3"/>
      <c r="M89" s="3"/>
      <c r="N89" s="13"/>
      <c r="O89" s="18"/>
      <c r="Q89" s="2">
        <v>304</v>
      </c>
      <c r="S89" s="2"/>
    </row>
    <row r="90" spans="1:25" ht="15.95" customHeight="1" x14ac:dyDescent="0.2">
      <c r="A90" s="98"/>
      <c r="B90" s="95"/>
      <c r="C90" s="19" t="s">
        <v>848</v>
      </c>
      <c r="D90" s="3"/>
      <c r="E90" s="3"/>
      <c r="F90" s="45" t="s">
        <v>105</v>
      </c>
      <c r="G90" s="3"/>
      <c r="H90" s="3"/>
      <c r="I90" s="3"/>
      <c r="J90" s="3"/>
      <c r="K90" s="3"/>
      <c r="L90" s="3"/>
      <c r="M90" s="3"/>
      <c r="N90" s="13"/>
      <c r="O90" s="18"/>
      <c r="Q90" s="2">
        <v>7</v>
      </c>
      <c r="R90" s="2"/>
      <c r="S90" s="2"/>
    </row>
    <row r="91" spans="1:25" ht="15.95" customHeight="1" x14ac:dyDescent="0.2">
      <c r="A91" s="98"/>
      <c r="B91" s="95"/>
      <c r="C91" s="19" t="s">
        <v>849</v>
      </c>
      <c r="D91" s="3"/>
      <c r="E91" s="3"/>
      <c r="F91" s="45" t="s">
        <v>442</v>
      </c>
      <c r="G91" s="3"/>
      <c r="H91" s="3"/>
      <c r="I91" s="3"/>
      <c r="J91" s="3"/>
      <c r="K91" s="3"/>
      <c r="L91" s="3"/>
      <c r="M91" s="3"/>
      <c r="N91" s="13"/>
      <c r="O91" s="18"/>
      <c r="Q91" s="21">
        <v>11</v>
      </c>
      <c r="R91" s="2"/>
      <c r="S91" s="2"/>
      <c r="T91" s="2"/>
      <c r="U91" s="21"/>
    </row>
    <row r="92" spans="1:25" ht="15.95" customHeight="1" x14ac:dyDescent="0.2">
      <c r="A92" s="98"/>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98"/>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98"/>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98"/>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98"/>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98"/>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98"/>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98"/>
      <c r="B99" s="94" t="s">
        <v>40</v>
      </c>
      <c r="C99" s="19" t="s">
        <v>837</v>
      </c>
      <c r="D99" s="3"/>
      <c r="E99" s="3"/>
      <c r="F99" s="81" t="s">
        <v>838</v>
      </c>
      <c r="G99" s="47" t="s">
        <v>85</v>
      </c>
      <c r="H99" s="3"/>
      <c r="I99" s="3"/>
      <c r="J99" s="3"/>
      <c r="K99" s="3"/>
      <c r="L99" s="3"/>
      <c r="M99" s="3"/>
      <c r="N99" s="10"/>
      <c r="O99" s="18"/>
      <c r="Q99" s="2">
        <v>74</v>
      </c>
      <c r="R99" s="2">
        <v>200</v>
      </c>
    </row>
    <row r="100" spans="1:25" ht="14.25" customHeight="1" x14ac:dyDescent="0.2">
      <c r="A100" s="98"/>
      <c r="B100" s="95"/>
      <c r="C100" s="19" t="s">
        <v>839</v>
      </c>
      <c r="D100" s="3"/>
      <c r="E100" s="3"/>
      <c r="F100" s="47" t="s">
        <v>291</v>
      </c>
      <c r="G100" s="47" t="s">
        <v>290</v>
      </c>
      <c r="H100" s="3"/>
      <c r="I100" s="3"/>
      <c r="J100" s="3"/>
      <c r="K100" s="3"/>
      <c r="L100" s="3"/>
      <c r="M100" s="3"/>
      <c r="N100" s="13"/>
      <c r="O100" s="18"/>
      <c r="Q100" s="2">
        <v>349</v>
      </c>
      <c r="R100" s="2">
        <v>350</v>
      </c>
    </row>
    <row r="101" spans="1:25" x14ac:dyDescent="0.2">
      <c r="A101" s="98"/>
      <c r="B101" s="95"/>
      <c r="C101" s="19" t="s">
        <v>840</v>
      </c>
      <c r="D101" s="3"/>
      <c r="E101" s="3"/>
      <c r="F101" s="47" t="s">
        <v>288</v>
      </c>
      <c r="G101" s="3"/>
      <c r="H101" s="3"/>
      <c r="I101" s="3"/>
      <c r="J101" s="3"/>
      <c r="K101" s="3"/>
      <c r="L101" s="3"/>
      <c r="M101" s="3"/>
      <c r="N101" s="13"/>
      <c r="O101" s="18" t="s">
        <v>540</v>
      </c>
      <c r="Q101" s="2">
        <v>199</v>
      </c>
      <c r="R101" s="2"/>
    </row>
    <row r="102" spans="1:25" x14ac:dyDescent="0.2">
      <c r="A102" s="98"/>
      <c r="B102" s="95"/>
      <c r="C102" s="90" t="s">
        <v>666</v>
      </c>
      <c r="D102" s="3">
        <v>12350</v>
      </c>
      <c r="E102" s="3"/>
      <c r="F102" s="47" t="s">
        <v>665</v>
      </c>
      <c r="G102" s="3"/>
      <c r="H102" s="3"/>
      <c r="I102" s="3"/>
      <c r="J102" s="3"/>
      <c r="K102" s="3"/>
      <c r="L102" s="3"/>
      <c r="M102" s="3"/>
      <c r="N102" s="4"/>
      <c r="O102" s="18" t="s">
        <v>670</v>
      </c>
      <c r="Q102" s="2">
        <v>201</v>
      </c>
    </row>
    <row r="103" spans="1:25" x14ac:dyDescent="0.2">
      <c r="A103" s="98"/>
      <c r="B103" s="95"/>
      <c r="C103" s="90" t="s">
        <v>667</v>
      </c>
      <c r="D103" s="3">
        <v>12350</v>
      </c>
      <c r="E103" s="3"/>
      <c r="F103" s="47" t="s">
        <v>553</v>
      </c>
      <c r="G103" s="3"/>
      <c r="H103" s="3"/>
      <c r="I103" s="3"/>
      <c r="J103" s="3"/>
      <c r="K103" s="3"/>
      <c r="L103" s="3"/>
      <c r="M103" s="3"/>
      <c r="N103" s="4"/>
      <c r="O103" s="18" t="s">
        <v>671</v>
      </c>
      <c r="Q103" s="2">
        <v>202</v>
      </c>
    </row>
    <row r="104" spans="1:25" x14ac:dyDescent="0.2">
      <c r="A104" s="98"/>
      <c r="B104" s="95"/>
      <c r="C104" s="19" t="s">
        <v>701</v>
      </c>
      <c r="D104" s="3"/>
      <c r="E104" s="3"/>
      <c r="F104" s="46" t="s">
        <v>64</v>
      </c>
      <c r="G104" s="46" t="s">
        <v>65</v>
      </c>
      <c r="H104" s="3"/>
      <c r="I104" s="3"/>
      <c r="J104" s="3"/>
      <c r="K104" s="3"/>
      <c r="L104" s="3"/>
      <c r="M104" s="3"/>
      <c r="N104" s="38"/>
      <c r="O104" s="18" t="s">
        <v>541</v>
      </c>
      <c r="Q104" s="2">
        <v>152</v>
      </c>
      <c r="R104" s="2">
        <v>153</v>
      </c>
    </row>
    <row r="105" spans="1:25" x14ac:dyDescent="0.2">
      <c r="A105" s="98"/>
      <c r="B105" s="95"/>
      <c r="C105" s="19" t="s">
        <v>702</v>
      </c>
      <c r="D105" s="3"/>
      <c r="E105" s="3"/>
      <c r="F105" s="46" t="s">
        <v>64</v>
      </c>
      <c r="G105" s="46" t="s">
        <v>65</v>
      </c>
      <c r="H105" s="3"/>
      <c r="I105" s="3"/>
      <c r="J105" s="3"/>
      <c r="K105" s="3"/>
      <c r="L105" s="3"/>
      <c r="M105" s="3"/>
      <c r="N105" s="10"/>
      <c r="O105" s="18" t="s">
        <v>542</v>
      </c>
      <c r="Q105" s="2">
        <v>158</v>
      </c>
      <c r="R105" s="2">
        <v>159</v>
      </c>
    </row>
    <row r="106" spans="1:25" x14ac:dyDescent="0.2">
      <c r="A106" s="98"/>
      <c r="B106" s="95"/>
      <c r="C106" s="19" t="s">
        <v>614</v>
      </c>
      <c r="D106" s="3"/>
      <c r="E106" s="3"/>
      <c r="F106" s="81" t="s">
        <v>66</v>
      </c>
      <c r="G106" s="46" t="s">
        <v>67</v>
      </c>
      <c r="H106" s="46" t="s">
        <v>68</v>
      </c>
      <c r="I106" s="46" t="s">
        <v>69</v>
      </c>
      <c r="J106" s="25" t="s">
        <v>654</v>
      </c>
      <c r="K106" s="3"/>
      <c r="L106" s="3"/>
      <c r="M106" s="3"/>
      <c r="N106" s="13"/>
      <c r="O106" s="18"/>
      <c r="Q106" s="22">
        <v>154</v>
      </c>
      <c r="R106" s="22">
        <v>155</v>
      </c>
      <c r="S106" s="22">
        <v>156</v>
      </c>
      <c r="T106" s="22">
        <v>157</v>
      </c>
      <c r="U106" s="22">
        <v>432</v>
      </c>
      <c r="V106" s="22"/>
    </row>
    <row r="107" spans="1:25" x14ac:dyDescent="0.2">
      <c r="A107" s="99"/>
      <c r="B107" s="96"/>
      <c r="C107" s="19" t="s">
        <v>615</v>
      </c>
      <c r="D107" s="3"/>
      <c r="E107" s="3"/>
      <c r="F107" s="17" t="s">
        <v>66</v>
      </c>
      <c r="G107" s="17" t="s">
        <v>67</v>
      </c>
      <c r="H107" s="17" t="s">
        <v>68</v>
      </c>
      <c r="I107" s="17" t="s">
        <v>69</v>
      </c>
      <c r="J107" s="3"/>
      <c r="K107" s="3"/>
      <c r="L107" s="3"/>
      <c r="M107" s="3"/>
      <c r="N107" s="13"/>
      <c r="O107" s="18"/>
      <c r="Q107" s="22">
        <v>160</v>
      </c>
      <c r="R107" s="22">
        <v>161</v>
      </c>
      <c r="S107" s="22">
        <v>162</v>
      </c>
      <c r="T107" s="22">
        <v>163</v>
      </c>
      <c r="V107" s="22"/>
    </row>
    <row r="108" spans="1:25" ht="12.75" customHeight="1" x14ac:dyDescent="0.2">
      <c r="A108" s="100"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01"/>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01"/>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01"/>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01"/>
      <c r="B112" s="103" t="s">
        <v>13</v>
      </c>
      <c r="C112" s="19" t="s">
        <v>812</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01"/>
      <c r="B113" s="103"/>
      <c r="C113" s="19" t="s">
        <v>813</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01"/>
      <c r="B114" s="103"/>
      <c r="C114" s="19" t="s">
        <v>814</v>
      </c>
      <c r="D114" s="3"/>
      <c r="E114" s="3"/>
      <c r="F114" s="17" t="s">
        <v>86</v>
      </c>
      <c r="G114" s="17" t="s">
        <v>42</v>
      </c>
      <c r="H114" s="3"/>
      <c r="I114" s="3"/>
      <c r="J114" s="3"/>
      <c r="K114" s="3"/>
      <c r="L114" s="3"/>
      <c r="M114" s="3"/>
      <c r="N114" s="4"/>
      <c r="O114" s="18" t="s">
        <v>531</v>
      </c>
      <c r="Q114" s="2">
        <v>194</v>
      </c>
      <c r="R114" s="2">
        <v>195</v>
      </c>
      <c r="S114" s="2"/>
    </row>
    <row r="115" spans="1:23" x14ac:dyDescent="0.2">
      <c r="A115" s="101"/>
      <c r="B115" s="103"/>
      <c r="C115" s="19" t="s">
        <v>815</v>
      </c>
      <c r="D115" s="3">
        <v>12345</v>
      </c>
      <c r="E115" s="3"/>
      <c r="F115" s="4" t="s">
        <v>308</v>
      </c>
      <c r="G115" s="4" t="s">
        <v>253</v>
      </c>
      <c r="H115" s="81" t="s">
        <v>816</v>
      </c>
      <c r="J115" s="3"/>
      <c r="K115" s="3"/>
      <c r="L115" s="3"/>
      <c r="M115" s="3"/>
      <c r="N115" s="38"/>
      <c r="O115" s="18" t="s">
        <v>524</v>
      </c>
      <c r="Q115" s="2">
        <v>306</v>
      </c>
      <c r="R115" s="2">
        <v>329</v>
      </c>
      <c r="S115" s="2">
        <v>307</v>
      </c>
    </row>
    <row r="116" spans="1:23" x14ac:dyDescent="0.2">
      <c r="A116" s="101"/>
      <c r="B116" s="103"/>
      <c r="C116" s="19" t="s">
        <v>525</v>
      </c>
      <c r="D116" s="3">
        <v>12345</v>
      </c>
      <c r="E116" s="3"/>
      <c r="F116" s="46" t="s">
        <v>817</v>
      </c>
      <c r="G116" s="3"/>
      <c r="H116" s="3"/>
      <c r="I116" s="3"/>
      <c r="J116" s="3"/>
      <c r="K116" s="3"/>
      <c r="L116" s="3"/>
      <c r="M116" s="3"/>
      <c r="N116" s="38"/>
      <c r="O116" s="18"/>
      <c r="Q116" s="21">
        <v>40</v>
      </c>
      <c r="R116" s="2"/>
      <c r="S116" s="2"/>
      <c r="T116" s="21"/>
    </row>
    <row r="117" spans="1:23" ht="15.95" customHeight="1" x14ac:dyDescent="0.2">
      <c r="A117" s="101"/>
      <c r="B117" s="103"/>
      <c r="C117" s="19" t="s">
        <v>819</v>
      </c>
      <c r="D117" s="3"/>
      <c r="E117" s="3"/>
      <c r="F117" s="43" t="s">
        <v>818</v>
      </c>
      <c r="G117" s="3"/>
      <c r="H117" s="3"/>
      <c r="I117" s="3"/>
      <c r="J117" s="3"/>
      <c r="K117" s="3"/>
      <c r="L117" s="3"/>
      <c r="M117" s="3"/>
      <c r="N117" s="10"/>
      <c r="O117" s="18"/>
      <c r="Q117" s="2">
        <v>310</v>
      </c>
      <c r="R117" s="2"/>
      <c r="S117" s="2"/>
      <c r="T117" s="2"/>
    </row>
    <row r="118" spans="1:23" ht="15.95" customHeight="1" x14ac:dyDescent="0.2">
      <c r="A118" s="101"/>
      <c r="B118" s="103"/>
      <c r="C118" s="19" t="s">
        <v>607</v>
      </c>
      <c r="D118" s="3"/>
      <c r="E118" s="3"/>
      <c r="F118" s="81" t="s">
        <v>527</v>
      </c>
      <c r="H118" s="3"/>
      <c r="I118" s="3"/>
      <c r="J118" s="3"/>
      <c r="K118" s="3"/>
      <c r="L118" s="3"/>
      <c r="M118" s="3"/>
      <c r="N118" s="10"/>
      <c r="O118" s="18"/>
      <c r="Q118" s="21">
        <v>375</v>
      </c>
      <c r="T118" s="2"/>
    </row>
    <row r="119" spans="1:23" ht="15.95" customHeight="1" x14ac:dyDescent="0.2">
      <c r="A119" s="101"/>
      <c r="B119" s="103"/>
      <c r="C119" s="19" t="s">
        <v>820</v>
      </c>
      <c r="D119" s="3"/>
      <c r="E119" s="3"/>
      <c r="F119" s="81" t="s">
        <v>822</v>
      </c>
      <c r="G119" s="81" t="s">
        <v>823</v>
      </c>
      <c r="H119" s="46" t="s">
        <v>606</v>
      </c>
      <c r="I119" s="3"/>
      <c r="J119" s="3"/>
      <c r="K119" s="3"/>
      <c r="L119" s="3"/>
      <c r="M119" s="3"/>
      <c r="N119" s="10"/>
      <c r="O119" s="18"/>
      <c r="Q119" s="21">
        <v>383</v>
      </c>
      <c r="R119">
        <v>196</v>
      </c>
      <c r="S119" s="2">
        <v>433</v>
      </c>
      <c r="T119" s="2"/>
    </row>
    <row r="120" spans="1:23" ht="15.95" customHeight="1" x14ac:dyDescent="0.2">
      <c r="A120" s="101"/>
      <c r="B120" s="103"/>
      <c r="C120" s="19" t="s">
        <v>824</v>
      </c>
      <c r="D120" s="3"/>
      <c r="E120" s="3"/>
      <c r="F120" s="81" t="s">
        <v>825</v>
      </c>
      <c r="G120" s="3"/>
      <c r="H120" s="3"/>
      <c r="I120" s="3"/>
      <c r="J120" s="3"/>
      <c r="K120" s="3"/>
      <c r="L120" s="3"/>
      <c r="M120" s="3"/>
      <c r="N120" s="10"/>
      <c r="O120" s="18"/>
      <c r="Q120" s="2">
        <v>48</v>
      </c>
      <c r="S120" s="2"/>
      <c r="T120" s="2"/>
    </row>
    <row r="121" spans="1:23" x14ac:dyDescent="0.2">
      <c r="A121" s="101"/>
      <c r="B121" s="103"/>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01"/>
      <c r="B122" s="103"/>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01"/>
      <c r="B123" s="103"/>
      <c r="C123" s="19" t="s">
        <v>832</v>
      </c>
      <c r="D123" s="3"/>
      <c r="E123" s="3"/>
      <c r="F123" s="47" t="s">
        <v>835</v>
      </c>
      <c r="G123" s="84" t="s">
        <v>834</v>
      </c>
      <c r="H123" s="81" t="s">
        <v>836</v>
      </c>
      <c r="I123" s="3"/>
      <c r="J123" s="3"/>
      <c r="K123" s="3"/>
      <c r="L123" s="3"/>
      <c r="M123" s="3"/>
      <c r="N123" s="4"/>
      <c r="O123" s="18"/>
      <c r="Q123" s="2">
        <v>418</v>
      </c>
      <c r="R123" s="22">
        <v>99</v>
      </c>
      <c r="S123" s="22">
        <v>321</v>
      </c>
    </row>
    <row r="124" spans="1:23" ht="13.15" customHeight="1" x14ac:dyDescent="0.2">
      <c r="A124" s="101"/>
      <c r="B124" s="94" t="s">
        <v>45</v>
      </c>
      <c r="C124" s="19" t="s">
        <v>45</v>
      </c>
      <c r="D124" s="3"/>
      <c r="E124" s="3"/>
      <c r="F124" s="17" t="s">
        <v>41</v>
      </c>
      <c r="G124" s="17" t="s">
        <v>42</v>
      </c>
      <c r="H124" s="17" t="s">
        <v>43</v>
      </c>
      <c r="I124" s="3"/>
      <c r="J124" s="3"/>
      <c r="K124" s="3"/>
      <c r="L124" s="3"/>
      <c r="M124" s="3"/>
      <c r="N124" s="38"/>
      <c r="O124" s="18"/>
      <c r="Q124" s="2">
        <v>80</v>
      </c>
      <c r="R124" s="2">
        <v>81</v>
      </c>
      <c r="S124" s="2">
        <v>82</v>
      </c>
    </row>
    <row r="125" spans="1:23" ht="13.15" customHeight="1" x14ac:dyDescent="0.2">
      <c r="A125" s="101"/>
      <c r="B125" s="95"/>
      <c r="C125" s="91" t="s">
        <v>733</v>
      </c>
      <c r="D125" s="3"/>
      <c r="E125" s="3" t="s">
        <v>942</v>
      </c>
      <c r="F125" s="81" t="s">
        <v>794</v>
      </c>
      <c r="G125" s="3"/>
      <c r="H125" s="3"/>
      <c r="I125" s="3"/>
      <c r="J125" s="3"/>
      <c r="K125" s="3"/>
      <c r="L125" s="3"/>
      <c r="M125" s="3"/>
      <c r="N125" s="38"/>
      <c r="O125" s="18"/>
      <c r="Q125" s="21">
        <v>324</v>
      </c>
      <c r="R125" s="2"/>
      <c r="S125" s="2"/>
      <c r="T125" s="21"/>
    </row>
    <row r="126" spans="1:23" ht="13.15" customHeight="1" x14ac:dyDescent="0.2">
      <c r="A126" s="101"/>
      <c r="B126" s="95"/>
      <c r="C126" s="91" t="s">
        <v>733</v>
      </c>
      <c r="D126" s="3"/>
      <c r="E126" s="3" t="s">
        <v>952</v>
      </c>
      <c r="F126" s="81" t="s">
        <v>794</v>
      </c>
      <c r="G126" s="3"/>
      <c r="H126" s="3"/>
      <c r="I126" s="3"/>
      <c r="J126" s="3"/>
      <c r="K126" s="3"/>
      <c r="L126" s="3"/>
      <c r="M126" s="3"/>
      <c r="N126" s="38"/>
      <c r="O126" s="18"/>
      <c r="Q126" s="21">
        <v>324</v>
      </c>
      <c r="R126" s="2"/>
      <c r="S126" s="2"/>
      <c r="T126" s="21"/>
    </row>
    <row r="127" spans="1:23" ht="13.15" customHeight="1" x14ac:dyDescent="0.2">
      <c r="A127" s="101"/>
      <c r="B127" s="95"/>
      <c r="C127" s="91" t="s">
        <v>733</v>
      </c>
      <c r="D127" s="3"/>
      <c r="E127" s="3" t="s">
        <v>953</v>
      </c>
      <c r="F127" s="47" t="s">
        <v>794</v>
      </c>
      <c r="G127" s="3"/>
      <c r="H127" s="3"/>
      <c r="I127" s="3"/>
      <c r="J127" s="3"/>
      <c r="K127" s="3"/>
      <c r="L127" s="3"/>
      <c r="M127" s="3"/>
      <c r="N127" s="38"/>
      <c r="O127" s="18"/>
      <c r="Q127" s="21">
        <v>324</v>
      </c>
      <c r="R127" s="2"/>
      <c r="S127" s="2"/>
      <c r="T127" s="21"/>
    </row>
    <row r="128" spans="1:23" x14ac:dyDescent="0.2">
      <c r="A128" s="101"/>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01"/>
      <c r="B129" s="95"/>
      <c r="C129" s="19" t="s">
        <v>793</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01"/>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01"/>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01"/>
      <c r="B132" s="95"/>
      <c r="C132" s="91" t="s">
        <v>730</v>
      </c>
      <c r="D132" s="3"/>
      <c r="E132" s="3" t="s">
        <v>940</v>
      </c>
      <c r="F132" s="81" t="s">
        <v>245</v>
      </c>
      <c r="G132" s="3"/>
      <c r="H132" s="3"/>
      <c r="I132" s="3"/>
      <c r="J132" s="3"/>
      <c r="K132" s="3"/>
      <c r="L132" s="3"/>
      <c r="M132" s="3"/>
      <c r="N132" s="10"/>
      <c r="O132" s="18"/>
      <c r="Q132" s="2">
        <v>85</v>
      </c>
      <c r="R132" s="2"/>
      <c r="S132" s="2"/>
      <c r="U132" s="2"/>
      <c r="W132" s="2"/>
    </row>
    <row r="133" spans="1:24" x14ac:dyDescent="0.2">
      <c r="A133" s="101"/>
      <c r="B133" s="95"/>
      <c r="C133" s="91" t="s">
        <v>730</v>
      </c>
      <c r="D133" s="3"/>
      <c r="E133" s="3" t="s">
        <v>941</v>
      </c>
      <c r="F133" s="81" t="s">
        <v>245</v>
      </c>
      <c r="G133" s="3"/>
      <c r="H133" s="3"/>
      <c r="I133" s="3"/>
      <c r="J133" s="3"/>
      <c r="K133" s="3"/>
      <c r="L133" s="3"/>
      <c r="M133" s="3"/>
      <c r="N133" s="10"/>
      <c r="O133" s="18"/>
      <c r="Q133" s="2">
        <v>85</v>
      </c>
      <c r="R133" s="2"/>
      <c r="S133" s="2"/>
      <c r="U133" s="2"/>
      <c r="W133" s="2"/>
    </row>
    <row r="134" spans="1:24" x14ac:dyDescent="0.2">
      <c r="A134" s="101"/>
      <c r="B134" s="95"/>
      <c r="C134" s="91" t="s">
        <v>791</v>
      </c>
      <c r="D134" s="3"/>
      <c r="E134" s="3"/>
      <c r="F134" s="46" t="s">
        <v>44</v>
      </c>
      <c r="G134" s="3"/>
      <c r="H134" s="3"/>
      <c r="I134" s="3"/>
      <c r="J134" s="3"/>
      <c r="K134" s="3"/>
      <c r="L134" s="3"/>
      <c r="M134" s="3"/>
      <c r="N134" s="10"/>
      <c r="O134" s="18"/>
      <c r="Q134" s="2">
        <v>481</v>
      </c>
      <c r="T134" s="2"/>
      <c r="U134" s="2"/>
      <c r="W134" s="2"/>
    </row>
    <row r="135" spans="1:24" x14ac:dyDescent="0.2">
      <c r="A135" s="101"/>
      <c r="B135" s="95"/>
      <c r="C135" s="91" t="s">
        <v>791</v>
      </c>
      <c r="D135" s="3"/>
      <c r="E135" s="3" t="s">
        <v>940</v>
      </c>
      <c r="F135" s="81" t="s">
        <v>245</v>
      </c>
      <c r="G135" s="3"/>
      <c r="H135" s="3"/>
      <c r="I135" s="3"/>
      <c r="J135" s="3"/>
      <c r="K135" s="3"/>
      <c r="L135" s="3"/>
      <c r="M135" s="3"/>
      <c r="N135" s="10"/>
      <c r="O135" s="18"/>
      <c r="Q135" s="2">
        <v>482</v>
      </c>
      <c r="R135" s="2"/>
      <c r="S135" s="2"/>
      <c r="T135" s="2"/>
      <c r="U135" s="2"/>
      <c r="W135" s="2"/>
    </row>
    <row r="136" spans="1:24" x14ac:dyDescent="0.2">
      <c r="A136" s="101"/>
      <c r="B136" s="95"/>
      <c r="C136" s="91" t="s">
        <v>791</v>
      </c>
      <c r="D136" s="3"/>
      <c r="E136" s="3" t="s">
        <v>941</v>
      </c>
      <c r="F136" s="81" t="s">
        <v>245</v>
      </c>
      <c r="G136" s="3"/>
      <c r="H136" s="3"/>
      <c r="I136" s="3"/>
      <c r="J136" s="3"/>
      <c r="K136" s="3"/>
      <c r="L136" s="3"/>
      <c r="M136" s="3"/>
      <c r="N136" s="10"/>
      <c r="O136" s="18"/>
      <c r="Q136" s="2">
        <v>482</v>
      </c>
      <c r="R136" s="2"/>
      <c r="S136" s="2"/>
      <c r="T136" s="2"/>
      <c r="U136" s="2"/>
      <c r="W136" s="2"/>
    </row>
    <row r="137" spans="1:24" x14ac:dyDescent="0.2">
      <c r="A137" s="101"/>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01"/>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01"/>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01"/>
      <c r="B140" s="95"/>
      <c r="C140" s="19" t="s">
        <v>792</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01"/>
      <c r="B141" s="95"/>
      <c r="C141" s="19" t="s">
        <v>792</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01"/>
      <c r="B142" s="95"/>
      <c r="C142" s="19" t="s">
        <v>50</v>
      </c>
      <c r="D142" s="3"/>
      <c r="E142" s="3"/>
      <c r="F142" s="81" t="s">
        <v>757</v>
      </c>
      <c r="G142" s="81" t="s">
        <v>796</v>
      </c>
      <c r="H142" s="4" t="s">
        <v>797</v>
      </c>
      <c r="I142" s="3"/>
      <c r="J142" s="3"/>
      <c r="K142" s="3"/>
      <c r="L142" s="3"/>
      <c r="M142" s="3"/>
      <c r="N142" s="38"/>
      <c r="O142" s="18"/>
      <c r="Q142" s="2">
        <v>91</v>
      </c>
      <c r="R142" s="2">
        <v>275</v>
      </c>
      <c r="S142" s="2">
        <v>277</v>
      </c>
    </row>
    <row r="143" spans="1:24" x14ac:dyDescent="0.2">
      <c r="A143" s="101"/>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01"/>
      <c r="B144" s="95"/>
      <c r="C144" s="19" t="s">
        <v>778</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01"/>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01"/>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01"/>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01"/>
      <c r="B148" s="95"/>
      <c r="C148" s="19" t="s">
        <v>748</v>
      </c>
      <c r="D148" s="3"/>
      <c r="E148" s="3"/>
      <c r="F148" s="25" t="s">
        <v>297</v>
      </c>
      <c r="G148" s="25" t="s">
        <v>298</v>
      </c>
      <c r="H148" s="81" t="s">
        <v>192</v>
      </c>
      <c r="I148" s="81" t="s">
        <v>785</v>
      </c>
      <c r="J148" s="3"/>
      <c r="K148" s="3"/>
      <c r="L148" s="3"/>
      <c r="M148" s="3"/>
      <c r="N148" s="13"/>
      <c r="O148" s="18"/>
      <c r="Q148" s="2">
        <v>296</v>
      </c>
      <c r="R148" s="2">
        <v>136</v>
      </c>
      <c r="S148" s="2">
        <v>292</v>
      </c>
      <c r="T148" s="2">
        <v>295</v>
      </c>
      <c r="U148" s="21"/>
    </row>
    <row r="149" spans="1:24" x14ac:dyDescent="0.2">
      <c r="A149" s="101"/>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01"/>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01"/>
      <c r="B151" s="94" t="s">
        <v>317</v>
      </c>
      <c r="C151" s="19" t="s">
        <v>954</v>
      </c>
      <c r="D151" s="3"/>
      <c r="E151" s="3"/>
      <c r="F151" s="17" t="s">
        <v>302</v>
      </c>
      <c r="G151" s="17" t="s">
        <v>303</v>
      </c>
      <c r="H151" s="47" t="s">
        <v>304</v>
      </c>
      <c r="I151" s="81" t="s">
        <v>470</v>
      </c>
      <c r="J151" s="46" t="s">
        <v>305</v>
      </c>
      <c r="K151" s="46" t="s">
        <v>468</v>
      </c>
      <c r="L151" s="46" t="s">
        <v>469</v>
      </c>
      <c r="M151" s="46" t="s">
        <v>170</v>
      </c>
      <c r="N151" s="13"/>
      <c r="O151" s="18" t="s">
        <v>857</v>
      </c>
      <c r="Q151" s="2">
        <v>268</v>
      </c>
      <c r="R151" s="2">
        <v>269</v>
      </c>
      <c r="S151" s="2">
        <v>270</v>
      </c>
      <c r="T151" s="2">
        <v>421</v>
      </c>
      <c r="U151" s="21">
        <v>271</v>
      </c>
      <c r="V151" s="21">
        <v>423</v>
      </c>
      <c r="W151" s="21">
        <v>425</v>
      </c>
      <c r="X151" s="21">
        <v>272</v>
      </c>
    </row>
    <row r="152" spans="1:24" x14ac:dyDescent="0.2">
      <c r="A152" s="101"/>
      <c r="B152" s="95"/>
      <c r="C152" s="19" t="s">
        <v>955</v>
      </c>
      <c r="D152" s="3"/>
      <c r="E152" s="3"/>
      <c r="F152" s="17" t="s">
        <v>302</v>
      </c>
      <c r="G152" s="81" t="s">
        <v>303</v>
      </c>
      <c r="H152" s="81" t="s">
        <v>304</v>
      </c>
      <c r="I152" s="46" t="s">
        <v>470</v>
      </c>
      <c r="J152" s="46" t="s">
        <v>305</v>
      </c>
      <c r="K152" s="46" t="s">
        <v>468</v>
      </c>
      <c r="L152" s="46" t="s">
        <v>469</v>
      </c>
      <c r="M152" s="46" t="s">
        <v>170</v>
      </c>
      <c r="N152" s="13"/>
      <c r="O152" s="18" t="s">
        <v>857</v>
      </c>
      <c r="Q152" s="2">
        <v>354</v>
      </c>
      <c r="R152" s="2">
        <v>355</v>
      </c>
      <c r="S152" s="2">
        <v>356</v>
      </c>
      <c r="T152" s="2">
        <v>422</v>
      </c>
      <c r="U152" s="21">
        <v>357</v>
      </c>
      <c r="V152" s="21">
        <v>424</v>
      </c>
      <c r="W152" s="21">
        <v>426</v>
      </c>
      <c r="X152" s="21">
        <v>358</v>
      </c>
    </row>
    <row r="153" spans="1:24" x14ac:dyDescent="0.2">
      <c r="A153" s="101"/>
      <c r="B153" s="95"/>
      <c r="C153" s="19" t="s">
        <v>751</v>
      </c>
      <c r="D153" s="3"/>
      <c r="E153" s="3"/>
      <c r="F153" s="81" t="s">
        <v>956</v>
      </c>
      <c r="G153" s="3"/>
      <c r="H153" s="3"/>
      <c r="I153" s="3"/>
      <c r="J153" s="3"/>
      <c r="K153" s="3"/>
      <c r="L153" s="3"/>
      <c r="M153" s="3"/>
      <c r="N153" s="13"/>
      <c r="O153" s="18"/>
      <c r="Q153" s="2">
        <v>137</v>
      </c>
      <c r="R153" s="2"/>
      <c r="S153" s="2"/>
      <c r="T153" s="2"/>
      <c r="U153" s="21"/>
      <c r="V153" s="21"/>
      <c r="W153" s="21"/>
      <c r="X153" s="21"/>
    </row>
    <row r="154" spans="1:24" x14ac:dyDescent="0.2">
      <c r="A154" s="101"/>
      <c r="B154" s="96"/>
      <c r="C154" s="19" t="s">
        <v>235</v>
      </c>
      <c r="D154" s="3"/>
      <c r="E154" s="3"/>
      <c r="F154" s="81" t="s">
        <v>753</v>
      </c>
      <c r="G154" s="47" t="s">
        <v>754</v>
      </c>
      <c r="H154" s="17" t="s">
        <v>553</v>
      </c>
      <c r="I154" s="47" t="s">
        <v>755</v>
      </c>
      <c r="J154" s="17" t="s">
        <v>246</v>
      </c>
      <c r="K154" s="81" t="s">
        <v>752</v>
      </c>
      <c r="L154" s="46" t="s">
        <v>756</v>
      </c>
      <c r="M154" s="3"/>
      <c r="N154" s="10"/>
      <c r="O154" s="18"/>
      <c r="Q154" s="2">
        <v>47</v>
      </c>
      <c r="R154" s="2">
        <v>75</v>
      </c>
      <c r="S154" s="2">
        <v>317</v>
      </c>
      <c r="T154" s="21">
        <v>318</v>
      </c>
      <c r="U154" s="21">
        <v>322</v>
      </c>
      <c r="V154" s="21">
        <v>335</v>
      </c>
      <c r="W154" s="21">
        <v>9</v>
      </c>
    </row>
    <row r="155" spans="1:24" x14ac:dyDescent="0.2">
      <c r="A155" s="101"/>
      <c r="B155" s="94" t="s">
        <v>768</v>
      </c>
      <c r="C155" s="19" t="s">
        <v>758</v>
      </c>
      <c r="D155" s="3"/>
      <c r="E155" s="3"/>
      <c r="F155" s="40">
        <v>3</v>
      </c>
      <c r="G155" s="82" t="s">
        <v>628</v>
      </c>
      <c r="H155" s="3"/>
      <c r="I155" s="3"/>
      <c r="J155" s="3"/>
      <c r="K155" s="3"/>
      <c r="L155" s="3"/>
      <c r="M155" s="3"/>
      <c r="N155" s="10"/>
      <c r="O155" s="18" t="s">
        <v>629</v>
      </c>
      <c r="Q155" s="2">
        <v>89</v>
      </c>
      <c r="R155" s="2">
        <v>96</v>
      </c>
    </row>
    <row r="156" spans="1:24" x14ac:dyDescent="0.2">
      <c r="A156" s="101"/>
      <c r="B156" s="96"/>
      <c r="C156" s="19" t="s">
        <v>759</v>
      </c>
      <c r="D156" s="3"/>
      <c r="E156" s="3"/>
      <c r="F156" s="40">
        <v>3</v>
      </c>
      <c r="G156" s="82" t="s">
        <v>628</v>
      </c>
      <c r="H156" s="3"/>
      <c r="I156" s="3"/>
      <c r="J156" s="3"/>
      <c r="K156" s="3"/>
      <c r="L156" s="3"/>
      <c r="M156" s="3"/>
      <c r="N156" s="10"/>
      <c r="O156" s="18" t="s">
        <v>630</v>
      </c>
      <c r="Q156" s="2">
        <v>389</v>
      </c>
      <c r="R156" s="2">
        <v>390</v>
      </c>
      <c r="S156" s="2"/>
      <c r="T156" s="2"/>
    </row>
    <row r="157" spans="1:24" x14ac:dyDescent="0.2">
      <c r="A157" s="101"/>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01"/>
      <c r="B158" s="95"/>
      <c r="C158" s="19" t="s">
        <v>750</v>
      </c>
      <c r="D158" s="3"/>
      <c r="E158" s="3"/>
      <c r="F158" s="46" t="s">
        <v>757</v>
      </c>
      <c r="G158" s="81" t="s">
        <v>760</v>
      </c>
      <c r="H158" s="66" t="s">
        <v>761</v>
      </c>
      <c r="I158" s="81" t="s">
        <v>250</v>
      </c>
      <c r="J158" s="3"/>
      <c r="K158" s="3"/>
      <c r="L158" s="3"/>
      <c r="M158" s="3"/>
      <c r="N158" s="4"/>
      <c r="O158" s="18"/>
      <c r="Q158" s="2">
        <v>83</v>
      </c>
      <c r="R158" s="2">
        <v>223</v>
      </c>
      <c r="S158" s="2">
        <v>384</v>
      </c>
      <c r="T158" s="2">
        <v>331</v>
      </c>
    </row>
    <row r="159" spans="1:24" x14ac:dyDescent="0.2">
      <c r="A159" s="101"/>
      <c r="B159" s="95"/>
      <c r="C159" s="19" t="s">
        <v>762</v>
      </c>
      <c r="D159" s="3"/>
      <c r="E159" s="3"/>
      <c r="F159" s="46" t="s">
        <v>103</v>
      </c>
      <c r="G159" s="3"/>
      <c r="H159" s="3"/>
      <c r="I159" s="3"/>
      <c r="J159" s="3"/>
      <c r="K159" s="3"/>
      <c r="L159" s="3"/>
      <c r="M159" s="3"/>
      <c r="N159" s="4"/>
      <c r="O159" s="18"/>
      <c r="Q159" s="2">
        <v>36</v>
      </c>
      <c r="R159" s="2"/>
      <c r="S159" s="2"/>
      <c r="T159" s="2"/>
      <c r="U159" s="2"/>
      <c r="V159" s="2"/>
    </row>
    <row r="160" spans="1:24" x14ac:dyDescent="0.2">
      <c r="A160" s="101"/>
      <c r="B160" s="95"/>
      <c r="C160" s="19" t="s">
        <v>763</v>
      </c>
      <c r="D160" s="3"/>
      <c r="E160" s="3"/>
      <c r="F160" s="46" t="s">
        <v>103</v>
      </c>
      <c r="G160" s="3"/>
      <c r="H160" s="3"/>
      <c r="I160" s="3"/>
      <c r="J160" s="3"/>
      <c r="K160" s="3"/>
      <c r="L160" s="3"/>
      <c r="M160" s="3"/>
      <c r="N160" s="4"/>
      <c r="O160" s="18"/>
      <c r="Q160" s="2">
        <v>187</v>
      </c>
      <c r="R160" s="2"/>
      <c r="S160" s="2"/>
      <c r="T160" s="2"/>
      <c r="U160" s="2"/>
      <c r="V160" s="2"/>
    </row>
    <row r="161" spans="1:24" x14ac:dyDescent="0.2">
      <c r="A161" s="101"/>
      <c r="B161" s="96"/>
      <c r="C161" s="19" t="s">
        <v>764</v>
      </c>
      <c r="D161" s="3"/>
      <c r="E161" s="3"/>
      <c r="F161" s="17" t="s">
        <v>74</v>
      </c>
      <c r="G161" s="17" t="s">
        <v>172</v>
      </c>
      <c r="H161" s="3"/>
      <c r="I161" s="3"/>
      <c r="J161" s="3"/>
      <c r="K161" s="3"/>
      <c r="L161" s="3"/>
      <c r="M161" s="3"/>
      <c r="N161" s="38"/>
      <c r="O161" s="18"/>
      <c r="Q161" s="2">
        <v>169</v>
      </c>
      <c r="R161" s="2">
        <v>276</v>
      </c>
    </row>
    <row r="162" spans="1:24" x14ac:dyDescent="0.2">
      <c r="A162" s="101"/>
      <c r="B162" s="94" t="s">
        <v>767</v>
      </c>
      <c r="C162" s="19" t="s">
        <v>765</v>
      </c>
      <c r="D162" s="3"/>
      <c r="E162" s="3"/>
      <c r="F162" s="81" t="s">
        <v>444</v>
      </c>
      <c r="G162" s="3"/>
      <c r="H162" s="3"/>
      <c r="I162" s="3"/>
      <c r="J162" s="3"/>
      <c r="K162" s="3"/>
      <c r="L162" s="3"/>
      <c r="M162" s="3"/>
      <c r="N162" s="10"/>
      <c r="O162" s="18"/>
      <c r="Q162" s="2">
        <v>24</v>
      </c>
    </row>
    <row r="163" spans="1:24" x14ac:dyDescent="0.2">
      <c r="A163" s="101"/>
      <c r="B163" s="96"/>
      <c r="C163" s="19" t="s">
        <v>766</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01"/>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01"/>
      <c r="B165" s="95"/>
      <c r="C165" s="19" t="s">
        <v>147</v>
      </c>
      <c r="D165" s="3"/>
      <c r="E165" s="3"/>
      <c r="F165" s="4" t="s">
        <v>243</v>
      </c>
      <c r="G165" s="81" t="s">
        <v>802</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01"/>
      <c r="B166" s="95"/>
      <c r="C166" s="19" t="s">
        <v>798</v>
      </c>
      <c r="D166" s="3"/>
      <c r="E166" s="3"/>
      <c r="F166" s="81" t="s">
        <v>799</v>
      </c>
      <c r="G166" s="81" t="s">
        <v>800</v>
      </c>
      <c r="H166" s="23"/>
      <c r="I166" s="23"/>
      <c r="J166" s="23"/>
      <c r="K166" s="3"/>
      <c r="L166" s="3"/>
      <c r="M166" s="3"/>
      <c r="N166" s="13"/>
      <c r="O166" s="18"/>
      <c r="Q166" s="21">
        <v>327</v>
      </c>
      <c r="R166" s="21">
        <v>259</v>
      </c>
    </row>
    <row r="167" spans="1:24" x14ac:dyDescent="0.2">
      <c r="A167" s="101"/>
      <c r="B167" s="95"/>
      <c r="C167" s="19" t="s">
        <v>182</v>
      </c>
      <c r="D167" s="3"/>
      <c r="E167" s="3"/>
      <c r="F167" s="4" t="s">
        <v>183</v>
      </c>
      <c r="G167" s="4" t="s">
        <v>148</v>
      </c>
      <c r="H167" s="81" t="s">
        <v>802</v>
      </c>
      <c r="I167" s="66" t="s">
        <v>804</v>
      </c>
      <c r="J167" s="81" t="s">
        <v>803</v>
      </c>
      <c r="K167" s="3"/>
      <c r="L167" s="3"/>
      <c r="M167" s="3"/>
      <c r="N167" s="10"/>
      <c r="O167" s="18"/>
      <c r="Q167" s="2">
        <v>258</v>
      </c>
      <c r="R167" s="2">
        <v>280</v>
      </c>
      <c r="S167" s="21">
        <v>260</v>
      </c>
      <c r="T167" s="21">
        <v>3</v>
      </c>
      <c r="U167" s="21">
        <v>97</v>
      </c>
    </row>
    <row r="168" spans="1:24" x14ac:dyDescent="0.2">
      <c r="A168" s="101"/>
      <c r="B168" s="95"/>
      <c r="C168" s="19" t="s">
        <v>801</v>
      </c>
      <c r="D168" s="3"/>
      <c r="E168" s="3"/>
      <c r="F168" s="81" t="s">
        <v>799</v>
      </c>
      <c r="G168" s="81" t="s">
        <v>800</v>
      </c>
      <c r="H168" s="23"/>
      <c r="I168" s="23"/>
      <c r="J168" s="23"/>
      <c r="K168" s="23"/>
      <c r="L168" s="23"/>
      <c r="M168" s="3"/>
      <c r="N168" s="10"/>
      <c r="O168" s="18"/>
      <c r="Q168" s="2">
        <v>328</v>
      </c>
      <c r="R168" s="2">
        <v>281</v>
      </c>
      <c r="S168" s="2"/>
      <c r="T168" s="2"/>
      <c r="U168" s="21"/>
      <c r="V168" s="21"/>
      <c r="W168" s="21"/>
    </row>
    <row r="169" spans="1:24" x14ac:dyDescent="0.2">
      <c r="A169" s="101"/>
      <c r="B169" s="95"/>
      <c r="C169" s="19" t="s">
        <v>725</v>
      </c>
      <c r="D169" s="3">
        <v>24</v>
      </c>
      <c r="E169" s="3"/>
      <c r="F169" s="81" t="s">
        <v>810</v>
      </c>
      <c r="G169" s="81" t="s">
        <v>811</v>
      </c>
      <c r="H169" s="81" t="s">
        <v>805</v>
      </c>
      <c r="I169" s="3"/>
      <c r="J169" s="3"/>
      <c r="K169" s="3"/>
      <c r="L169" s="3"/>
      <c r="M169" s="3"/>
      <c r="N169" s="13"/>
      <c r="O169" s="18" t="s">
        <v>207</v>
      </c>
      <c r="Q169" s="2">
        <v>282</v>
      </c>
      <c r="R169" s="2">
        <v>297</v>
      </c>
      <c r="S169" s="2">
        <v>298</v>
      </c>
      <c r="T169" s="21"/>
      <c r="U169" s="21"/>
    </row>
    <row r="170" spans="1:24" x14ac:dyDescent="0.2">
      <c r="A170" s="101"/>
      <c r="B170" s="95"/>
      <c r="C170" s="19" t="s">
        <v>725</v>
      </c>
      <c r="D170" s="3">
        <v>35</v>
      </c>
      <c r="E170" s="3"/>
      <c r="F170" s="4" t="s">
        <v>810</v>
      </c>
      <c r="G170" s="81" t="s">
        <v>811</v>
      </c>
      <c r="H170" s="81" t="s">
        <v>805</v>
      </c>
      <c r="I170" s="3"/>
      <c r="J170" s="3"/>
      <c r="K170" s="3"/>
      <c r="L170" s="3"/>
      <c r="M170" s="3"/>
      <c r="N170" s="13"/>
      <c r="O170" s="18" t="s">
        <v>207</v>
      </c>
      <c r="Q170" s="2">
        <v>282</v>
      </c>
      <c r="R170" s="2">
        <v>297</v>
      </c>
      <c r="S170" s="2">
        <v>298</v>
      </c>
      <c r="T170" s="21"/>
      <c r="U170" s="21"/>
    </row>
    <row r="171" spans="1:24" x14ac:dyDescent="0.2">
      <c r="A171" s="101"/>
      <c r="B171" s="95"/>
      <c r="C171" s="19" t="s">
        <v>187</v>
      </c>
      <c r="D171" s="3"/>
      <c r="E171" s="3"/>
      <c r="F171" s="81" t="s">
        <v>183</v>
      </c>
      <c r="G171" s="46" t="s">
        <v>806</v>
      </c>
      <c r="H171" s="4" t="s">
        <v>191</v>
      </c>
      <c r="I171" s="4" t="s">
        <v>807</v>
      </c>
      <c r="J171" s="3"/>
      <c r="K171" s="3"/>
      <c r="L171" s="3"/>
      <c r="M171" s="3"/>
      <c r="N171" s="4"/>
      <c r="O171" s="14"/>
      <c r="Q171" s="2">
        <v>287</v>
      </c>
      <c r="R171" s="2">
        <v>294</v>
      </c>
      <c r="S171" s="2">
        <v>293</v>
      </c>
      <c r="T171" s="2">
        <v>288</v>
      </c>
    </row>
    <row r="172" spans="1:24" x14ac:dyDescent="0.2">
      <c r="A172" s="102"/>
      <c r="B172" s="96"/>
      <c r="C172" s="19" t="s">
        <v>187</v>
      </c>
      <c r="D172" s="3"/>
      <c r="E172" s="3"/>
      <c r="F172" s="81" t="s">
        <v>809</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3"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3"/>
      <c r="C174" s="19" t="s">
        <v>707</v>
      </c>
      <c r="D174" s="3"/>
      <c r="E174" s="3"/>
      <c r="F174" s="81" t="s">
        <v>708</v>
      </c>
      <c r="G174" s="3"/>
      <c r="H174" s="3"/>
      <c r="I174" s="3"/>
      <c r="J174" s="3"/>
      <c r="K174" s="3"/>
      <c r="L174" s="3"/>
      <c r="M174" s="3"/>
      <c r="N174" s="4"/>
      <c r="O174" s="18"/>
      <c r="Q174" s="2">
        <v>273</v>
      </c>
      <c r="R174" s="21"/>
      <c r="S174" s="21"/>
    </row>
    <row r="175" spans="1:24" x14ac:dyDescent="0.2">
      <c r="A175" s="104"/>
      <c r="B175" s="103"/>
      <c r="C175" s="19" t="s">
        <v>711</v>
      </c>
      <c r="D175" s="3"/>
      <c r="E175" s="3"/>
      <c r="F175" s="81" t="s">
        <v>710</v>
      </c>
      <c r="G175" s="3"/>
      <c r="H175" s="3"/>
      <c r="I175" s="3"/>
      <c r="J175" s="3"/>
      <c r="K175" s="3"/>
      <c r="L175" s="3"/>
      <c r="M175" s="3"/>
      <c r="N175" s="4"/>
      <c r="O175" s="18"/>
      <c r="Q175" s="21">
        <v>247</v>
      </c>
      <c r="R175" s="21"/>
      <c r="S175" s="21"/>
    </row>
    <row r="176" spans="1:24" x14ac:dyDescent="0.2">
      <c r="A176" s="104"/>
      <c r="B176" s="103"/>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3"/>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3"/>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3"/>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3"/>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3"/>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3"/>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3"/>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3"/>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783</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783</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937</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B108:B111"/>
    <mergeCell ref="H56:I56"/>
    <mergeCell ref="F1:M1"/>
    <mergeCell ref="F62:G62"/>
    <mergeCell ref="F57:G57"/>
    <mergeCell ref="F56:G56"/>
    <mergeCell ref="F58:G58"/>
    <mergeCell ref="F59:G59"/>
    <mergeCell ref="F61:G61"/>
    <mergeCell ref="F60:G60"/>
    <mergeCell ref="B185:B188"/>
    <mergeCell ref="A173:A188"/>
    <mergeCell ref="B146:B150"/>
    <mergeCell ref="B151:B154"/>
    <mergeCell ref="B157:B161"/>
    <mergeCell ref="B162:B163"/>
    <mergeCell ref="B155:B156"/>
    <mergeCell ref="B173:B184"/>
    <mergeCell ref="B2:B6"/>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939</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850</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804</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901</v>
      </c>
      <c r="E5" s="36" t="s">
        <v>871</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901</v>
      </c>
      <c r="E6" s="36" t="s">
        <v>872</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876</v>
      </c>
      <c r="D7" s="33" t="s">
        <v>852</v>
      </c>
      <c r="E7" s="33" t="s">
        <v>60</v>
      </c>
      <c r="O7" s="29">
        <v>1</v>
      </c>
      <c r="S7" s="33">
        <v>0</v>
      </c>
      <c r="T7" s="33">
        <v>-1</v>
      </c>
      <c r="X7" s="33" t="s">
        <v>137</v>
      </c>
    </row>
    <row r="8" spans="1:24" ht="13.15" customHeight="1" x14ac:dyDescent="0.2">
      <c r="A8" s="33">
        <v>7</v>
      </c>
      <c r="B8" s="33" t="s">
        <v>29</v>
      </c>
      <c r="C8" s="33" t="s">
        <v>12</v>
      </c>
      <c r="D8" s="33" t="s">
        <v>848</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905</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756</v>
      </c>
      <c r="S10" s="33">
        <v>100</v>
      </c>
      <c r="T10" s="33">
        <v>0</v>
      </c>
      <c r="X10" s="33" t="s">
        <v>769</v>
      </c>
    </row>
    <row r="11" spans="1:24" ht="13.15" customHeight="1" x14ac:dyDescent="0.2">
      <c r="A11" s="33">
        <v>10</v>
      </c>
      <c r="B11" s="33" t="s">
        <v>29</v>
      </c>
      <c r="C11" s="33" t="s">
        <v>876</v>
      </c>
      <c r="D11" s="33" t="s">
        <v>868</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849</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876</v>
      </c>
      <c r="D13" s="33" t="s">
        <v>853</v>
      </c>
      <c r="E13" s="36" t="s">
        <v>855</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812</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850</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813</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876</v>
      </c>
      <c r="D22" s="33" t="s">
        <v>852</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905</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767</v>
      </c>
      <c r="D25" s="33" t="s">
        <v>765</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905</v>
      </c>
      <c r="D26" s="33" t="s">
        <v>916</v>
      </c>
      <c r="E26" s="33" t="s">
        <v>2</v>
      </c>
      <c r="F26" s="29">
        <v>5</v>
      </c>
      <c r="L26" s="29">
        <v>1</v>
      </c>
      <c r="S26" s="33">
        <v>50</v>
      </c>
      <c r="T26" s="33">
        <v>0</v>
      </c>
      <c r="W26" s="33" t="s">
        <v>497</v>
      </c>
    </row>
    <row r="27" spans="1:24" ht="13.15" customHeight="1" x14ac:dyDescent="0.2">
      <c r="A27" s="33">
        <v>26</v>
      </c>
      <c r="B27" s="33" t="s">
        <v>29</v>
      </c>
      <c r="C27" s="33" t="s">
        <v>905</v>
      </c>
      <c r="D27" s="33" t="s">
        <v>916</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905</v>
      </c>
      <c r="D28" s="33" t="s">
        <v>916</v>
      </c>
      <c r="E28" s="33" t="s">
        <v>4</v>
      </c>
      <c r="F28" s="29">
        <v>5</v>
      </c>
      <c r="L28" s="29">
        <v>1</v>
      </c>
      <c r="S28" s="33">
        <v>100</v>
      </c>
      <c r="T28" s="33">
        <v>0</v>
      </c>
      <c r="W28" s="33" t="s">
        <v>497</v>
      </c>
    </row>
    <row r="29" spans="1:24" ht="13.15" customHeight="1" x14ac:dyDescent="0.2">
      <c r="A29" s="33">
        <v>28</v>
      </c>
      <c r="B29" s="33" t="s">
        <v>29</v>
      </c>
      <c r="C29" s="33" t="s">
        <v>905</v>
      </c>
      <c r="D29" s="33" t="s">
        <v>916</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843</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767</v>
      </c>
      <c r="D36" s="33" t="s">
        <v>766</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762</v>
      </c>
      <c r="E37" s="33" t="s">
        <v>103</v>
      </c>
      <c r="F37" s="30" t="s">
        <v>177</v>
      </c>
      <c r="G37" s="30" t="s">
        <v>155</v>
      </c>
      <c r="H37" s="31"/>
      <c r="I37" s="30"/>
      <c r="J37" s="61"/>
      <c r="K37" s="61"/>
      <c r="L37" s="64"/>
      <c r="P37" s="30" t="s">
        <v>784</v>
      </c>
      <c r="Q37" s="31"/>
      <c r="R37" s="31"/>
      <c r="S37" s="33">
        <v>100</v>
      </c>
      <c r="T37" s="33">
        <v>0</v>
      </c>
      <c r="X37" s="33" t="s">
        <v>777</v>
      </c>
    </row>
    <row r="38" spans="1:24" ht="13.15" customHeight="1" x14ac:dyDescent="0.2">
      <c r="A38" s="33">
        <v>37</v>
      </c>
      <c r="B38" s="33" t="s">
        <v>29</v>
      </c>
      <c r="C38" s="33" t="s">
        <v>12</v>
      </c>
      <c r="D38" s="33" t="s">
        <v>846</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845</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876</v>
      </c>
      <c r="D40" s="33" t="s">
        <v>868</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817</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921</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921</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921</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921</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767</v>
      </c>
      <c r="D47" s="33" t="s">
        <v>766</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753</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824</v>
      </c>
      <c r="E49" s="36" t="s">
        <v>825</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843</v>
      </c>
      <c r="E50" s="36" t="s">
        <v>858</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842</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841</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905</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905</v>
      </c>
      <c r="D60" s="33" t="s">
        <v>909</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905</v>
      </c>
      <c r="D61" s="33" t="s">
        <v>909</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905</v>
      </c>
      <c r="D62" s="33" t="s">
        <v>909</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905</v>
      </c>
      <c r="D63" s="33" t="s">
        <v>909</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905</v>
      </c>
      <c r="D64" s="33" t="s">
        <v>911</v>
      </c>
      <c r="E64" s="36" t="s">
        <v>2</v>
      </c>
      <c r="F64" s="30" t="s">
        <v>175</v>
      </c>
      <c r="G64" s="30"/>
      <c r="H64" s="30"/>
      <c r="I64" s="30"/>
      <c r="J64" s="61">
        <f>VLOOKUP($A64, Stat!$A$1:$C$1000, 2,0)</f>
        <v>18</v>
      </c>
      <c r="K64" s="61">
        <f>VLOOKUP($A64, Stat!$A$1:$C$1000, 3,0)</f>
        <v>5</v>
      </c>
      <c r="L64" s="29">
        <v>1</v>
      </c>
      <c r="P64" s="30" t="s">
        <v>879</v>
      </c>
      <c r="Q64" s="31"/>
      <c r="R64" s="31"/>
      <c r="S64" s="33">
        <v>0</v>
      </c>
      <c r="T64" s="33">
        <v>1</v>
      </c>
      <c r="W64" s="33" t="s">
        <v>498</v>
      </c>
    </row>
    <row r="65" spans="1:24" ht="13.15" customHeight="1" x14ac:dyDescent="0.2">
      <c r="A65" s="33">
        <v>64</v>
      </c>
      <c r="B65" s="33" t="s">
        <v>29</v>
      </c>
      <c r="C65" s="33" t="s">
        <v>905</v>
      </c>
      <c r="D65" s="33" t="s">
        <v>911</v>
      </c>
      <c r="E65" s="36" t="s">
        <v>3</v>
      </c>
      <c r="F65" s="30" t="s">
        <v>175</v>
      </c>
      <c r="G65" s="30"/>
      <c r="H65" s="30"/>
      <c r="I65" s="30"/>
      <c r="J65" s="61">
        <f>VLOOKUP($A65, Stat!$A$1:$C$1000, 2,0)</f>
        <v>6</v>
      </c>
      <c r="K65" s="61">
        <f>VLOOKUP($A65, Stat!$A$1:$C$1000, 3,0)</f>
        <v>2</v>
      </c>
      <c r="L65" s="29">
        <v>1</v>
      </c>
      <c r="P65" s="30" t="s">
        <v>880</v>
      </c>
      <c r="Q65" s="31"/>
      <c r="R65" s="31"/>
      <c r="S65" s="33">
        <v>0</v>
      </c>
      <c r="T65" s="33">
        <v>0</v>
      </c>
      <c r="W65" s="33" t="s">
        <v>498</v>
      </c>
    </row>
    <row r="66" spans="1:24" ht="13.15" customHeight="1" x14ac:dyDescent="0.2">
      <c r="A66" s="33">
        <v>65</v>
      </c>
      <c r="B66" s="33" t="s">
        <v>29</v>
      </c>
      <c r="C66" s="33" t="s">
        <v>905</v>
      </c>
      <c r="D66" s="33" t="s">
        <v>911</v>
      </c>
      <c r="E66" s="36" t="s">
        <v>4</v>
      </c>
      <c r="F66" s="30" t="s">
        <v>175</v>
      </c>
      <c r="G66" s="30"/>
      <c r="H66" s="30"/>
      <c r="I66" s="30"/>
      <c r="J66" s="61">
        <f>VLOOKUP($A66, Stat!$A$1:$C$1000, 2,0)</f>
        <v>7</v>
      </c>
      <c r="K66" s="61">
        <f>VLOOKUP($A66, Stat!$A$1:$C$1000, 3,0)</f>
        <v>2</v>
      </c>
      <c r="L66" s="29">
        <v>1</v>
      </c>
      <c r="P66" s="30" t="s">
        <v>881</v>
      </c>
      <c r="Q66" s="31"/>
      <c r="R66" s="31"/>
      <c r="S66" s="33">
        <v>50</v>
      </c>
      <c r="T66" s="33">
        <v>0</v>
      </c>
      <c r="W66" s="33" t="s">
        <v>498</v>
      </c>
    </row>
    <row r="67" spans="1:24" ht="13.15" customHeight="1" x14ac:dyDescent="0.2">
      <c r="A67" s="33">
        <v>66</v>
      </c>
      <c r="B67" s="33" t="s">
        <v>29</v>
      </c>
      <c r="C67" s="33" t="s">
        <v>905</v>
      </c>
      <c r="D67" s="33" t="s">
        <v>911</v>
      </c>
      <c r="E67" s="36" t="s">
        <v>36</v>
      </c>
      <c r="F67" s="30" t="s">
        <v>175</v>
      </c>
      <c r="G67" s="30"/>
      <c r="H67" s="30"/>
      <c r="I67" s="30"/>
      <c r="J67" s="61">
        <f>VLOOKUP($A67, Stat!$A$1:$C$1000, 2,0)</f>
        <v>2</v>
      </c>
      <c r="K67" s="61">
        <f>VLOOKUP($A67, Stat!$A$1:$C$1000, 3,0)</f>
        <v>2</v>
      </c>
      <c r="L67" s="29">
        <v>1</v>
      </c>
      <c r="P67" s="30" t="s">
        <v>882</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876</v>
      </c>
      <c r="D71" s="33" t="s">
        <v>867</v>
      </c>
      <c r="E71" s="33" t="s">
        <v>677</v>
      </c>
      <c r="F71" s="29">
        <v>9</v>
      </c>
      <c r="I71" s="67" t="s">
        <v>407</v>
      </c>
      <c r="S71" s="33">
        <v>50</v>
      </c>
      <c r="T71" s="33">
        <v>0</v>
      </c>
      <c r="W71" s="33" t="s">
        <v>513</v>
      </c>
      <c r="X71" s="33" t="s">
        <v>679</v>
      </c>
    </row>
    <row r="72" spans="1:24" ht="13.15" customHeight="1" x14ac:dyDescent="0.2">
      <c r="A72" s="33">
        <v>71</v>
      </c>
      <c r="B72" s="33" t="s">
        <v>29</v>
      </c>
      <c r="C72" s="33" t="s">
        <v>876</v>
      </c>
      <c r="D72" s="33" t="s">
        <v>867</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778</v>
      </c>
      <c r="E73" s="33" t="s">
        <v>625</v>
      </c>
      <c r="F73" s="30" t="s">
        <v>352</v>
      </c>
      <c r="G73" s="30" t="s">
        <v>174</v>
      </c>
      <c r="H73" s="30" t="s">
        <v>155</v>
      </c>
      <c r="L73" s="29">
        <v>1</v>
      </c>
      <c r="S73" s="33">
        <v>0</v>
      </c>
      <c r="T73" s="33">
        <v>1</v>
      </c>
      <c r="X73" s="33" t="s">
        <v>779</v>
      </c>
    </row>
    <row r="74" spans="1:24" ht="13.15" customHeight="1" x14ac:dyDescent="0.2">
      <c r="A74" s="33">
        <v>73</v>
      </c>
      <c r="B74" s="33" t="s">
        <v>13</v>
      </c>
      <c r="C74" s="33" t="s">
        <v>45</v>
      </c>
      <c r="D74" s="33" t="s">
        <v>778</v>
      </c>
      <c r="E74" s="33" t="s">
        <v>626</v>
      </c>
      <c r="F74" s="30" t="s">
        <v>352</v>
      </c>
      <c r="G74" s="30" t="s">
        <v>174</v>
      </c>
      <c r="H74" s="30" t="s">
        <v>155</v>
      </c>
      <c r="L74" s="29">
        <v>1</v>
      </c>
      <c r="S74" s="33">
        <v>50</v>
      </c>
      <c r="T74" s="33">
        <v>0</v>
      </c>
      <c r="X74" s="33" t="s">
        <v>780</v>
      </c>
    </row>
    <row r="75" spans="1:24" ht="13.15" customHeight="1" x14ac:dyDescent="0.2">
      <c r="A75" s="33">
        <v>74</v>
      </c>
      <c r="B75" s="33" t="s">
        <v>29</v>
      </c>
      <c r="C75" s="33" t="s">
        <v>40</v>
      </c>
      <c r="D75" s="33" t="s">
        <v>837</v>
      </c>
      <c r="E75" s="36" t="s">
        <v>838</v>
      </c>
      <c r="F75" s="30" t="s">
        <v>176</v>
      </c>
      <c r="G75" s="31"/>
      <c r="H75" s="31"/>
      <c r="I75" s="30" t="s">
        <v>449</v>
      </c>
      <c r="J75" s="61">
        <f>VLOOKUP($A75, Stat!$A$1:$C$1000, 2,0)</f>
        <v>31</v>
      </c>
      <c r="K75" s="61">
        <f>VLOOKUP($A75, Stat!$A$1:$C$1000, 3,0)</f>
        <v>4</v>
      </c>
      <c r="L75" s="29">
        <v>1</v>
      </c>
      <c r="P75" s="31"/>
      <c r="Q75" s="31"/>
      <c r="R75" s="31"/>
      <c r="S75" s="33">
        <v>50</v>
      </c>
      <c r="T75" s="33">
        <v>0</v>
      </c>
      <c r="X75" s="33" t="s">
        <v>878</v>
      </c>
    </row>
    <row r="76" spans="1:24" ht="13.15" customHeight="1" x14ac:dyDescent="0.2">
      <c r="A76" s="33">
        <v>75</v>
      </c>
      <c r="B76" s="33" t="s">
        <v>13</v>
      </c>
      <c r="C76" s="33" t="s">
        <v>317</v>
      </c>
      <c r="D76" s="33" t="s">
        <v>235</v>
      </c>
      <c r="E76" s="36" t="s">
        <v>754</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778</v>
      </c>
      <c r="E77" s="33" t="s">
        <v>627</v>
      </c>
      <c r="F77" s="30" t="s">
        <v>352</v>
      </c>
      <c r="G77" s="30" t="s">
        <v>174</v>
      </c>
      <c r="H77" s="30" t="s">
        <v>155</v>
      </c>
      <c r="L77" s="29">
        <v>1</v>
      </c>
      <c r="S77" s="33">
        <v>100</v>
      </c>
      <c r="T77" s="33">
        <v>0</v>
      </c>
      <c r="X77" s="33" t="s">
        <v>781</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876</v>
      </c>
      <c r="D79" s="33" t="s">
        <v>852</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876</v>
      </c>
      <c r="D80" s="33" t="s">
        <v>852</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757</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941</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841</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768</v>
      </c>
      <c r="D90" s="33" t="s">
        <v>758</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843</v>
      </c>
      <c r="E91" s="36" t="s">
        <v>856</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757</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783</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783</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783</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768</v>
      </c>
      <c r="D97" s="33" t="s">
        <v>758</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803</v>
      </c>
      <c r="J98" s="61">
        <f>VLOOKUP($A98, Stat!$A$1:$C$1000, 2,0)</f>
        <v>3</v>
      </c>
      <c r="K98" s="61">
        <f>VLOOKUP($A98, Stat!$A$1:$C$1000, 3,0)</f>
        <v>0</v>
      </c>
      <c r="L98" s="63"/>
      <c r="S98" s="33">
        <v>50</v>
      </c>
      <c r="T98" s="33">
        <v>0</v>
      </c>
      <c r="X98" s="33" t="s">
        <v>808</v>
      </c>
    </row>
    <row r="99" spans="1:24" ht="13.15" customHeight="1" x14ac:dyDescent="0.2">
      <c r="A99" s="33">
        <v>98</v>
      </c>
      <c r="B99" s="33" t="s">
        <v>13</v>
      </c>
      <c r="C99" s="33" t="s">
        <v>45</v>
      </c>
      <c r="D99" s="33" t="s">
        <v>778</v>
      </c>
      <c r="E99" s="33" t="s">
        <v>103</v>
      </c>
      <c r="F99" s="30" t="s">
        <v>352</v>
      </c>
      <c r="G99" s="30" t="s">
        <v>174</v>
      </c>
      <c r="H99" s="30" t="s">
        <v>155</v>
      </c>
      <c r="L99" s="29">
        <v>1</v>
      </c>
      <c r="S99" s="33">
        <v>100</v>
      </c>
      <c r="T99" s="33">
        <v>0</v>
      </c>
      <c r="X99" s="33" t="s">
        <v>782</v>
      </c>
    </row>
    <row r="100" spans="1:24" ht="13.15" customHeight="1" x14ac:dyDescent="0.2">
      <c r="A100" s="33">
        <v>99</v>
      </c>
      <c r="B100" s="33" t="s">
        <v>13</v>
      </c>
      <c r="C100" s="33" t="s">
        <v>13</v>
      </c>
      <c r="D100" s="33" t="s">
        <v>832</v>
      </c>
      <c r="E100" s="36" t="s">
        <v>834</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905</v>
      </c>
      <c r="D109" s="33" t="s">
        <v>908</v>
      </c>
      <c r="E109" s="36" t="s">
        <v>2</v>
      </c>
      <c r="F109" s="30" t="s">
        <v>175</v>
      </c>
      <c r="G109" s="30"/>
      <c r="H109" s="30"/>
      <c r="I109" s="30"/>
      <c r="J109" s="61">
        <f>VLOOKUP($A109, Stat!$A$1:$C$1000, 2,0)</f>
        <v>73</v>
      </c>
      <c r="K109" s="61">
        <f>VLOOKUP($A109, Stat!$A$1:$C$1000, 3,0)</f>
        <v>0</v>
      </c>
      <c r="L109" s="80"/>
      <c r="P109" s="30" t="s">
        <v>933</v>
      </c>
      <c r="Q109" s="31"/>
      <c r="R109" s="31"/>
      <c r="S109" s="33">
        <v>0</v>
      </c>
      <c r="T109" s="33">
        <v>-1</v>
      </c>
      <c r="W109" s="33" t="s">
        <v>495</v>
      </c>
    </row>
    <row r="110" spans="1:24" ht="13.15" customHeight="1" x14ac:dyDescent="0.2">
      <c r="A110" s="33">
        <v>109</v>
      </c>
      <c r="B110" s="33" t="s">
        <v>29</v>
      </c>
      <c r="C110" s="33" t="s">
        <v>905</v>
      </c>
      <c r="D110" s="33" t="s">
        <v>908</v>
      </c>
      <c r="E110" s="36" t="s">
        <v>3</v>
      </c>
      <c r="F110" s="30" t="s">
        <v>175</v>
      </c>
      <c r="G110" s="30"/>
      <c r="H110" s="30"/>
      <c r="I110" s="30"/>
      <c r="J110" s="61">
        <f>VLOOKUP($A110, Stat!$A$1:$C$1000, 2,0)</f>
        <v>11</v>
      </c>
      <c r="K110" s="61">
        <f>VLOOKUP($A110, Stat!$A$1:$C$1000, 3,0)</f>
        <v>5</v>
      </c>
      <c r="L110" s="29">
        <v>1</v>
      </c>
      <c r="P110" s="30" t="s">
        <v>934</v>
      </c>
      <c r="Q110" s="31"/>
      <c r="R110" s="31"/>
      <c r="S110" s="33">
        <v>0</v>
      </c>
      <c r="T110" s="33">
        <v>0</v>
      </c>
      <c r="W110" s="33" t="s">
        <v>495</v>
      </c>
    </row>
    <row r="111" spans="1:24" ht="13.15" customHeight="1" x14ac:dyDescent="0.2">
      <c r="A111" s="33">
        <v>110</v>
      </c>
      <c r="B111" s="33" t="s">
        <v>29</v>
      </c>
      <c r="C111" s="33" t="s">
        <v>905</v>
      </c>
      <c r="D111" s="33" t="s">
        <v>908</v>
      </c>
      <c r="E111" s="36" t="s">
        <v>4</v>
      </c>
      <c r="F111" s="30" t="s">
        <v>175</v>
      </c>
      <c r="G111" s="30"/>
      <c r="H111" s="30"/>
      <c r="I111" s="30"/>
      <c r="J111" s="61">
        <f>VLOOKUP($A111, Stat!$A$1:$C$1000, 2,0)</f>
        <v>9</v>
      </c>
      <c r="K111" s="61">
        <f>VLOOKUP($A111, Stat!$A$1:$C$1000, 3,0)</f>
        <v>3</v>
      </c>
      <c r="L111" s="29">
        <v>1</v>
      </c>
      <c r="P111" s="30" t="s">
        <v>935</v>
      </c>
      <c r="Q111" s="31"/>
      <c r="R111" s="31"/>
      <c r="S111" s="33">
        <v>100</v>
      </c>
      <c r="T111" s="33">
        <v>0</v>
      </c>
      <c r="W111" s="33" t="s">
        <v>495</v>
      </c>
    </row>
    <row r="112" spans="1:24" ht="13.15" customHeight="1" x14ac:dyDescent="0.2">
      <c r="A112" s="33">
        <v>111</v>
      </c>
      <c r="B112" s="33" t="s">
        <v>29</v>
      </c>
      <c r="C112" s="33" t="s">
        <v>905</v>
      </c>
      <c r="D112" s="33" t="s">
        <v>908</v>
      </c>
      <c r="E112" s="36" t="s">
        <v>36</v>
      </c>
      <c r="F112" s="30" t="s">
        <v>175</v>
      </c>
      <c r="G112" s="30"/>
      <c r="H112" s="30"/>
      <c r="I112" s="30"/>
      <c r="J112" s="61">
        <f>VLOOKUP($A112, Stat!$A$1:$C$1000, 2,0)</f>
        <v>2</v>
      </c>
      <c r="K112" s="61">
        <f>VLOOKUP($A112, Stat!$A$1:$C$1000, 3,0)</f>
        <v>1</v>
      </c>
      <c r="L112" s="29">
        <v>1</v>
      </c>
      <c r="P112" s="30" t="s">
        <v>936</v>
      </c>
      <c r="Q112" s="31"/>
      <c r="R112" s="31"/>
      <c r="S112" s="33">
        <v>100</v>
      </c>
      <c r="T112" s="33">
        <v>0</v>
      </c>
      <c r="W112" s="33" t="s">
        <v>495</v>
      </c>
    </row>
    <row r="113" spans="1:24" ht="13.15" customHeight="1" x14ac:dyDescent="0.2">
      <c r="A113" s="33">
        <v>112</v>
      </c>
      <c r="B113" s="33" t="s">
        <v>29</v>
      </c>
      <c r="C113" s="33" t="s">
        <v>55</v>
      </c>
      <c r="D113" s="33" t="s">
        <v>922</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922</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922</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922</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957</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957</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957</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957</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905</v>
      </c>
      <c r="D129" s="33" t="s">
        <v>906</v>
      </c>
      <c r="E129" s="36" t="s">
        <v>2</v>
      </c>
      <c r="F129" s="30" t="s">
        <v>175</v>
      </c>
      <c r="G129" s="30"/>
      <c r="H129" s="30"/>
      <c r="I129" s="30"/>
      <c r="J129" s="61">
        <f>VLOOKUP($A129, Stat!$A$1:$C$1000, 2,0)</f>
        <v>126</v>
      </c>
      <c r="K129" s="61">
        <f>VLOOKUP($A129, Stat!$A$1:$C$1000, 3,0)</f>
        <v>0</v>
      </c>
      <c r="L129" s="80"/>
      <c r="P129" s="30" t="s">
        <v>887</v>
      </c>
      <c r="Q129" s="31"/>
      <c r="R129" s="31"/>
      <c r="S129" s="33">
        <v>0</v>
      </c>
      <c r="T129" s="33">
        <v>-1</v>
      </c>
      <c r="W129" s="33" t="s">
        <v>493</v>
      </c>
    </row>
    <row r="130" spans="1:24" ht="13.15" customHeight="1" x14ac:dyDescent="0.2">
      <c r="A130" s="33">
        <v>129</v>
      </c>
      <c r="B130" s="33" t="s">
        <v>29</v>
      </c>
      <c r="C130" s="33" t="s">
        <v>905</v>
      </c>
      <c r="D130" s="33" t="s">
        <v>906</v>
      </c>
      <c r="E130" s="36" t="s">
        <v>3</v>
      </c>
      <c r="F130" s="30" t="s">
        <v>175</v>
      </c>
      <c r="G130" s="30"/>
      <c r="H130" s="30"/>
      <c r="I130" s="30"/>
      <c r="J130" s="61">
        <f>VLOOKUP($A130, Stat!$A$1:$C$1000, 2,0)</f>
        <v>55</v>
      </c>
      <c r="K130" s="61">
        <f>VLOOKUP($A130, Stat!$A$1:$C$1000, 3,0)</f>
        <v>9</v>
      </c>
      <c r="L130" s="64"/>
      <c r="P130" s="30" t="s">
        <v>888</v>
      </c>
      <c r="Q130" s="31"/>
      <c r="R130" s="31"/>
      <c r="S130" s="33">
        <v>0</v>
      </c>
      <c r="T130" s="33">
        <v>-1</v>
      </c>
      <c r="W130" s="33" t="s">
        <v>493</v>
      </c>
    </row>
    <row r="131" spans="1:24" ht="13.15" customHeight="1" x14ac:dyDescent="0.2">
      <c r="A131" s="33">
        <v>130</v>
      </c>
      <c r="B131" s="33" t="s">
        <v>29</v>
      </c>
      <c r="C131" s="33" t="s">
        <v>905</v>
      </c>
      <c r="D131" s="33" t="s">
        <v>906</v>
      </c>
      <c r="E131" s="36" t="s">
        <v>4</v>
      </c>
      <c r="F131" s="30" t="s">
        <v>175</v>
      </c>
      <c r="G131" s="30"/>
      <c r="H131" s="30"/>
      <c r="I131" s="30"/>
      <c r="J131" s="61">
        <f>VLOOKUP($A131, Stat!$A$1:$C$1000, 2,0)</f>
        <v>38</v>
      </c>
      <c r="K131" s="61">
        <f>VLOOKUP($A131, Stat!$A$1:$C$1000, 3,0)</f>
        <v>5</v>
      </c>
      <c r="L131" s="64"/>
      <c r="P131" s="30" t="s">
        <v>889</v>
      </c>
      <c r="Q131" s="31"/>
      <c r="R131" s="31"/>
      <c r="S131" s="33">
        <v>0</v>
      </c>
      <c r="T131" s="33">
        <v>-1</v>
      </c>
      <c r="W131" s="33" t="s">
        <v>493</v>
      </c>
    </row>
    <row r="132" spans="1:24" ht="13.15" customHeight="1" x14ac:dyDescent="0.2">
      <c r="A132" s="33">
        <v>131</v>
      </c>
      <c r="B132" s="33" t="s">
        <v>29</v>
      </c>
      <c r="C132" s="33" t="s">
        <v>905</v>
      </c>
      <c r="D132" s="33" t="s">
        <v>906</v>
      </c>
      <c r="E132" s="36" t="s">
        <v>36</v>
      </c>
      <c r="F132" s="30" t="s">
        <v>175</v>
      </c>
      <c r="G132" s="30"/>
      <c r="H132" s="30"/>
      <c r="I132" s="30"/>
      <c r="J132" s="61">
        <f>VLOOKUP($A132, Stat!$A$1:$C$1000, 2,0)</f>
        <v>27</v>
      </c>
      <c r="K132" s="61">
        <f>VLOOKUP($A132, Stat!$A$1:$C$1000, 3,0)</f>
        <v>12</v>
      </c>
      <c r="L132" s="29">
        <v>1</v>
      </c>
      <c r="P132" s="30" t="s">
        <v>890</v>
      </c>
      <c r="Q132" s="31"/>
      <c r="R132" s="31"/>
      <c r="S132" s="33">
        <v>50</v>
      </c>
      <c r="T132" s="33">
        <v>0</v>
      </c>
      <c r="W132" s="33" t="s">
        <v>493</v>
      </c>
    </row>
    <row r="133" spans="1:24" ht="13.15" customHeight="1" x14ac:dyDescent="0.2">
      <c r="A133" s="33">
        <v>132</v>
      </c>
      <c r="B133" s="33" t="s">
        <v>29</v>
      </c>
      <c r="C133" s="33" t="s">
        <v>905</v>
      </c>
      <c r="D133" s="33" t="s">
        <v>910</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905</v>
      </c>
      <c r="D134" s="33" t="s">
        <v>910</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905</v>
      </c>
      <c r="D135" s="33" t="s">
        <v>910</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905</v>
      </c>
      <c r="D136" s="33" t="s">
        <v>910</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905</v>
      </c>
      <c r="D139" s="33" t="s">
        <v>907</v>
      </c>
      <c r="E139" s="36" t="s">
        <v>2</v>
      </c>
      <c r="F139" s="30" t="s">
        <v>175</v>
      </c>
      <c r="G139" s="30"/>
      <c r="H139" s="30"/>
      <c r="I139" s="30"/>
      <c r="J139" s="61">
        <f>VLOOKUP($A139, Stat!$A$1:$C$1000, 2,0)</f>
        <v>69</v>
      </c>
      <c r="K139" s="61">
        <f>VLOOKUP($A139, Stat!$A$1:$C$1000, 3,0)</f>
        <v>1</v>
      </c>
      <c r="L139" s="64"/>
      <c r="P139" s="30" t="s">
        <v>929</v>
      </c>
      <c r="Q139" s="31"/>
      <c r="R139" s="31"/>
      <c r="S139" s="33">
        <v>0</v>
      </c>
      <c r="T139" s="33">
        <v>-1</v>
      </c>
      <c r="W139" s="33" t="s">
        <v>494</v>
      </c>
    </row>
    <row r="140" spans="1:24" ht="13.15" customHeight="1" x14ac:dyDescent="0.2">
      <c r="A140" s="33">
        <v>141</v>
      </c>
      <c r="B140" s="33" t="s">
        <v>29</v>
      </c>
      <c r="C140" s="33" t="s">
        <v>905</v>
      </c>
      <c r="D140" s="33" t="s">
        <v>907</v>
      </c>
      <c r="E140" s="36" t="s">
        <v>3</v>
      </c>
      <c r="F140" s="30" t="s">
        <v>175</v>
      </c>
      <c r="G140" s="30"/>
      <c r="H140" s="30"/>
      <c r="I140" s="30"/>
      <c r="J140" s="61">
        <f>VLOOKUP($A140, Stat!$A$1:$C$1000, 2,0)</f>
        <v>29</v>
      </c>
      <c r="K140" s="61">
        <f>VLOOKUP($A140, Stat!$A$1:$C$1000, 3,0)</f>
        <v>1</v>
      </c>
      <c r="L140" s="64"/>
      <c r="P140" s="30" t="s">
        <v>930</v>
      </c>
      <c r="Q140" s="31"/>
      <c r="R140" s="31"/>
      <c r="S140" s="33">
        <v>0</v>
      </c>
      <c r="T140" s="33">
        <v>-1</v>
      </c>
      <c r="W140" s="33" t="s">
        <v>494</v>
      </c>
    </row>
    <row r="141" spans="1:24" ht="13.15" customHeight="1" x14ac:dyDescent="0.2">
      <c r="A141" s="33">
        <v>142</v>
      </c>
      <c r="B141" s="33" t="s">
        <v>29</v>
      </c>
      <c r="C141" s="33" t="s">
        <v>905</v>
      </c>
      <c r="D141" s="33" t="s">
        <v>907</v>
      </c>
      <c r="E141" s="36" t="s">
        <v>4</v>
      </c>
      <c r="F141" s="30" t="s">
        <v>175</v>
      </c>
      <c r="G141" s="30"/>
      <c r="H141" s="30"/>
      <c r="I141" s="30"/>
      <c r="J141" s="61">
        <f>VLOOKUP($A141, Stat!$A$1:$C$1000, 2,0)</f>
        <v>13</v>
      </c>
      <c r="K141" s="61">
        <f>VLOOKUP($A141, Stat!$A$1:$C$1000, 3,0)</f>
        <v>3</v>
      </c>
      <c r="L141" s="29">
        <v>1</v>
      </c>
      <c r="P141" s="30" t="s">
        <v>931</v>
      </c>
      <c r="Q141" s="31"/>
      <c r="R141" s="31"/>
      <c r="S141" s="33">
        <v>50</v>
      </c>
      <c r="T141" s="33">
        <v>0</v>
      </c>
      <c r="W141" s="33" t="s">
        <v>494</v>
      </c>
    </row>
    <row r="142" spans="1:24" ht="13.15" customHeight="1" x14ac:dyDescent="0.2">
      <c r="A142" s="33">
        <v>143</v>
      </c>
      <c r="B142" s="33" t="s">
        <v>29</v>
      </c>
      <c r="C142" s="33" t="s">
        <v>905</v>
      </c>
      <c r="D142" s="33" t="s">
        <v>907</v>
      </c>
      <c r="E142" s="36" t="s">
        <v>36</v>
      </c>
      <c r="F142" s="30" t="s">
        <v>175</v>
      </c>
      <c r="G142" s="30"/>
      <c r="H142" s="30"/>
      <c r="I142" s="30"/>
      <c r="J142" s="61">
        <f>VLOOKUP($A142, Stat!$A$1:$C$1000, 2,0)</f>
        <v>6</v>
      </c>
      <c r="K142" s="61">
        <f>VLOOKUP($A142, Stat!$A$1:$C$1000, 3,0)</f>
        <v>4</v>
      </c>
      <c r="L142" s="29">
        <v>1</v>
      </c>
      <c r="P142" s="30" t="s">
        <v>932</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905</v>
      </c>
      <c r="D147" s="33" t="s">
        <v>913</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905</v>
      </c>
      <c r="D148" s="33" t="s">
        <v>913</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905</v>
      </c>
      <c r="D149" s="33" t="s">
        <v>913</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905</v>
      </c>
      <c r="D150" s="33" t="s">
        <v>913</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764</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895</v>
      </c>
      <c r="E174" s="36" t="s">
        <v>894</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895</v>
      </c>
      <c r="E175" s="36" t="s">
        <v>893</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895</v>
      </c>
      <c r="E176" s="36" t="s">
        <v>891</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895</v>
      </c>
      <c r="E177" s="36" t="s">
        <v>892</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895</v>
      </c>
      <c r="E178" s="36" t="s">
        <v>898</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895</v>
      </c>
      <c r="E179" s="36" t="s">
        <v>897</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896</v>
      </c>
      <c r="E180" s="36" t="s">
        <v>894</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896</v>
      </c>
      <c r="E181" s="36" t="s">
        <v>893</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896</v>
      </c>
      <c r="E182" s="36" t="s">
        <v>891</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896</v>
      </c>
      <c r="E183" s="36" t="s">
        <v>892</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896</v>
      </c>
      <c r="E184" s="36" t="s">
        <v>898</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896</v>
      </c>
      <c r="E185" s="36" t="s">
        <v>897</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763</v>
      </c>
      <c r="E186" s="36" t="s">
        <v>103</v>
      </c>
      <c r="F186" s="30" t="s">
        <v>177</v>
      </c>
      <c r="G186" s="30" t="s">
        <v>155</v>
      </c>
      <c r="H186" s="31"/>
      <c r="I186" s="30"/>
      <c r="J186" s="61">
        <f>VLOOKUP($A186, Stat!$A$1:$C$1000, 2,0)</f>
        <v>195</v>
      </c>
      <c r="K186" s="61">
        <f>VLOOKUP($A186, Stat!$A$1:$C$1000, 3,0)</f>
        <v>8</v>
      </c>
      <c r="L186" s="64"/>
      <c r="P186" s="30" t="s">
        <v>784</v>
      </c>
      <c r="Q186" s="31"/>
      <c r="R186" s="31"/>
      <c r="S186" s="33">
        <v>100</v>
      </c>
      <c r="T186" s="33">
        <v>0</v>
      </c>
      <c r="X186" s="33" t="s">
        <v>776</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937</v>
      </c>
      <c r="X187" s="33" t="s">
        <v>795</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937</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937</v>
      </c>
    </row>
    <row r="190" spans="1:24" ht="13.15" customHeight="1" x14ac:dyDescent="0.2">
      <c r="A190" s="33">
        <v>191</v>
      </c>
      <c r="B190" s="33" t="s">
        <v>29</v>
      </c>
      <c r="C190" s="33" t="s">
        <v>56</v>
      </c>
      <c r="D190" s="33" t="s">
        <v>921</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957</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876</v>
      </c>
      <c r="D192" s="33" t="s">
        <v>852</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814</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814</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840</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837</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938</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770</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771</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760</v>
      </c>
      <c r="F218" s="30" t="s">
        <v>177</v>
      </c>
      <c r="G218" s="30" t="s">
        <v>155</v>
      </c>
      <c r="H218" s="31"/>
      <c r="I218" s="31"/>
      <c r="J218" s="61">
        <f>VLOOKUP($A218, Stat!$A$1:$C$1000, 2,0)</f>
        <v>14</v>
      </c>
      <c r="K218" s="61">
        <f>VLOOKUP($A218, Stat!$A$1:$C$1000, 3,0)</f>
        <v>7</v>
      </c>
      <c r="L218" s="29">
        <v>1</v>
      </c>
      <c r="P218" s="31"/>
      <c r="Q218" s="31"/>
      <c r="R218" s="31"/>
      <c r="S218" s="33">
        <v>50</v>
      </c>
      <c r="T218" s="33">
        <v>0</v>
      </c>
      <c r="X218" s="33" t="s">
        <v>772</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798</v>
      </c>
      <c r="E253" s="36" t="s">
        <v>800</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802</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802</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954</v>
      </c>
      <c r="E261" s="36" t="s">
        <v>302</v>
      </c>
      <c r="J261" s="61">
        <f>VLOOKUP($A261, Stat!$A$1:$C$1000, 2,0)</f>
        <v>318</v>
      </c>
      <c r="K261" s="61">
        <f>VLOOKUP($A261, Stat!$A$1:$C$1000, 3,0)</f>
        <v>3</v>
      </c>
      <c r="L261" s="64"/>
      <c r="S261" s="33">
        <v>0</v>
      </c>
      <c r="T261" s="33">
        <v>-1</v>
      </c>
      <c r="W261" s="33" t="s">
        <v>857</v>
      </c>
    </row>
    <row r="262" spans="1:24" x14ac:dyDescent="0.2">
      <c r="A262" s="33">
        <v>269</v>
      </c>
      <c r="B262" s="33" t="s">
        <v>13</v>
      </c>
      <c r="C262" s="33" t="s">
        <v>317</v>
      </c>
      <c r="D262" s="33" t="s">
        <v>954</v>
      </c>
      <c r="E262" s="36" t="s">
        <v>303</v>
      </c>
      <c r="J262" s="61">
        <f>VLOOKUP($A262, Stat!$A$1:$C$1000, 2,0)</f>
        <v>51</v>
      </c>
      <c r="K262" s="61">
        <f>VLOOKUP($A262, Stat!$A$1:$C$1000, 3,0)</f>
        <v>7</v>
      </c>
      <c r="L262" s="29">
        <v>1</v>
      </c>
      <c r="S262" s="33">
        <v>0</v>
      </c>
      <c r="T262" s="33">
        <v>-1</v>
      </c>
      <c r="W262" s="33" t="s">
        <v>857</v>
      </c>
    </row>
    <row r="263" spans="1:24" x14ac:dyDescent="0.2">
      <c r="A263" s="33">
        <v>270</v>
      </c>
      <c r="B263" s="33" t="s">
        <v>13</v>
      </c>
      <c r="C263" s="33" t="s">
        <v>317</v>
      </c>
      <c r="D263" s="33" t="s">
        <v>954</v>
      </c>
      <c r="E263" s="36" t="s">
        <v>304</v>
      </c>
      <c r="J263" s="61">
        <f>VLOOKUP($A263, Stat!$A$1:$C$1000, 2,0)</f>
        <v>25</v>
      </c>
      <c r="K263" s="61">
        <f>VLOOKUP($A263, Stat!$A$1:$C$1000, 3,0)</f>
        <v>5</v>
      </c>
      <c r="L263" s="29">
        <v>1</v>
      </c>
      <c r="S263" s="33">
        <v>0</v>
      </c>
      <c r="T263" s="33">
        <v>0</v>
      </c>
      <c r="W263" s="33" t="s">
        <v>857</v>
      </c>
    </row>
    <row r="264" spans="1:24" ht="13.15" customHeight="1" x14ac:dyDescent="0.2">
      <c r="A264" s="33">
        <v>271</v>
      </c>
      <c r="B264" s="33" t="s">
        <v>13</v>
      </c>
      <c r="C264" s="33" t="s">
        <v>317</v>
      </c>
      <c r="D264" s="33" t="s">
        <v>954</v>
      </c>
      <c r="E264" s="36" t="s">
        <v>305</v>
      </c>
      <c r="J264" s="61">
        <f>VLOOKUP($A264, Stat!$A$1:$C$1000, 2,0)</f>
        <v>11</v>
      </c>
      <c r="K264" s="61">
        <f>VLOOKUP($A264, Stat!$A$1:$C$1000, 3,0)</f>
        <v>2</v>
      </c>
      <c r="L264" s="29">
        <v>1</v>
      </c>
      <c r="S264" s="33">
        <v>100</v>
      </c>
      <c r="T264" s="33">
        <v>0</v>
      </c>
      <c r="W264" s="33" t="s">
        <v>857</v>
      </c>
    </row>
    <row r="265" spans="1:24" ht="13.15" customHeight="1" x14ac:dyDescent="0.2">
      <c r="A265" s="33">
        <v>272</v>
      </c>
      <c r="B265" s="33" t="s">
        <v>13</v>
      </c>
      <c r="C265" s="33" t="s">
        <v>317</v>
      </c>
      <c r="D265" s="33" t="s">
        <v>954</v>
      </c>
      <c r="E265" s="36" t="s">
        <v>170</v>
      </c>
      <c r="J265" s="61">
        <f>VLOOKUP($A265, Stat!$A$1:$C$1000, 2,0)</f>
        <v>39</v>
      </c>
      <c r="K265" s="61">
        <f>VLOOKUP($A265, Stat!$A$1:$C$1000, 3,0)</f>
        <v>15</v>
      </c>
      <c r="L265" s="29">
        <v>1</v>
      </c>
      <c r="S265" s="33">
        <v>100</v>
      </c>
      <c r="T265" s="33">
        <v>0</v>
      </c>
      <c r="W265" s="33" t="s">
        <v>857</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796</v>
      </c>
      <c r="F268" s="76">
        <v>8</v>
      </c>
      <c r="G268" s="29">
        <v>1</v>
      </c>
      <c r="I268" s="67" t="s">
        <v>789</v>
      </c>
      <c r="J268" s="61">
        <f>VLOOKUP($A268, Stat!$A$1:$C$1000, 2,0)</f>
        <v>10</v>
      </c>
      <c r="K268" s="61">
        <f>VLOOKUP($A268, Stat!$A$1:$C$1000, 3,0)</f>
        <v>2</v>
      </c>
      <c r="L268" s="29">
        <v>1</v>
      </c>
      <c r="S268" s="33">
        <v>50</v>
      </c>
      <c r="T268" s="33">
        <v>0</v>
      </c>
      <c r="X268" s="33" t="s">
        <v>787</v>
      </c>
    </row>
    <row r="269" spans="1:24" ht="13.15" customHeight="1" x14ac:dyDescent="0.2">
      <c r="A269" s="33">
        <v>276</v>
      </c>
      <c r="B269" s="33" t="s">
        <v>13</v>
      </c>
      <c r="C269" s="33" t="s">
        <v>750</v>
      </c>
      <c r="D269" s="33" t="s">
        <v>764</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797</v>
      </c>
      <c r="F270" s="76">
        <v>8</v>
      </c>
      <c r="G270" s="29">
        <v>1</v>
      </c>
      <c r="I270" s="67" t="s">
        <v>790</v>
      </c>
      <c r="J270" s="61">
        <f>VLOOKUP($A270, Stat!$A$1:$C$1000, 2,0)</f>
        <v>1</v>
      </c>
      <c r="K270" s="61">
        <f>VLOOKUP($A270, Stat!$A$1:$C$1000, 3,0)</f>
        <v>1</v>
      </c>
      <c r="L270" s="29">
        <v>1</v>
      </c>
      <c r="S270" s="33">
        <v>0</v>
      </c>
      <c r="T270" s="33">
        <v>1</v>
      </c>
      <c r="X270" s="33" t="s">
        <v>788</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801</v>
      </c>
      <c r="E274" s="33" t="s">
        <v>800</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810</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807</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809</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773</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806</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785</v>
      </c>
      <c r="F285" s="76">
        <v>12</v>
      </c>
      <c r="I285" s="30" t="s">
        <v>341</v>
      </c>
      <c r="J285" s="61">
        <f>VLOOKUP($A285, Stat!$A$1:$C$1000, 2,0)</f>
        <v>0</v>
      </c>
      <c r="K285" s="61">
        <f>VLOOKUP($A285, Stat!$A$1:$C$1000, 3,0)</f>
        <v>0</v>
      </c>
      <c r="L285" s="29">
        <v>1</v>
      </c>
      <c r="S285" s="33">
        <v>50</v>
      </c>
      <c r="T285" s="33">
        <v>0</v>
      </c>
      <c r="X285" s="33" t="s">
        <v>786</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811</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805</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901</v>
      </c>
      <c r="E290" s="33" t="s">
        <v>870</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902</v>
      </c>
      <c r="E291" s="33" t="s">
        <v>873</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847</v>
      </c>
      <c r="E292" s="33" t="s">
        <v>844</v>
      </c>
      <c r="J292" s="61">
        <f>VLOOKUP($A292, Stat!$A$1:$C$1000, 2,0)</f>
        <v>4</v>
      </c>
      <c r="K292" s="61">
        <f>VLOOKUP($A292, Stat!$A$1:$C$1000, 3,0)</f>
        <v>1</v>
      </c>
      <c r="L292" s="64"/>
      <c r="S292" s="33">
        <v>50</v>
      </c>
      <c r="T292" s="33">
        <v>0</v>
      </c>
      <c r="X292" s="33" t="s">
        <v>521</v>
      </c>
    </row>
    <row r="293" spans="1:24" x14ac:dyDescent="0.2">
      <c r="A293" s="33">
        <v>305</v>
      </c>
      <c r="B293" s="33" t="s">
        <v>29</v>
      </c>
      <c r="C293" s="33" t="s">
        <v>876</v>
      </c>
      <c r="D293" s="33" t="s">
        <v>853</v>
      </c>
      <c r="E293" s="33" t="s">
        <v>854</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815</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815</v>
      </c>
      <c r="E295" s="33" t="s">
        <v>816</v>
      </c>
      <c r="F295" s="29">
        <v>1</v>
      </c>
      <c r="J295" s="61">
        <f>VLOOKUP($A295, Stat!$A$1:$C$1000, 2,0)</f>
        <v>184</v>
      </c>
      <c r="K295" s="61">
        <f>VLOOKUP($A295, Stat!$A$1:$C$1000, 3,0)</f>
        <v>9</v>
      </c>
      <c r="L295" s="64"/>
      <c r="S295" s="33">
        <v>50</v>
      </c>
      <c r="T295" s="33">
        <v>0</v>
      </c>
      <c r="U295" s="33">
        <v>12345</v>
      </c>
      <c r="W295" s="33" t="s">
        <v>524</v>
      </c>
      <c r="X295" s="33" t="s">
        <v>821</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819</v>
      </c>
      <c r="E298" s="33" t="s">
        <v>818</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876</v>
      </c>
      <c r="D299" s="33" t="s">
        <v>861</v>
      </c>
      <c r="E299" s="33" t="s">
        <v>865</v>
      </c>
      <c r="F299" s="29">
        <v>3</v>
      </c>
      <c r="S299" s="33">
        <v>0</v>
      </c>
      <c r="T299" s="33">
        <v>0</v>
      </c>
      <c r="W299" s="33" t="s">
        <v>662</v>
      </c>
    </row>
    <row r="300" spans="1:24" ht="13.15" customHeight="1" x14ac:dyDescent="0.2">
      <c r="A300" s="33">
        <v>312</v>
      </c>
      <c r="B300" s="33" t="s">
        <v>29</v>
      </c>
      <c r="C300" s="33" t="s">
        <v>876</v>
      </c>
      <c r="D300" s="33" t="s">
        <v>863</v>
      </c>
      <c r="E300" s="33" t="s">
        <v>865</v>
      </c>
      <c r="F300" s="29">
        <v>3</v>
      </c>
      <c r="S300" s="33">
        <v>0</v>
      </c>
      <c r="T300" s="33">
        <v>0</v>
      </c>
      <c r="W300" s="33" t="s">
        <v>662</v>
      </c>
    </row>
    <row r="301" spans="1:24" x14ac:dyDescent="0.2">
      <c r="A301" s="33">
        <v>313</v>
      </c>
      <c r="B301" s="33" t="s">
        <v>29</v>
      </c>
      <c r="C301" s="33" t="s">
        <v>876</v>
      </c>
      <c r="D301" s="33" t="s">
        <v>862</v>
      </c>
      <c r="E301" s="33" t="s">
        <v>865</v>
      </c>
      <c r="F301" s="29">
        <v>3</v>
      </c>
      <c r="P301" s="29">
        <v>311.40499999999997</v>
      </c>
      <c r="S301" s="33">
        <v>50</v>
      </c>
      <c r="T301" s="33">
        <v>0</v>
      </c>
      <c r="W301" s="33" t="s">
        <v>662</v>
      </c>
    </row>
    <row r="302" spans="1:24" x14ac:dyDescent="0.2">
      <c r="A302" s="33">
        <v>314</v>
      </c>
      <c r="B302" s="33" t="s">
        <v>29</v>
      </c>
      <c r="C302" s="33" t="s">
        <v>876</v>
      </c>
      <c r="D302" s="33" t="s">
        <v>864</v>
      </c>
      <c r="E302" s="33" t="s">
        <v>865</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774</v>
      </c>
    </row>
    <row r="306" spans="1:24" x14ac:dyDescent="0.2">
      <c r="A306" s="33">
        <v>318</v>
      </c>
      <c r="B306" s="33" t="s">
        <v>13</v>
      </c>
      <c r="C306" s="33" t="s">
        <v>317</v>
      </c>
      <c r="D306" s="33" t="s">
        <v>235</v>
      </c>
      <c r="E306" s="33" t="s">
        <v>755</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832</v>
      </c>
      <c r="E307" s="33" t="s">
        <v>836</v>
      </c>
      <c r="F307" s="29">
        <v>9</v>
      </c>
      <c r="I307" s="67" t="s">
        <v>833</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794</v>
      </c>
      <c r="F310" s="29">
        <v>2</v>
      </c>
      <c r="J310" s="61">
        <f>VLOOKUP($A310, Stat!$A$1:$C$1000, 2,0)</f>
        <v>23</v>
      </c>
      <c r="K310" s="61">
        <f>VLOOKUP($A310, Stat!$A$1:$C$1000, 3,0)</f>
        <v>9</v>
      </c>
      <c r="L310" s="29">
        <v>1</v>
      </c>
      <c r="S310" s="33">
        <v>0</v>
      </c>
      <c r="T310" s="33">
        <v>0</v>
      </c>
      <c r="V310" s="33" t="s">
        <v>953</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793</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798</v>
      </c>
      <c r="E313" s="33" t="s">
        <v>799</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801</v>
      </c>
      <c r="E314" s="33" t="s">
        <v>799</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815</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752</v>
      </c>
      <c r="F321" s="29">
        <v>1</v>
      </c>
      <c r="J321" s="61">
        <f>VLOOKUP($A321, Stat!$A$1:$C$1000, 2,0)</f>
        <v>146</v>
      </c>
      <c r="K321" s="61">
        <f>VLOOKUP($A321, Stat!$A$1:$C$1000, 3,0)</f>
        <v>1</v>
      </c>
      <c r="L321" s="64"/>
      <c r="S321" s="33">
        <v>50</v>
      </c>
      <c r="T321" s="33">
        <v>0</v>
      </c>
      <c r="X321" s="33" t="s">
        <v>775</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850</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876</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876</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876</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876</v>
      </c>
      <c r="D334" s="33" t="s">
        <v>869</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839</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839</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955</v>
      </c>
      <c r="E337" s="33" t="s">
        <v>302</v>
      </c>
      <c r="J337" s="61">
        <f>VLOOKUP($A337, Stat!$A$1:$C$1000, 2,0)</f>
        <v>361</v>
      </c>
      <c r="K337" s="61">
        <f>VLOOKUP($A337, Stat!$A$1:$C$1000, 3,0)</f>
        <v>1</v>
      </c>
      <c r="L337" s="64"/>
      <c r="S337" s="33">
        <v>0</v>
      </c>
      <c r="T337" s="33">
        <v>-1</v>
      </c>
      <c r="W337" s="33" t="s">
        <v>857</v>
      </c>
    </row>
    <row r="338" spans="1:23" x14ac:dyDescent="0.2">
      <c r="A338" s="33">
        <v>355</v>
      </c>
      <c r="B338" s="33" t="s">
        <v>13</v>
      </c>
      <c r="C338" s="33" t="s">
        <v>317</v>
      </c>
      <c r="D338" s="33" t="s">
        <v>955</v>
      </c>
      <c r="E338" s="33" t="s">
        <v>303</v>
      </c>
      <c r="J338" s="61">
        <f>VLOOKUP($A338, Stat!$A$1:$C$1000, 2,0)</f>
        <v>27</v>
      </c>
      <c r="K338" s="61">
        <f>VLOOKUP($A338, Stat!$A$1:$C$1000, 3,0)</f>
        <v>7</v>
      </c>
      <c r="S338" s="33">
        <v>50</v>
      </c>
      <c r="T338" s="33">
        <v>0</v>
      </c>
      <c r="W338" s="33" t="s">
        <v>857</v>
      </c>
    </row>
    <row r="339" spans="1:23" x14ac:dyDescent="0.2">
      <c r="A339" s="33">
        <v>356</v>
      </c>
      <c r="B339" s="33" t="s">
        <v>13</v>
      </c>
      <c r="C339" s="33" t="s">
        <v>317</v>
      </c>
      <c r="D339" s="33" t="s">
        <v>955</v>
      </c>
      <c r="E339" s="33" t="s">
        <v>304</v>
      </c>
      <c r="J339" s="61">
        <f>VLOOKUP($A339, Stat!$A$1:$C$1000, 2,0)</f>
        <v>19</v>
      </c>
      <c r="K339" s="61">
        <f>VLOOKUP($A339, Stat!$A$1:$C$1000, 3,0)</f>
        <v>4</v>
      </c>
      <c r="L339" s="29">
        <v>1</v>
      </c>
      <c r="S339" s="33">
        <v>50</v>
      </c>
      <c r="T339" s="33">
        <v>0</v>
      </c>
      <c r="W339" s="33" t="s">
        <v>857</v>
      </c>
    </row>
    <row r="340" spans="1:23" x14ac:dyDescent="0.2">
      <c r="A340" s="33">
        <v>357</v>
      </c>
      <c r="B340" s="33" t="s">
        <v>13</v>
      </c>
      <c r="C340" s="33" t="s">
        <v>317</v>
      </c>
      <c r="D340" s="33" t="s">
        <v>955</v>
      </c>
      <c r="E340" s="33" t="s">
        <v>305</v>
      </c>
      <c r="J340" s="61">
        <f>VLOOKUP($A340, Stat!$A$1:$C$1000, 2,0)</f>
        <v>8</v>
      </c>
      <c r="K340" s="61">
        <f>VLOOKUP($A340, Stat!$A$1:$C$1000, 3,0)</f>
        <v>4</v>
      </c>
      <c r="L340" s="29">
        <v>1</v>
      </c>
      <c r="S340" s="33">
        <v>100</v>
      </c>
      <c r="T340" s="33">
        <v>0</v>
      </c>
      <c r="W340" s="33" t="s">
        <v>857</v>
      </c>
    </row>
    <row r="341" spans="1:23" x14ac:dyDescent="0.2">
      <c r="A341" s="33">
        <v>358</v>
      </c>
      <c r="B341" s="33" t="s">
        <v>13</v>
      </c>
      <c r="C341" s="33" t="s">
        <v>317</v>
      </c>
      <c r="D341" s="33" t="s">
        <v>955</v>
      </c>
      <c r="E341" s="33" t="s">
        <v>170</v>
      </c>
      <c r="J341" s="61">
        <f>VLOOKUP($A341, Stat!$A$1:$C$1000, 2,0)</f>
        <v>35</v>
      </c>
      <c r="K341" s="61">
        <f>VLOOKUP($A341, Stat!$A$1:$C$1000, 3,0)</f>
        <v>2</v>
      </c>
      <c r="S341" s="33">
        <v>100</v>
      </c>
      <c r="T341" s="33">
        <v>0</v>
      </c>
      <c r="W341" s="33" t="s">
        <v>857</v>
      </c>
    </row>
    <row r="342" spans="1:23" x14ac:dyDescent="0.2">
      <c r="A342" s="33">
        <v>360</v>
      </c>
      <c r="B342" s="33" t="s">
        <v>29</v>
      </c>
      <c r="C342" s="33" t="s">
        <v>11</v>
      </c>
      <c r="D342" s="33" t="s">
        <v>603</v>
      </c>
      <c r="E342" s="33" t="s">
        <v>850</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850</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850</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850</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820</v>
      </c>
      <c r="E365" s="33" t="s">
        <v>822</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761</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921</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768</v>
      </c>
      <c r="D371" s="33" t="s">
        <v>759</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768</v>
      </c>
      <c r="D372" s="33" t="s">
        <v>759</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905</v>
      </c>
      <c r="D373" s="33" t="s">
        <v>912</v>
      </c>
      <c r="E373" s="33" t="s">
        <v>2</v>
      </c>
      <c r="F373" s="30" t="s">
        <v>175</v>
      </c>
      <c r="J373" s="29">
        <f>VLOOKUP($A373, Stat!$A$1:$C$1000, 2,0)</f>
        <v>15</v>
      </c>
      <c r="K373" s="29">
        <f>VLOOKUP($A373, Stat!$A$1:$C$1000, 3,0)</f>
        <v>0</v>
      </c>
      <c r="P373" s="30" t="s">
        <v>883</v>
      </c>
      <c r="S373" s="33">
        <v>0</v>
      </c>
      <c r="T373" s="33">
        <v>1</v>
      </c>
      <c r="W373" s="33" t="s">
        <v>499</v>
      </c>
    </row>
    <row r="374" spans="1:24" x14ac:dyDescent="0.2">
      <c r="A374" s="33">
        <v>392</v>
      </c>
      <c r="B374" s="33" t="s">
        <v>29</v>
      </c>
      <c r="C374" s="33" t="s">
        <v>905</v>
      </c>
      <c r="D374" s="33" t="s">
        <v>912</v>
      </c>
      <c r="E374" s="33" t="s">
        <v>3</v>
      </c>
      <c r="F374" s="30" t="s">
        <v>175</v>
      </c>
      <c r="J374" s="29">
        <f>VLOOKUP($A374, Stat!$A$1:$C$1000, 2,0)</f>
        <v>1</v>
      </c>
      <c r="K374" s="29">
        <f>VLOOKUP($A374, Stat!$A$1:$C$1000, 3,0)</f>
        <v>0</v>
      </c>
      <c r="P374" s="30" t="s">
        <v>884</v>
      </c>
      <c r="S374" s="33">
        <v>0</v>
      </c>
      <c r="T374" s="33">
        <v>0</v>
      </c>
      <c r="W374" s="33" t="s">
        <v>499</v>
      </c>
    </row>
    <row r="375" spans="1:24" x14ac:dyDescent="0.2">
      <c r="A375" s="33">
        <v>393</v>
      </c>
      <c r="B375" s="33" t="s">
        <v>29</v>
      </c>
      <c r="C375" s="33" t="s">
        <v>905</v>
      </c>
      <c r="D375" s="33" t="s">
        <v>912</v>
      </c>
      <c r="E375" s="33" t="s">
        <v>4</v>
      </c>
      <c r="F375" s="30" t="s">
        <v>175</v>
      </c>
      <c r="J375" s="29">
        <f>VLOOKUP($A375, Stat!$A$1:$C$1000, 2,0)</f>
        <v>5</v>
      </c>
      <c r="K375" s="29">
        <f>VLOOKUP($A375, Stat!$A$1:$C$1000, 3,0)</f>
        <v>1</v>
      </c>
      <c r="P375" s="30" t="s">
        <v>885</v>
      </c>
      <c r="S375" s="33">
        <v>50</v>
      </c>
      <c r="T375" s="33">
        <v>0</v>
      </c>
      <c r="W375" s="33" t="s">
        <v>499</v>
      </c>
    </row>
    <row r="376" spans="1:24" x14ac:dyDescent="0.2">
      <c r="A376" s="33">
        <v>394</v>
      </c>
      <c r="B376" s="33" t="s">
        <v>29</v>
      </c>
      <c r="C376" s="33" t="s">
        <v>905</v>
      </c>
      <c r="D376" s="33" t="s">
        <v>912</v>
      </c>
      <c r="E376" s="33" t="s">
        <v>36</v>
      </c>
      <c r="F376" s="30" t="s">
        <v>175</v>
      </c>
      <c r="J376" s="29">
        <f>VLOOKUP($A376, Stat!$A$1:$C$1000, 2,0)</f>
        <v>1</v>
      </c>
      <c r="K376" s="29">
        <f>VLOOKUP($A376, Stat!$A$1:$C$1000, 3,0)</f>
        <v>0</v>
      </c>
      <c r="P376" s="30" t="s">
        <v>886</v>
      </c>
      <c r="S376" s="33">
        <v>100</v>
      </c>
      <c r="T376" s="33">
        <v>0</v>
      </c>
      <c r="W376" s="33" t="s">
        <v>499</v>
      </c>
    </row>
    <row r="377" spans="1:24" x14ac:dyDescent="0.2">
      <c r="A377" s="33">
        <v>398</v>
      </c>
      <c r="B377" s="33" t="s">
        <v>29</v>
      </c>
      <c r="C377" s="33" t="s">
        <v>905</v>
      </c>
      <c r="D377" s="33" t="s">
        <v>914</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905</v>
      </c>
      <c r="D378" s="33" t="s">
        <v>914</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905</v>
      </c>
      <c r="D379" s="33" t="s">
        <v>914</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905</v>
      </c>
      <c r="D380" s="33" t="s">
        <v>914</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876</v>
      </c>
      <c r="D381" s="33" t="s">
        <v>859</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876</v>
      </c>
      <c r="D382" s="33" t="s">
        <v>859</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876</v>
      </c>
      <c r="D383" s="33" t="s">
        <v>859</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876</v>
      </c>
      <c r="D384" s="33" t="s">
        <v>861</v>
      </c>
      <c r="E384" s="33" t="s">
        <v>866</v>
      </c>
      <c r="F384" s="29">
        <v>3</v>
      </c>
      <c r="S384" s="33">
        <v>0</v>
      </c>
      <c r="T384" s="33">
        <v>0</v>
      </c>
      <c r="W384" s="33" t="s">
        <v>662</v>
      </c>
      <c r="X384" s="33" t="s">
        <v>663</v>
      </c>
    </row>
    <row r="385" spans="1:24" x14ac:dyDescent="0.2">
      <c r="A385" s="33">
        <v>406</v>
      </c>
      <c r="B385" s="33" t="s">
        <v>29</v>
      </c>
      <c r="C385" s="33" t="s">
        <v>876</v>
      </c>
      <c r="D385" s="33" t="s">
        <v>863</v>
      </c>
      <c r="E385" s="33" t="s">
        <v>866</v>
      </c>
      <c r="F385" s="29">
        <v>3</v>
      </c>
      <c r="S385" s="33">
        <v>0</v>
      </c>
      <c r="T385" s="33">
        <v>0</v>
      </c>
      <c r="W385" s="33" t="s">
        <v>662</v>
      </c>
      <c r="X385" s="33" t="s">
        <v>663</v>
      </c>
    </row>
    <row r="386" spans="1:24" x14ac:dyDescent="0.2">
      <c r="A386" s="33">
        <v>407</v>
      </c>
      <c r="B386" s="33" t="s">
        <v>29</v>
      </c>
      <c r="C386" s="33" t="s">
        <v>876</v>
      </c>
      <c r="D386" s="33" t="s">
        <v>862</v>
      </c>
      <c r="E386" s="33" t="s">
        <v>866</v>
      </c>
      <c r="F386" s="29">
        <v>3</v>
      </c>
      <c r="P386" s="29">
        <v>311.40499999999997</v>
      </c>
      <c r="S386" s="33">
        <v>50</v>
      </c>
      <c r="T386" s="33">
        <v>0</v>
      </c>
      <c r="W386" s="33" t="s">
        <v>662</v>
      </c>
      <c r="X386" s="33" t="s">
        <v>663</v>
      </c>
    </row>
    <row r="387" spans="1:24" x14ac:dyDescent="0.2">
      <c r="A387" s="33">
        <v>408</v>
      </c>
      <c r="B387" s="33" t="s">
        <v>29</v>
      </c>
      <c r="C387" s="33" t="s">
        <v>876</v>
      </c>
      <c r="D387" s="33" t="s">
        <v>864</v>
      </c>
      <c r="E387" s="33" t="s">
        <v>866</v>
      </c>
      <c r="F387" s="29">
        <v>3</v>
      </c>
      <c r="P387" s="29">
        <v>312.40600000000001</v>
      </c>
      <c r="S387" s="33">
        <v>50</v>
      </c>
      <c r="T387" s="33">
        <v>0</v>
      </c>
      <c r="W387" s="33" t="s">
        <v>662</v>
      </c>
      <c r="X387" s="33" t="s">
        <v>663</v>
      </c>
    </row>
    <row r="388" spans="1:24" x14ac:dyDescent="0.2">
      <c r="A388" s="33">
        <v>411</v>
      </c>
      <c r="B388" s="33" t="s">
        <v>29</v>
      </c>
      <c r="C388" s="33" t="s">
        <v>876</v>
      </c>
      <c r="D388" s="33" t="s">
        <v>860</v>
      </c>
      <c r="E388" s="33" t="s">
        <v>238</v>
      </c>
      <c r="F388" s="29">
        <v>3</v>
      </c>
      <c r="J388" s="29">
        <f>VLOOKUP($A388, Stat!$A$1:$C$1000, 2,0)</f>
        <v>7</v>
      </c>
      <c r="K388" s="29">
        <f>VLOOKUP($A388, Stat!$A$1:$C$1000, 3,0)</f>
        <v>4</v>
      </c>
      <c r="L388" s="29">
        <v>1</v>
      </c>
      <c r="S388" s="33">
        <v>50</v>
      </c>
      <c r="T388" s="33">
        <v>0</v>
      </c>
      <c r="U388" s="33">
        <v>5</v>
      </c>
      <c r="W388" s="33" t="s">
        <v>851</v>
      </c>
      <c r="X388" s="33" t="s">
        <v>240</v>
      </c>
    </row>
    <row r="389" spans="1:24" x14ac:dyDescent="0.2">
      <c r="A389" s="33">
        <v>412</v>
      </c>
      <c r="B389" s="33" t="s">
        <v>29</v>
      </c>
      <c r="C389" s="33" t="s">
        <v>876</v>
      </c>
      <c r="D389" s="33" t="s">
        <v>860</v>
      </c>
      <c r="E389" s="33" t="s">
        <v>236</v>
      </c>
      <c r="F389" s="29">
        <v>3</v>
      </c>
      <c r="J389" s="29">
        <f>VLOOKUP($A389, Stat!$A$1:$C$1000, 2,0)</f>
        <v>0</v>
      </c>
      <c r="K389" s="29">
        <f>VLOOKUP($A389, Stat!$A$1:$C$1000, 3,0)</f>
        <v>0</v>
      </c>
      <c r="L389" s="29">
        <v>1</v>
      </c>
      <c r="S389" s="33">
        <v>50</v>
      </c>
      <c r="T389" s="33">
        <v>0</v>
      </c>
      <c r="U389" s="33">
        <v>5</v>
      </c>
      <c r="W389" s="33" t="s">
        <v>851</v>
      </c>
      <c r="X389" s="33" t="s">
        <v>239</v>
      </c>
    </row>
    <row r="390" spans="1:24" x14ac:dyDescent="0.2">
      <c r="A390" s="33">
        <v>413</v>
      </c>
      <c r="B390" s="33" t="s">
        <v>29</v>
      </c>
      <c r="C390" s="33" t="s">
        <v>876</v>
      </c>
      <c r="D390" s="33" t="s">
        <v>860</v>
      </c>
      <c r="E390" s="33" t="s">
        <v>237</v>
      </c>
      <c r="F390" s="29">
        <v>3</v>
      </c>
      <c r="J390" s="29">
        <f>VLOOKUP($A390, Stat!$A$1:$C$1000, 2,0)</f>
        <v>2</v>
      </c>
      <c r="K390" s="29">
        <f>VLOOKUP($A390, Stat!$A$1:$C$1000, 3,0)</f>
        <v>1</v>
      </c>
      <c r="L390" s="29">
        <v>1</v>
      </c>
      <c r="N390" s="29">
        <v>999</v>
      </c>
      <c r="S390" s="33">
        <v>0</v>
      </c>
      <c r="T390" s="33">
        <v>0</v>
      </c>
      <c r="U390" s="33">
        <v>5</v>
      </c>
      <c r="W390" s="33" t="s">
        <v>851</v>
      </c>
    </row>
    <row r="391" spans="1:24" x14ac:dyDescent="0.2">
      <c r="A391" s="33">
        <v>414</v>
      </c>
      <c r="B391" s="33" t="s">
        <v>29</v>
      </c>
      <c r="C391" s="33" t="s">
        <v>905</v>
      </c>
      <c r="D391" s="33" t="s">
        <v>923</v>
      </c>
      <c r="E391" s="33" t="s">
        <v>2</v>
      </c>
      <c r="F391" s="29">
        <v>5</v>
      </c>
      <c r="J391" s="29">
        <f>VLOOKUP($A391, Stat!$A$1:$C$1000, 2,0)</f>
        <v>72</v>
      </c>
      <c r="K391" s="29">
        <f>VLOOKUP($A391, Stat!$A$1:$C$1000, 3,0)</f>
        <v>5</v>
      </c>
      <c r="P391" s="29">
        <v>506</v>
      </c>
      <c r="S391" s="33">
        <v>0</v>
      </c>
      <c r="T391" s="33">
        <v>1</v>
      </c>
      <c r="U391" s="33">
        <v>35</v>
      </c>
      <c r="W391" s="33" t="s">
        <v>928</v>
      </c>
    </row>
    <row r="392" spans="1:24" x14ac:dyDescent="0.2">
      <c r="A392" s="33">
        <v>415</v>
      </c>
      <c r="B392" s="33" t="s">
        <v>29</v>
      </c>
      <c r="C392" s="33" t="s">
        <v>905</v>
      </c>
      <c r="D392" s="33" t="s">
        <v>923</v>
      </c>
      <c r="E392" s="33" t="s">
        <v>3</v>
      </c>
      <c r="F392" s="29">
        <v>5</v>
      </c>
      <c r="J392" s="29">
        <f>VLOOKUP($A392, Stat!$A$1:$C$1000, 2,0)</f>
        <v>35</v>
      </c>
      <c r="K392" s="29">
        <f>VLOOKUP($A392, Stat!$A$1:$C$1000, 3,0)</f>
        <v>0</v>
      </c>
      <c r="P392" s="29">
        <v>507</v>
      </c>
      <c r="S392" s="33">
        <v>0</v>
      </c>
      <c r="T392" s="33">
        <v>1</v>
      </c>
      <c r="U392" s="33">
        <v>35</v>
      </c>
      <c r="W392" s="33" t="s">
        <v>928</v>
      </c>
    </row>
    <row r="393" spans="1:24" x14ac:dyDescent="0.2">
      <c r="A393" s="33">
        <v>416</v>
      </c>
      <c r="B393" s="33" t="s">
        <v>29</v>
      </c>
      <c r="C393" s="33" t="s">
        <v>905</v>
      </c>
      <c r="D393" s="33" t="s">
        <v>923</v>
      </c>
      <c r="E393" s="33" t="s">
        <v>4</v>
      </c>
      <c r="F393" s="29">
        <v>5</v>
      </c>
      <c r="J393" s="29">
        <f>VLOOKUP($A393, Stat!$A$1:$C$1000, 2,0)</f>
        <v>23</v>
      </c>
      <c r="K393" s="29">
        <f>VLOOKUP($A393, Stat!$A$1:$C$1000, 3,0)</f>
        <v>0</v>
      </c>
      <c r="P393" s="29">
        <v>508</v>
      </c>
      <c r="S393" s="33">
        <v>0</v>
      </c>
      <c r="T393" s="33">
        <v>1</v>
      </c>
      <c r="U393" s="33">
        <v>35</v>
      </c>
      <c r="W393" s="33" t="s">
        <v>928</v>
      </c>
    </row>
    <row r="394" spans="1:24" x14ac:dyDescent="0.2">
      <c r="A394" s="33">
        <v>417</v>
      </c>
      <c r="B394" s="33" t="s">
        <v>29</v>
      </c>
      <c r="C394" s="33" t="s">
        <v>905</v>
      </c>
      <c r="D394" s="33" t="s">
        <v>923</v>
      </c>
      <c r="E394" s="33" t="s">
        <v>36</v>
      </c>
      <c r="F394" s="29">
        <v>5</v>
      </c>
      <c r="J394" s="29">
        <f>VLOOKUP($A394, Stat!$A$1:$C$1000, 2,0)</f>
        <v>11</v>
      </c>
      <c r="K394" s="29">
        <f>VLOOKUP($A394, Stat!$A$1:$C$1000, 3,0)</f>
        <v>4</v>
      </c>
      <c r="P394" s="29">
        <v>509</v>
      </c>
      <c r="S394" s="33">
        <v>0</v>
      </c>
      <c r="T394" s="33">
        <v>1</v>
      </c>
      <c r="U394" s="33">
        <v>35</v>
      </c>
      <c r="W394" s="33" t="s">
        <v>928</v>
      </c>
    </row>
    <row r="395" spans="1:24" x14ac:dyDescent="0.2">
      <c r="A395" s="33">
        <v>418</v>
      </c>
      <c r="B395" s="33" t="s">
        <v>13</v>
      </c>
      <c r="C395" s="33" t="s">
        <v>13</v>
      </c>
      <c r="D395" s="33" t="s">
        <v>832</v>
      </c>
      <c r="E395" s="33" t="s">
        <v>835</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954</v>
      </c>
      <c r="E398" s="33" t="s">
        <v>470</v>
      </c>
      <c r="J398" s="29">
        <f>VLOOKUP($A398, Stat!$A$1:$C$1000, 2,0)</f>
        <v>0</v>
      </c>
      <c r="K398" s="29">
        <f>VLOOKUP($A398, Stat!$A$1:$C$1000, 3,0)</f>
        <v>0</v>
      </c>
      <c r="L398" s="29">
        <v>1</v>
      </c>
      <c r="S398" s="33">
        <v>50</v>
      </c>
      <c r="T398" s="33">
        <v>0</v>
      </c>
      <c r="W398" s="33" t="s">
        <v>857</v>
      </c>
    </row>
    <row r="399" spans="1:24" x14ac:dyDescent="0.2">
      <c r="A399" s="33">
        <v>422</v>
      </c>
      <c r="B399" s="33" t="s">
        <v>13</v>
      </c>
      <c r="C399" s="33" t="s">
        <v>317</v>
      </c>
      <c r="D399" s="33" t="s">
        <v>955</v>
      </c>
      <c r="E399" s="33" t="s">
        <v>470</v>
      </c>
      <c r="J399" s="29">
        <f>VLOOKUP($A399, Stat!$A$1:$C$1000, 2,0)</f>
        <v>10</v>
      </c>
      <c r="K399" s="29">
        <f>VLOOKUP($A399, Stat!$A$1:$C$1000, 3,0)</f>
        <v>0</v>
      </c>
      <c r="L399" s="29">
        <v>1</v>
      </c>
      <c r="S399" s="33">
        <v>100</v>
      </c>
      <c r="T399" s="33">
        <v>0</v>
      </c>
      <c r="W399" s="33" t="s">
        <v>857</v>
      </c>
    </row>
    <row r="400" spans="1:24" x14ac:dyDescent="0.2">
      <c r="A400" s="33">
        <v>423</v>
      </c>
      <c r="B400" s="33" t="s">
        <v>13</v>
      </c>
      <c r="C400" s="33" t="s">
        <v>317</v>
      </c>
      <c r="D400" s="33" t="s">
        <v>954</v>
      </c>
      <c r="E400" s="33" t="s">
        <v>468</v>
      </c>
      <c r="J400" s="29">
        <f>VLOOKUP($A400, Stat!$A$1:$C$1000, 2,0)</f>
        <v>4</v>
      </c>
      <c r="K400" s="29">
        <f>VLOOKUP($A400, Stat!$A$1:$C$1000, 3,0)</f>
        <v>1</v>
      </c>
      <c r="L400" s="29">
        <v>1</v>
      </c>
      <c r="S400" s="33">
        <v>100</v>
      </c>
      <c r="T400" s="33">
        <v>0</v>
      </c>
      <c r="W400" s="33" t="s">
        <v>857</v>
      </c>
    </row>
    <row r="401" spans="1:24" x14ac:dyDescent="0.2">
      <c r="A401" s="33">
        <v>424</v>
      </c>
      <c r="B401" s="33" t="s">
        <v>13</v>
      </c>
      <c r="C401" s="33" t="s">
        <v>317</v>
      </c>
      <c r="D401" s="33" t="s">
        <v>955</v>
      </c>
      <c r="E401" s="33" t="s">
        <v>468</v>
      </c>
      <c r="J401" s="29">
        <f>VLOOKUP($A401, Stat!$A$1:$C$1000, 2,0)</f>
        <v>3</v>
      </c>
      <c r="K401" s="29">
        <f>VLOOKUP($A401, Stat!$A$1:$C$1000, 3,0)</f>
        <v>0</v>
      </c>
      <c r="L401" s="29">
        <v>1</v>
      </c>
      <c r="S401" s="33">
        <v>100</v>
      </c>
      <c r="T401" s="33">
        <v>0</v>
      </c>
      <c r="W401" s="33" t="s">
        <v>857</v>
      </c>
    </row>
    <row r="402" spans="1:24" x14ac:dyDescent="0.2">
      <c r="A402" s="33">
        <v>425</v>
      </c>
      <c r="B402" s="33" t="s">
        <v>13</v>
      </c>
      <c r="C402" s="33" t="s">
        <v>317</v>
      </c>
      <c r="D402" s="33" t="s">
        <v>954</v>
      </c>
      <c r="E402" s="33" t="s">
        <v>469</v>
      </c>
      <c r="J402" s="29">
        <f>VLOOKUP($A402, Stat!$A$1:$C$1000, 2,0)</f>
        <v>4</v>
      </c>
      <c r="K402" s="29">
        <f>VLOOKUP($A402, Stat!$A$1:$C$1000, 3,0)</f>
        <v>0</v>
      </c>
      <c r="L402" s="29">
        <v>1</v>
      </c>
      <c r="S402" s="33">
        <v>100</v>
      </c>
      <c r="T402" s="33">
        <v>0</v>
      </c>
      <c r="W402" s="33" t="s">
        <v>857</v>
      </c>
    </row>
    <row r="403" spans="1:24" x14ac:dyDescent="0.2">
      <c r="A403" s="33">
        <v>426</v>
      </c>
      <c r="B403" s="33" t="s">
        <v>13</v>
      </c>
      <c r="C403" s="33" t="s">
        <v>317</v>
      </c>
      <c r="D403" s="33" t="s">
        <v>955</v>
      </c>
      <c r="E403" s="33" t="s">
        <v>469</v>
      </c>
      <c r="J403" s="29">
        <f>VLOOKUP($A403, Stat!$A$1:$C$1000, 2,0)</f>
        <v>0</v>
      </c>
      <c r="K403" s="29">
        <f>VLOOKUP($A403, Stat!$A$1:$C$1000, 3,0)</f>
        <v>0</v>
      </c>
      <c r="L403" s="29">
        <v>1</v>
      </c>
      <c r="S403" s="33">
        <v>100</v>
      </c>
      <c r="T403" s="33">
        <v>0</v>
      </c>
      <c r="W403" s="33" t="s">
        <v>857</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812</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812</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813</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813</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820</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905</v>
      </c>
      <c r="D437" s="33" t="s">
        <v>917</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905</v>
      </c>
      <c r="D438" s="33" t="s">
        <v>917</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905</v>
      </c>
      <c r="D439" s="33" t="s">
        <v>917</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905</v>
      </c>
      <c r="D440" s="33" t="s">
        <v>917</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905</v>
      </c>
      <c r="D441" s="33" t="s">
        <v>918</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905</v>
      </c>
      <c r="D442" s="33" t="s">
        <v>918</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905</v>
      </c>
      <c r="D443" s="33" t="s">
        <v>918</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905</v>
      </c>
      <c r="D444" s="33" t="s">
        <v>918</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905</v>
      </c>
      <c r="D445" s="33" t="s">
        <v>919</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905</v>
      </c>
      <c r="D446" s="33" t="s">
        <v>919</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905</v>
      </c>
      <c r="D447" s="33" t="s">
        <v>919</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905</v>
      </c>
      <c r="D448" s="33" t="s">
        <v>919</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905</v>
      </c>
      <c r="D449" s="33" t="s">
        <v>920</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905</v>
      </c>
      <c r="D450" s="33" t="s">
        <v>920</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905</v>
      </c>
      <c r="D451" s="33" t="s">
        <v>920</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905</v>
      </c>
      <c r="D452" s="33" t="s">
        <v>920</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905</v>
      </c>
      <c r="D453" s="33" t="s">
        <v>915</v>
      </c>
      <c r="E453" s="33" t="s">
        <v>2</v>
      </c>
      <c r="F453" s="29">
        <v>5</v>
      </c>
      <c r="L453" s="29">
        <v>1</v>
      </c>
      <c r="S453" s="33">
        <v>50</v>
      </c>
      <c r="T453" s="33">
        <v>0</v>
      </c>
      <c r="W453" s="33" t="s">
        <v>496</v>
      </c>
    </row>
    <row r="454" spans="1:24" x14ac:dyDescent="0.2">
      <c r="A454" s="33">
        <v>477</v>
      </c>
      <c r="B454" s="33" t="s">
        <v>29</v>
      </c>
      <c r="C454" s="33" t="s">
        <v>905</v>
      </c>
      <c r="D454" s="33" t="s">
        <v>915</v>
      </c>
      <c r="E454" s="33" t="s">
        <v>3</v>
      </c>
      <c r="F454" s="29">
        <v>5</v>
      </c>
      <c r="L454" s="29">
        <v>1</v>
      </c>
      <c r="S454" s="33">
        <v>50</v>
      </c>
      <c r="T454" s="33">
        <v>0</v>
      </c>
      <c r="W454" s="33" t="s">
        <v>496</v>
      </c>
    </row>
    <row r="455" spans="1:24" x14ac:dyDescent="0.2">
      <c r="A455" s="33">
        <v>478</v>
      </c>
      <c r="B455" s="33" t="s">
        <v>29</v>
      </c>
      <c r="C455" s="33" t="s">
        <v>905</v>
      </c>
      <c r="D455" s="33" t="s">
        <v>915</v>
      </c>
      <c r="E455" s="33" t="s">
        <v>4</v>
      </c>
      <c r="F455" s="29">
        <v>5</v>
      </c>
      <c r="L455" s="29">
        <v>1</v>
      </c>
      <c r="S455" s="33">
        <v>100</v>
      </c>
      <c r="T455" s="33">
        <v>0</v>
      </c>
      <c r="W455" s="33" t="s">
        <v>496</v>
      </c>
    </row>
    <row r="456" spans="1:24" x14ac:dyDescent="0.2">
      <c r="A456" s="33">
        <v>479</v>
      </c>
      <c r="B456" s="33" t="s">
        <v>29</v>
      </c>
      <c r="C456" s="33" t="s">
        <v>905</v>
      </c>
      <c r="D456" s="33" t="s">
        <v>915</v>
      </c>
      <c r="E456" s="33" t="s">
        <v>36</v>
      </c>
      <c r="F456" s="29">
        <v>5</v>
      </c>
      <c r="L456" s="29">
        <v>1</v>
      </c>
      <c r="S456" s="33">
        <v>100</v>
      </c>
      <c r="T456" s="33">
        <v>0</v>
      </c>
      <c r="W456" s="33" t="s">
        <v>496</v>
      </c>
    </row>
    <row r="457" spans="1:24" x14ac:dyDescent="0.2">
      <c r="A457" s="33">
        <v>481</v>
      </c>
      <c r="B457" s="33" t="s">
        <v>13</v>
      </c>
      <c r="C457" s="33" t="s">
        <v>45</v>
      </c>
      <c r="D457" s="33" t="s">
        <v>791</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791</v>
      </c>
      <c r="E458" s="33" t="s">
        <v>245</v>
      </c>
      <c r="F458" s="30" t="s">
        <v>352</v>
      </c>
      <c r="G458" s="30" t="s">
        <v>155</v>
      </c>
      <c r="H458" s="30" t="s">
        <v>155</v>
      </c>
      <c r="J458" s="29">
        <f>VLOOKUP($A458, Stat!$A$1:$C$1000, 2,0)</f>
        <v>9</v>
      </c>
      <c r="K458" s="29">
        <f>VLOOKUP($A458, Stat!$A$1:$C$1000, 3,0)</f>
        <v>4</v>
      </c>
      <c r="L458" s="29">
        <v>1</v>
      </c>
      <c r="S458" s="33">
        <v>50</v>
      </c>
      <c r="T458" s="33">
        <v>0</v>
      </c>
      <c r="V458" s="33" t="s">
        <v>941</v>
      </c>
      <c r="X458" s="33" t="s">
        <v>247</v>
      </c>
    </row>
    <row r="459" spans="1:24" x14ac:dyDescent="0.2">
      <c r="A459" s="33">
        <v>484</v>
      </c>
      <c r="B459" s="33" t="s">
        <v>13</v>
      </c>
      <c r="C459" s="33" t="s">
        <v>45</v>
      </c>
      <c r="D459" s="33" t="s">
        <v>792</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792</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792</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792</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792</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792</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792</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792</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792</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899</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899</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899</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899</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900</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900</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900</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900</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904</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820</v>
      </c>
      <c r="E481" s="33" t="s">
        <v>823</v>
      </c>
      <c r="F481" s="29">
        <v>1</v>
      </c>
      <c r="L481" s="29">
        <v>1</v>
      </c>
      <c r="S481" s="33">
        <v>50</v>
      </c>
      <c r="T481" s="33">
        <v>0</v>
      </c>
      <c r="X481" s="33" t="s">
        <v>877</v>
      </c>
    </row>
    <row r="482" spans="1:24" x14ac:dyDescent="0.2">
      <c r="A482" s="33">
        <v>506</v>
      </c>
      <c r="B482" s="33" t="s">
        <v>29</v>
      </c>
      <c r="C482" s="33" t="s">
        <v>905</v>
      </c>
      <c r="D482" s="33" t="s">
        <v>925</v>
      </c>
      <c r="E482" s="33" t="s">
        <v>2</v>
      </c>
      <c r="F482" s="29">
        <v>5</v>
      </c>
      <c r="L482" s="29">
        <v>1</v>
      </c>
      <c r="S482" s="33">
        <v>0</v>
      </c>
      <c r="T482" s="33">
        <v>1</v>
      </c>
      <c r="U482" s="33">
        <v>35</v>
      </c>
      <c r="W482" s="33" t="s">
        <v>927</v>
      </c>
    </row>
    <row r="483" spans="1:24" x14ac:dyDescent="0.2">
      <c r="A483" s="33">
        <v>507</v>
      </c>
      <c r="B483" s="33" t="s">
        <v>29</v>
      </c>
      <c r="C483" s="33" t="s">
        <v>905</v>
      </c>
      <c r="D483" s="33" t="s">
        <v>925</v>
      </c>
      <c r="E483" s="33" t="s">
        <v>3</v>
      </c>
      <c r="F483" s="29">
        <v>5</v>
      </c>
      <c r="L483" s="29">
        <v>1</v>
      </c>
      <c r="S483" s="33">
        <v>0</v>
      </c>
      <c r="T483" s="33">
        <v>1</v>
      </c>
      <c r="U483" s="33">
        <v>35</v>
      </c>
      <c r="W483" s="33" t="s">
        <v>927</v>
      </c>
    </row>
    <row r="484" spans="1:24" x14ac:dyDescent="0.2">
      <c r="A484" s="33">
        <v>508</v>
      </c>
      <c r="B484" s="33" t="s">
        <v>29</v>
      </c>
      <c r="C484" s="33" t="s">
        <v>905</v>
      </c>
      <c r="D484" s="33" t="s">
        <v>925</v>
      </c>
      <c r="E484" s="33" t="s">
        <v>4</v>
      </c>
      <c r="F484" s="29">
        <v>5</v>
      </c>
      <c r="L484" s="29">
        <v>1</v>
      </c>
      <c r="S484" s="33">
        <v>0</v>
      </c>
      <c r="T484" s="33">
        <v>1</v>
      </c>
      <c r="U484" s="33">
        <v>35</v>
      </c>
      <c r="W484" s="33" t="s">
        <v>927</v>
      </c>
    </row>
    <row r="485" spans="1:24" x14ac:dyDescent="0.2">
      <c r="A485" s="33">
        <v>509</v>
      </c>
      <c r="B485" s="33" t="s">
        <v>29</v>
      </c>
      <c r="C485" s="33" t="s">
        <v>905</v>
      </c>
      <c r="D485" s="33" t="s">
        <v>925</v>
      </c>
      <c r="E485" s="33" t="s">
        <v>36</v>
      </c>
      <c r="F485" s="29">
        <v>5</v>
      </c>
      <c r="L485" s="29">
        <v>1</v>
      </c>
      <c r="S485" s="33">
        <v>0</v>
      </c>
      <c r="T485" s="33">
        <v>1</v>
      </c>
      <c r="U485" s="33">
        <v>35</v>
      </c>
      <c r="W485" s="33" t="s">
        <v>927</v>
      </c>
    </row>
    <row r="486" spans="1:24" x14ac:dyDescent="0.2">
      <c r="A486" s="33">
        <v>510</v>
      </c>
      <c r="B486" s="33" t="s">
        <v>29</v>
      </c>
      <c r="C486" s="33" t="s">
        <v>905</v>
      </c>
      <c r="D486" s="33" t="s">
        <v>924</v>
      </c>
      <c r="E486" s="33" t="s">
        <v>2</v>
      </c>
      <c r="F486" s="29">
        <v>5</v>
      </c>
      <c r="L486" s="29">
        <v>1</v>
      </c>
      <c r="S486" s="33">
        <v>0</v>
      </c>
      <c r="T486" s="33">
        <v>1</v>
      </c>
      <c r="U486" s="33">
        <v>35</v>
      </c>
      <c r="W486" s="33" t="s">
        <v>926</v>
      </c>
    </row>
    <row r="487" spans="1:24" x14ac:dyDescent="0.2">
      <c r="A487" s="33">
        <v>511</v>
      </c>
      <c r="B487" s="33" t="s">
        <v>29</v>
      </c>
      <c r="C487" s="33" t="s">
        <v>905</v>
      </c>
      <c r="D487" s="33" t="s">
        <v>924</v>
      </c>
      <c r="E487" s="33" t="s">
        <v>3</v>
      </c>
      <c r="F487" s="29">
        <v>5</v>
      </c>
      <c r="L487" s="29">
        <v>1</v>
      </c>
      <c r="S487" s="33">
        <v>0</v>
      </c>
      <c r="T487" s="33">
        <v>1</v>
      </c>
      <c r="U487" s="33">
        <v>35</v>
      </c>
      <c r="W487" s="33" t="s">
        <v>926</v>
      </c>
    </row>
    <row r="488" spans="1:24" x14ac:dyDescent="0.2">
      <c r="A488" s="33">
        <v>512</v>
      </c>
      <c r="B488" s="33" t="s">
        <v>29</v>
      </c>
      <c r="C488" s="33" t="s">
        <v>905</v>
      </c>
      <c r="D488" s="33" t="s">
        <v>924</v>
      </c>
      <c r="E488" s="33" t="s">
        <v>4</v>
      </c>
      <c r="F488" s="29">
        <v>5</v>
      </c>
      <c r="L488" s="29">
        <v>1</v>
      </c>
      <c r="S488" s="33">
        <v>0</v>
      </c>
      <c r="T488" s="33">
        <v>1</v>
      </c>
      <c r="U488" s="33">
        <v>35</v>
      </c>
      <c r="W488" s="33" t="s">
        <v>926</v>
      </c>
    </row>
    <row r="489" spans="1:24" x14ac:dyDescent="0.2">
      <c r="A489" s="33">
        <v>513</v>
      </c>
      <c r="B489" s="33" t="s">
        <v>29</v>
      </c>
      <c r="C489" s="33" t="s">
        <v>905</v>
      </c>
      <c r="D489" s="33" t="s">
        <v>924</v>
      </c>
      <c r="E489" s="33" t="s">
        <v>36</v>
      </c>
      <c r="F489" s="29">
        <v>5</v>
      </c>
      <c r="L489" s="29">
        <v>1</v>
      </c>
      <c r="S489" s="33">
        <v>0</v>
      </c>
      <c r="T489" s="33">
        <v>1</v>
      </c>
      <c r="U489" s="33">
        <v>35</v>
      </c>
      <c r="W489" s="33" t="s">
        <v>926</v>
      </c>
    </row>
    <row r="490" spans="1:24" x14ac:dyDescent="0.2">
      <c r="A490" s="33">
        <v>137</v>
      </c>
      <c r="B490" s="33" t="s">
        <v>13</v>
      </c>
      <c r="C490" s="33" t="s">
        <v>317</v>
      </c>
      <c r="D490" s="33" t="s">
        <v>751</v>
      </c>
      <c r="E490" s="33" t="s">
        <v>956</v>
      </c>
      <c r="S490" s="33">
        <v>50</v>
      </c>
      <c r="T490" s="33">
        <v>0</v>
      </c>
      <c r="X490" s="33" t="s">
        <v>958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949</v>
      </c>
      <c r="B1" s="93" t="s">
        <v>950</v>
      </c>
      <c r="C1" s="93" t="s">
        <v>951</v>
      </c>
    </row>
    <row r="2" spans="1:3" x14ac:dyDescent="0.2">
      <c r="A2" s="89" t="s">
        <v>943</v>
      </c>
      <c r="B2" s="89" t="s">
        <v>944</v>
      </c>
      <c r="C2" s="89" t="s">
        <v>946</v>
      </c>
    </row>
    <row r="3" spans="1:3" x14ac:dyDescent="0.2">
      <c r="A3" s="89" t="s">
        <v>945</v>
      </c>
      <c r="B3" s="89" t="s">
        <v>948</v>
      </c>
      <c r="C3" s="89" t="s">
        <v>947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828</v>
      </c>
    </row>
    <row r="2" spans="1:1" x14ac:dyDescent="0.2">
      <c r="A2" s="2" t="s">
        <v>827</v>
      </c>
    </row>
    <row r="3" spans="1:1" x14ac:dyDescent="0.2">
      <c r="A3" s="2" t="s">
        <v>826</v>
      </c>
    </row>
    <row r="4" spans="1:1" x14ac:dyDescent="0.2">
      <c r="A4" s="2" t="s">
        <v>829</v>
      </c>
    </row>
    <row r="5" spans="1:1" x14ac:dyDescent="0.2">
      <c r="A5" s="2" t="s">
        <v>830</v>
      </c>
    </row>
    <row r="6" spans="1:1" x14ac:dyDescent="0.2">
      <c r="A6" s="2" t="s">
        <v>831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2018-07-17T19:23:13Z</dcterms:modified>
</cp:coreProperties>
</file>