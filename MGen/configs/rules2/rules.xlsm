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39D9C95-C755-4676-B416-B441870E9EF4}"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00000000-0006-0000-0000-000096000000}">
      <text>
        <r>
          <rPr>
            <sz val="9"/>
            <color indexed="81"/>
            <rFont val="Tahoma"/>
            <family val="2"/>
            <charset val="204"/>
          </rPr>
          <t>Leading tone harmonic octave for leaping notes and downbeat</t>
        </r>
      </text>
    </comment>
    <comment ref="F129" authorId="1" shapeId="0" xr:uid="{00000000-0006-0000-0000-000097000000}">
      <text>
        <r>
          <rPr>
            <sz val="9"/>
            <color indexed="81"/>
            <rFont val="Tahoma"/>
            <family val="2"/>
            <charset val="204"/>
          </rPr>
          <t>Leading tone harmonic octave for leaping notes and downbeat</t>
        </r>
      </text>
    </comment>
    <comment ref="F130" authorId="1" shapeId="0" xr:uid="{00000000-0006-0000-0000-000098000000}">
      <text>
        <r>
          <rPr>
            <sz val="9"/>
            <color indexed="81"/>
            <rFont val="Tahoma"/>
            <family val="2"/>
            <charset val="204"/>
          </rPr>
          <t>Leading tone harmonic octave for leaping notes and downbeat</t>
        </r>
      </text>
    </comment>
    <comment ref="F131" authorId="1" shapeId="0" xr:uid="{00000000-0006-0000-0000-000099000000}">
      <text>
        <r>
          <rPr>
            <sz val="9"/>
            <color indexed="81"/>
            <rFont val="Tahoma"/>
            <family val="2"/>
            <charset val="204"/>
          </rPr>
          <t>Harmonic octave for leaping notes and downbeat</t>
        </r>
      </text>
    </comment>
    <comment ref="F132" authorId="1" shapeId="0" xr:uid="{00000000-0006-0000-0000-00009A000000}">
      <text>
        <r>
          <rPr>
            <sz val="9"/>
            <color indexed="81"/>
            <rFont val="Tahoma"/>
            <family val="2"/>
            <charset val="204"/>
          </rPr>
          <t>Harmonic octave for leaping notes and downbeat</t>
        </r>
      </text>
    </comment>
    <comment ref="F133" authorId="1" shapeId="0" xr:uid="{00000000-0006-0000-0000-00009B000000}">
      <text>
        <r>
          <rPr>
            <sz val="9"/>
            <color indexed="81"/>
            <rFont val="Tahoma"/>
            <family val="2"/>
            <charset val="204"/>
          </rPr>
          <t>Harmonic octave for leaping notes and downbeat</t>
        </r>
      </text>
    </comment>
    <comment ref="F134" authorId="1" shapeId="0" xr:uid="{00000000-0006-0000-0000-00009C000000}">
      <text>
        <r>
          <rPr>
            <sz val="9"/>
            <color indexed="81"/>
            <rFont val="Tahoma"/>
            <family val="2"/>
            <charset val="204"/>
          </rPr>
          <t>Downbeat 5th 1/2 or longer</t>
        </r>
      </text>
    </comment>
    <comment ref="F135" authorId="1" shapeId="0" xr:uid="{00000000-0006-0000-0000-00009D000000}">
      <text>
        <r>
          <rPr>
            <sz val="9"/>
            <color indexed="81"/>
            <rFont val="Tahoma"/>
            <family val="2"/>
            <charset val="204"/>
          </rPr>
          <t>Downbeat octave 1/2 or longer</t>
        </r>
      </text>
    </comment>
    <comment ref="F136" authorId="1" shapeId="0" xr:uid="{00000000-0006-0000-0000-00009E000000}">
      <text>
        <r>
          <rPr>
            <sz val="9"/>
            <color indexed="81"/>
            <rFont val="Tahoma"/>
            <family val="2"/>
            <charset val="204"/>
          </rPr>
          <t>Different adjacent perfect consonances</t>
        </r>
      </text>
    </comment>
    <comment ref="F138" authorId="1" shapeId="0" xr:uid="{00000000-0006-0000-0000-00009F000000}">
      <text>
        <r>
          <rPr>
            <sz val="9"/>
            <color indexed="81"/>
            <rFont val="Tahoma"/>
            <family val="2"/>
            <charset val="204"/>
          </rPr>
          <t>Contrary octaves are possible in cadence</t>
        </r>
      </text>
    </comment>
    <comment ref="F139" authorId="1" shapeId="0" xr:uid="{00000000-0006-0000-0000-0000A0000000}">
      <text>
        <r>
          <rPr>
            <sz val="9"/>
            <color indexed="81"/>
            <rFont val="Tahoma"/>
            <family val="2"/>
            <charset val="204"/>
          </rPr>
          <t>Contrary octaves are possible in cadence</t>
        </r>
      </text>
    </comment>
    <comment ref="F141" authorId="1" shapeId="0" xr:uid="{00000000-0006-0000-0000-0000A1000000}">
      <text>
        <r>
          <rPr>
            <sz val="9"/>
            <color indexed="81"/>
            <rFont val="Tahoma"/>
            <family val="2"/>
            <charset val="204"/>
          </rPr>
          <t>Contrary octaves are possible in cadence</t>
        </r>
      </text>
    </comment>
    <comment ref="F142" authorId="1" shapeId="0" xr:uid="{00000000-0006-0000-0000-0000A2000000}">
      <text>
        <r>
          <rPr>
            <sz val="9"/>
            <color indexed="81"/>
            <rFont val="Tahoma"/>
            <family val="2"/>
            <charset val="204"/>
          </rPr>
          <t>Contrary octaves are possible in cadence</t>
        </r>
      </text>
    </comment>
    <comment ref="F143" authorId="1" shapeId="0" xr:uid="{00000000-0006-0000-0000-0000A3000000}">
      <text>
        <r>
          <rPr>
            <sz val="9"/>
            <color indexed="81"/>
            <rFont val="Tahoma"/>
            <family val="2"/>
            <charset val="204"/>
          </rPr>
          <t>Contrary movement to upbeat</t>
        </r>
      </text>
    </comment>
    <comment ref="G143" authorId="0" shapeId="0" xr:uid="{00000000-0006-0000-0000-0000A4000000}">
      <text>
        <r>
          <rPr>
            <sz val="9"/>
            <color indexed="81"/>
            <rFont val="Tahoma"/>
            <family val="2"/>
          </rPr>
          <t>Contrary movement to last interval in counterpoint</t>
        </r>
      </text>
    </comment>
    <comment ref="H143" authorId="1" shapeId="0" xr:uid="{00000000-0006-0000-0000-0000A5000000}">
      <text>
        <r>
          <rPr>
            <sz val="9"/>
            <color indexed="81"/>
            <rFont val="Tahoma"/>
            <family val="2"/>
            <charset val="204"/>
          </rPr>
          <t>Direct compound intervals.</t>
        </r>
      </text>
    </comment>
    <comment ref="I143" authorId="0" shapeId="0" xr:uid="{00000000-0006-0000-0000-0000A6000000}">
      <text>
        <r>
          <rPr>
            <sz val="9"/>
            <color indexed="81"/>
            <rFont val="Tahoma"/>
            <family val="2"/>
          </rPr>
          <t>First and second perfect consonances are placed on differrent beats</t>
        </r>
      </text>
    </comment>
    <comment ref="J143" authorId="1" shapeId="0" xr:uid="{00000000-0006-0000-0000-0000A7000000}">
      <text>
        <r>
          <rPr>
            <sz val="9"/>
            <color indexed="81"/>
            <rFont val="Tahoma"/>
            <family val="2"/>
            <charset val="204"/>
          </rPr>
          <t xml:space="preserve">One of intervals is approached and left by stepwize movement </t>
        </r>
      </text>
    </comment>
    <comment ref="K143" authorId="1" shapeId="0" xr:uid="{00000000-0006-0000-0000-0000A8000000}">
      <text>
        <r>
          <rPr>
            <sz val="9"/>
            <color indexed="81"/>
            <rFont val="Tahoma"/>
            <family val="2"/>
            <charset val="204"/>
          </rPr>
          <t>Parallel 5ths separated by sus with 6th interval</t>
        </r>
      </text>
    </comment>
    <comment ref="F144" authorId="1" shapeId="0" xr:uid="{00000000-0006-0000-0000-0000A9000000}">
      <text>
        <r>
          <rPr>
            <sz val="9"/>
            <color indexed="81"/>
            <rFont val="Tahoma"/>
            <family val="2"/>
            <charset val="204"/>
          </rPr>
          <t>Contrary movement to upbeat</t>
        </r>
      </text>
    </comment>
    <comment ref="G144" authorId="0" shapeId="0" xr:uid="{00000000-0006-0000-0000-0000AA000000}">
      <text>
        <r>
          <rPr>
            <sz val="9"/>
            <color indexed="81"/>
            <rFont val="Tahoma"/>
            <family val="2"/>
          </rPr>
          <t>Contrary movement to last interval in counterpoint</t>
        </r>
      </text>
    </comment>
    <comment ref="H144" authorId="1" shapeId="0" xr:uid="{00000000-0006-0000-0000-0000AB000000}">
      <text>
        <r>
          <rPr>
            <sz val="9"/>
            <color indexed="81"/>
            <rFont val="Tahoma"/>
            <family val="2"/>
            <charset val="204"/>
          </rPr>
          <t>Direct compound intervals.</t>
        </r>
      </text>
    </comment>
    <comment ref="I144" authorId="0" shapeId="0" xr:uid="{00000000-0006-0000-0000-0000AC000000}">
      <text>
        <r>
          <rPr>
            <sz val="9"/>
            <color indexed="81"/>
            <rFont val="Tahoma"/>
            <family val="2"/>
          </rPr>
          <t>First and second perfect consonances are placed on differrent beats</t>
        </r>
      </text>
    </comment>
    <comment ref="J144" authorId="1" shapeId="0" xr:uid="{00000000-0006-0000-0000-0000AD000000}">
      <text>
        <r>
          <rPr>
            <sz val="9"/>
            <color indexed="81"/>
            <rFont val="Tahoma"/>
            <family val="2"/>
            <charset val="204"/>
          </rPr>
          <t xml:space="preserve">One of intervals is approached and left by stepwize movement </t>
        </r>
      </text>
    </comment>
    <comment ref="K144" authorId="1" shapeId="0" xr:uid="{00000000-0006-0000-0000-0000AE000000}">
      <text>
        <r>
          <rPr>
            <sz val="9"/>
            <color indexed="81"/>
            <rFont val="Tahoma"/>
            <family val="2"/>
            <charset val="204"/>
          </rPr>
          <t>Parallel 5ths separated by sus with 6th interval</t>
        </r>
      </text>
    </comment>
    <comment ref="F145" authorId="0" shapeId="0" xr:uid="{00000000-0006-0000-0000-0000AF000000}">
      <text>
        <r>
          <rPr>
            <sz val="9"/>
            <color indexed="81"/>
            <rFont val="Tahoma"/>
            <family val="2"/>
          </rPr>
          <t>Second interval is anticipation downbeat</t>
        </r>
      </text>
    </comment>
    <comment ref="G145" authorId="0" shapeId="0" xr:uid="{00000000-0006-0000-0000-0000B0000000}">
      <text>
        <r>
          <rPr>
            <sz val="9"/>
            <color indexed="81"/>
            <rFont val="Tahoma"/>
            <family val="2"/>
          </rPr>
          <t>Second interval is downbeat</t>
        </r>
      </text>
    </comment>
    <comment ref="H145" authorId="0" shapeId="0" xr:uid="{00000000-0006-0000-0000-0000B1000000}">
      <text>
        <r>
          <rPr>
            <sz val="9"/>
            <color indexed="81"/>
            <rFont val="Tahoma"/>
            <family val="2"/>
          </rPr>
          <t>Second interval is suspension second part</t>
        </r>
      </text>
    </comment>
    <comment ref="I145" authorId="0" shapeId="0" xr:uid="{00000000-0006-0000-0000-0000B2000000}">
      <text>
        <r>
          <rPr>
            <sz val="9"/>
            <color indexed="81"/>
            <rFont val="Tahoma"/>
            <family val="2"/>
          </rPr>
          <t>If other rules in this row did not apply</t>
        </r>
      </text>
    </comment>
    <comment ref="F146" authorId="1" shapeId="0" xr:uid="{00000000-0006-0000-0000-0000B3000000}">
      <text>
        <r>
          <rPr>
            <sz val="9"/>
            <color indexed="81"/>
            <rFont val="Tahoma"/>
            <family val="2"/>
            <charset val="204"/>
          </rPr>
          <t>Contrary movement to upbeat</t>
        </r>
      </text>
    </comment>
    <comment ref="G146" authorId="0" shapeId="0" xr:uid="{00000000-0006-0000-0000-0000B4000000}">
      <text>
        <r>
          <rPr>
            <sz val="9"/>
            <color indexed="81"/>
            <rFont val="Tahoma"/>
            <family val="2"/>
          </rPr>
          <t>Contrary movement to last interval in counterpoint</t>
        </r>
      </text>
    </comment>
    <comment ref="H146" authorId="1" shapeId="0" xr:uid="{00000000-0006-0000-0000-0000B5000000}">
      <text>
        <r>
          <rPr>
            <sz val="9"/>
            <color indexed="81"/>
            <rFont val="Tahoma"/>
            <family val="2"/>
            <charset val="204"/>
          </rPr>
          <t>Direct compound intervals.</t>
        </r>
      </text>
    </comment>
    <comment ref="I146" authorId="0" shapeId="0" xr:uid="{00000000-0006-0000-0000-0000B6000000}">
      <text>
        <r>
          <rPr>
            <sz val="9"/>
            <color indexed="81"/>
            <rFont val="Tahoma"/>
            <family val="2"/>
          </rPr>
          <t>First and second perfect consonances are placed on differrent beats</t>
        </r>
      </text>
    </comment>
    <comment ref="J146" authorId="1" shapeId="0" xr:uid="{00000000-0006-0000-0000-0000B7000000}">
      <text>
        <r>
          <rPr>
            <sz val="9"/>
            <color indexed="81"/>
            <rFont val="Tahoma"/>
            <family val="2"/>
            <charset val="204"/>
          </rPr>
          <t xml:space="preserve">One of intervals is approached and left by stepwize movement </t>
        </r>
      </text>
    </comment>
    <comment ref="F147" authorId="0" shapeId="0" xr:uid="{00000000-0006-0000-0000-0000B8000000}">
      <text>
        <r>
          <rPr>
            <sz val="9"/>
            <color indexed="81"/>
            <rFont val="Tahoma"/>
            <family val="2"/>
          </rPr>
          <t>Second interval is anticipation downbeat</t>
        </r>
      </text>
    </comment>
    <comment ref="G147" authorId="0" shapeId="0" xr:uid="{00000000-0006-0000-0000-0000B9000000}">
      <text>
        <r>
          <rPr>
            <sz val="9"/>
            <color indexed="81"/>
            <rFont val="Tahoma"/>
            <family val="2"/>
          </rPr>
          <t>Second interval is downbeat</t>
        </r>
      </text>
    </comment>
    <comment ref="H147" authorId="0" shapeId="0" xr:uid="{00000000-0006-0000-0000-0000BA000000}">
      <text>
        <r>
          <rPr>
            <sz val="9"/>
            <color indexed="81"/>
            <rFont val="Tahoma"/>
            <family val="2"/>
          </rPr>
          <t>Second interval is suspension second part</t>
        </r>
      </text>
    </comment>
    <comment ref="I147" authorId="0" shapeId="0" xr:uid="{00000000-0006-0000-0000-0000BB000000}">
      <text>
        <r>
          <rPr>
            <sz val="9"/>
            <color indexed="81"/>
            <rFont val="Tahoma"/>
            <family val="2"/>
          </rPr>
          <t>If other rules in this row did not apply</t>
        </r>
      </text>
    </comment>
    <comment ref="F14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xr:uid="{00000000-0006-0000-0000-0000BD000000}">
      <text>
        <r>
          <rPr>
            <sz val="9"/>
            <color indexed="81"/>
            <rFont val="Tahoma"/>
            <family val="2"/>
            <charset val="204"/>
          </rPr>
          <t>Oblique motion from minor 2nd to unison</t>
        </r>
      </text>
    </comment>
    <comment ref="H148" authorId="1" shapeId="0" xr:uid="{00000000-0006-0000-0000-0000BE000000}">
      <text>
        <r>
          <rPr>
            <sz val="9"/>
            <color indexed="81"/>
            <rFont val="Tahoma"/>
            <family val="2"/>
            <charset val="204"/>
          </rPr>
          <t>Oblique motion from major 2nd to unison</t>
        </r>
      </text>
    </comment>
    <comment ref="F149" authorId="1" shapeId="0" xr:uid="{00000000-0006-0000-0000-0000BF000000}">
      <text>
        <r>
          <rPr>
            <sz val="9"/>
            <color indexed="81"/>
            <rFont val="Tahoma"/>
            <family val="2"/>
            <charset val="204"/>
          </rPr>
          <t>Direct movement to 5th with stepwize motion in higher voice to last or penultimate measure</t>
        </r>
      </text>
    </comment>
    <comment ref="G149" authorId="1" shapeId="0" xr:uid="{00000000-0006-0000-0000-0000C0000000}">
      <text>
        <r>
          <rPr>
            <sz val="9"/>
            <color indexed="81"/>
            <rFont val="Tahoma"/>
            <family val="2"/>
            <charset val="204"/>
          </rPr>
          <t>Direct movement to 5th with leaping motion in higher voice to last or penultimate measure</t>
        </r>
      </text>
    </comment>
    <comment ref="H149" authorId="1" shapeId="0" xr:uid="{00000000-0006-0000-0000-0000C1000000}">
      <text>
        <r>
          <rPr>
            <sz val="9"/>
            <color indexed="81"/>
            <rFont val="Tahoma"/>
            <family val="2"/>
            <charset val="204"/>
          </rPr>
          <t>Direct movement to 5th with stepwize motion in higher voice: not in cadence</t>
        </r>
      </text>
    </comment>
    <comment ref="I149" authorId="1" shapeId="0" xr:uid="{00000000-0006-0000-0000-0000C2000000}">
      <text>
        <r>
          <rPr>
            <sz val="9"/>
            <color indexed="81"/>
            <rFont val="Tahoma"/>
            <family val="2"/>
            <charset val="204"/>
          </rPr>
          <t>Direct movement to 5th with leaping motion in higher voice: not in cadence</t>
        </r>
      </text>
    </comment>
    <comment ref="F150" authorId="1" shapeId="0" xr:uid="{00000000-0006-0000-0000-0000C3000000}">
      <text>
        <r>
          <rPr>
            <sz val="9"/>
            <color indexed="81"/>
            <rFont val="Tahoma"/>
            <family val="2"/>
            <charset val="204"/>
          </rPr>
          <t>Direct movement to unison with stepwize motion in higher voice to last or penultimate measure</t>
        </r>
      </text>
    </comment>
    <comment ref="G150" authorId="1" shapeId="0" xr:uid="{00000000-0006-0000-0000-0000C4000000}">
      <text>
        <r>
          <rPr>
            <sz val="9"/>
            <color indexed="81"/>
            <rFont val="Tahoma"/>
            <family val="2"/>
            <charset val="204"/>
          </rPr>
          <t>Direct movement to unison with leaping motion in higher voice to last or penultimate measure</t>
        </r>
      </text>
    </comment>
    <comment ref="H150" authorId="1" shapeId="0" xr:uid="{00000000-0006-0000-0000-0000C5000000}">
      <text>
        <r>
          <rPr>
            <sz val="9"/>
            <color indexed="81"/>
            <rFont val="Tahoma"/>
            <family val="2"/>
            <charset val="204"/>
          </rPr>
          <t>Direct movement to unison with stepwize motion in higher voice: not in cadence</t>
        </r>
      </text>
    </comment>
    <comment ref="I150" authorId="1" shapeId="0" xr:uid="{00000000-0006-0000-0000-0000C6000000}">
      <text>
        <r>
          <rPr>
            <sz val="9"/>
            <color indexed="81"/>
            <rFont val="Tahoma"/>
            <family val="2"/>
            <charset val="204"/>
          </rPr>
          <t>Direct movement to unison with leaping motion in higher voice: not in cadence</t>
        </r>
      </text>
    </comment>
    <comment ref="F151" authorId="1" shapeId="0" xr:uid="{00000000-0006-0000-0000-0000C7000000}">
      <text>
        <r>
          <rPr>
            <sz val="9"/>
            <color indexed="81"/>
            <rFont val="Tahoma"/>
            <family val="2"/>
            <charset val="204"/>
          </rPr>
          <t>Direct movement to 8va with stepwize motion in higher voice to last or penultimate measure</t>
        </r>
      </text>
    </comment>
    <comment ref="G151" authorId="1" shapeId="0" xr:uid="{00000000-0006-0000-0000-0000C8000000}">
      <text>
        <r>
          <rPr>
            <sz val="9"/>
            <color indexed="81"/>
            <rFont val="Tahoma"/>
            <family val="2"/>
            <charset val="204"/>
          </rPr>
          <t>Direct movement to 8va with leaping motion in higher voice to last or penultimate measure</t>
        </r>
      </text>
    </comment>
    <comment ref="H151" authorId="1" shapeId="0" xr:uid="{00000000-0006-0000-0000-0000C9000000}">
      <text>
        <r>
          <rPr>
            <sz val="9"/>
            <color indexed="81"/>
            <rFont val="Tahoma"/>
            <family val="2"/>
            <charset val="204"/>
          </rPr>
          <t>Direct movement to 8va with stepwize motion in higher voice: not in cadence</t>
        </r>
      </text>
    </comment>
    <comment ref="I151" authorId="1" shapeId="0" xr:uid="{00000000-0006-0000-0000-0000CA000000}">
      <text>
        <r>
          <rPr>
            <sz val="9"/>
            <color indexed="81"/>
            <rFont val="Tahoma"/>
            <family val="2"/>
            <charset val="204"/>
          </rPr>
          <t>Direct movement to 8va with leaping motion in higher voice: not in cadence</t>
        </r>
      </text>
    </comment>
    <comment ref="F152" authorId="1" shapeId="0" xr:uid="{00000000-0006-0000-0000-0000CB000000}">
      <text>
        <r>
          <rPr>
            <sz val="9"/>
            <color indexed="81"/>
            <rFont val="Tahoma"/>
            <family val="2"/>
            <charset val="204"/>
          </rPr>
          <t>9th -&gt; 8ve. In lower voice. Includes 16th interval and above</t>
        </r>
      </text>
    </comment>
    <comment ref="G152" authorId="1" shapeId="0" xr:uid="{00000000-0006-0000-0000-0000CC000000}">
      <text>
        <r>
          <rPr>
            <sz val="9"/>
            <color indexed="81"/>
            <rFont val="Tahoma"/>
            <family val="2"/>
            <charset val="204"/>
          </rPr>
          <t>7th -&gt; 8ve. In lower voice. Includes 14th interval and above</t>
        </r>
      </text>
    </comment>
    <comment ref="H152" authorId="1" shapeId="0" xr:uid="{00000000-0006-0000-0000-0000CD000000}">
      <text>
        <r>
          <rPr>
            <sz val="9"/>
            <color indexed="81"/>
            <rFont val="Tahoma"/>
            <family val="2"/>
            <charset val="204"/>
          </rPr>
          <t>2nd -&gt; unison. Does not include 9th interval and above</t>
        </r>
      </text>
    </comment>
    <comment ref="I152" authorId="0" shapeId="0" xr:uid="{00000000-0006-0000-0000-0000CE000000}">
      <text>
        <r>
          <rPr>
            <sz val="9"/>
            <color indexed="81"/>
            <rFont val="Tahoma"/>
            <family val="2"/>
          </rPr>
          <t>Allows resolution to beat 2</t>
        </r>
      </text>
    </comment>
    <comment ref="J152" authorId="0" shapeId="0" xr:uid="{00000000-0006-0000-0000-0000CF000000}">
      <text>
        <r>
          <rPr>
            <sz val="9"/>
            <color indexed="81"/>
            <rFont val="Tahoma"/>
            <family val="2"/>
          </rPr>
          <t>Allows resolution to beat 4</t>
        </r>
      </text>
    </comment>
    <comment ref="F153" authorId="1" shapeId="0" xr:uid="{00000000-0006-0000-0000-0000D0000000}">
      <text>
        <r>
          <rPr>
            <sz val="9"/>
            <color indexed="81"/>
            <rFont val="Tahoma"/>
            <family val="2"/>
            <charset val="204"/>
          </rPr>
          <t>Suspension resolution up except for leading note (LT stepwize resolution up to tonic is allowed)</t>
        </r>
      </text>
    </comment>
    <comment ref="H153" authorId="1" shapeId="0" xr:uid="{00000000-0006-0000-0000-0000D1000000}">
      <text>
        <r>
          <rPr>
            <sz val="9"/>
            <color indexed="81"/>
            <rFont val="Tahoma"/>
            <family val="2"/>
            <charset val="204"/>
          </rPr>
          <t>Suspension resolution by leap</t>
        </r>
      </text>
    </comment>
    <comment ref="I153" authorId="1" shapeId="0" xr:uid="{00000000-0006-0000-0000-0000D2000000}">
      <text>
        <r>
          <rPr>
            <sz val="9"/>
            <color indexed="81"/>
            <rFont val="Tahoma"/>
            <family val="2"/>
            <charset val="204"/>
          </rPr>
          <t>If resolution note is shorter than 1/4</t>
        </r>
      </text>
    </comment>
    <comment ref="J153" authorId="1" shapeId="0" xr:uid="{00000000-0006-0000-0000-0000D3000000}">
      <text>
        <r>
          <rPr>
            <sz val="9"/>
            <color indexed="81"/>
            <rFont val="Tahoma"/>
            <family val="2"/>
            <charset val="204"/>
          </rPr>
          <t>Suspension is not resolved on allowed beat</t>
        </r>
      </text>
    </comment>
    <comment ref="F154" authorId="1" shapeId="0" xr:uid="{00000000-0006-0000-0000-0000D4000000}">
      <text>
        <r>
          <rPr>
            <i/>
            <sz val="10"/>
            <color rgb="FF000000"/>
            <rFont val="Arial"/>
            <family val="2"/>
            <charset val="204"/>
          </rPr>
          <t>Leap from resolution ornament to resolution is longer than M3</t>
        </r>
      </text>
    </comment>
    <comment ref="G154" authorId="1" shapeId="0" xr:uid="{00000000-0006-0000-0000-0000D5000000}">
      <text>
        <r>
          <rPr>
            <sz val="9"/>
            <color indexed="81"/>
            <rFont val="Tahoma"/>
            <family val="2"/>
            <charset val="204"/>
          </rPr>
          <t>There are more than 2 notes in resolution ornament between suspension and resolution</t>
        </r>
      </text>
    </comment>
    <comment ref="H154" authorId="1" shapeId="0" xr:uid="{00000000-0006-0000-0000-0000D6000000}">
      <text>
        <r>
          <rPr>
            <i/>
            <sz val="9"/>
            <color indexed="81"/>
            <rFont val="Tahoma"/>
            <family val="2"/>
            <charset val="204"/>
          </rPr>
          <t>Leap from suspension to resolution ornament is longer than M3</t>
        </r>
      </text>
    </comment>
    <comment ref="F155" authorId="1" shapeId="0" xr:uid="{00000000-0006-0000-0000-0000D7000000}">
      <text>
        <r>
          <rPr>
            <sz val="9"/>
            <color indexed="81"/>
            <rFont val="Tahoma"/>
            <family val="2"/>
            <charset val="204"/>
          </rPr>
          <t>Suspension of LT by I note in penultimate measure in sp2</t>
        </r>
      </text>
    </comment>
    <comment ref="G155" authorId="1" shapeId="0" xr:uid="{00000000-0006-0000-0000-0000D8000000}">
      <text>
        <r>
          <rPr>
            <sz val="9"/>
            <color indexed="81"/>
            <rFont val="Tahoma"/>
            <family val="2"/>
            <charset val="204"/>
          </rPr>
          <t>Other suspension than LT by I note in penultimate measure in sp2</t>
        </r>
      </text>
    </comment>
    <comment ref="F156" authorId="1" shapeId="0" xr:uid="{00000000-0006-0000-0000-0000D9000000}">
      <text>
        <r>
          <rPr>
            <sz val="9"/>
            <color indexed="81"/>
            <rFont val="Tahoma"/>
            <family val="2"/>
            <charset val="204"/>
          </rPr>
          <t>Suspension starts with dissonance</t>
        </r>
      </text>
    </comment>
    <comment ref="F160" authorId="1" shapeId="0" xr:uid="{00000000-0006-0000-0000-0000DA000000}">
      <text>
        <r>
          <rPr>
            <sz val="9"/>
            <color indexed="81"/>
            <rFont val="Tahoma"/>
            <family val="2"/>
            <charset val="204"/>
          </rPr>
          <t>Also prohibits T6</t>
        </r>
      </text>
    </comment>
    <comment ref="F161" authorId="1" shapeId="0" xr:uid="{00000000-0006-0000-0000-0000DB000000}">
      <text>
        <r>
          <rPr>
            <sz val="9"/>
            <color indexed="81"/>
            <rFont val="Tahoma"/>
            <family val="2"/>
            <charset val="204"/>
          </rPr>
          <t>Also prohibits T6</t>
        </r>
      </text>
    </comment>
    <comment ref="F162" authorId="1" shapeId="0" xr:uid="{00000000-0006-0000-0000-0000DC000000}">
      <text>
        <r>
          <rPr>
            <sz val="9"/>
            <color indexed="81"/>
            <rFont val="Tahoma"/>
            <family val="2"/>
            <charset val="204"/>
          </rPr>
          <t>no leading tone is allowed if last bass notes are V-I</t>
        </r>
      </text>
    </comment>
    <comment ref="G162" authorId="1" shapeId="0" xr:uid="{00000000-0006-0000-0000-0000DD000000}">
      <text>
        <r>
          <rPr>
            <sz val="9"/>
            <color indexed="81"/>
            <rFont val="Tahoma"/>
            <family val="2"/>
            <charset val="204"/>
          </rPr>
          <t>No V or II note</t>
        </r>
      </text>
    </comment>
    <comment ref="H162"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2" authorId="1" shapeId="0" xr:uid="{00000000-0006-0000-0000-0000DF000000}">
      <text>
        <r>
          <rPr>
            <sz val="9"/>
            <color indexed="81"/>
            <rFont val="Tahoma"/>
            <family val="2"/>
            <charset val="204"/>
          </rPr>
          <t>There is another harmony between leading tone and tonic note in penultimate measure</t>
        </r>
      </text>
    </comment>
    <comment ref="J162"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xr:uid="{00000000-0006-0000-0000-0000E1000000}">
      <text>
        <r>
          <rPr>
            <sz val="9"/>
            <color indexed="81"/>
            <rFont val="Tahoma"/>
            <family val="2"/>
            <charset val="204"/>
          </rPr>
          <t>Penultimate harmony is not V or VII</t>
        </r>
      </text>
    </comment>
    <comment ref="L162" authorId="1" shapeId="0" xr:uid="{00000000-0006-0000-0000-0000E2000000}">
      <text>
        <r>
          <rPr>
            <sz val="9"/>
            <color indexed="81"/>
            <rFont val="Tahoma"/>
            <family val="2"/>
            <charset val="204"/>
          </rPr>
          <t>Penultimate measure starts with poor interval: 8ve or unison</t>
        </r>
      </text>
    </comment>
    <comment ref="G167" authorId="1" shapeId="0" xr:uid="{00000000-0006-0000-0000-0000E3000000}">
      <text>
        <r>
          <rPr>
            <sz val="9"/>
            <color indexed="81"/>
            <rFont val="Tahoma"/>
            <family val="2"/>
            <charset val="204"/>
          </rPr>
          <t>Dissonance is longer than previous note</t>
        </r>
      </text>
    </comment>
    <comment ref="H167" authorId="1" shapeId="0" xr:uid="{00000000-0006-0000-0000-0000E4000000}">
      <text>
        <r>
          <rPr>
            <sz val="9"/>
            <color indexed="81"/>
            <rFont val="Tahoma"/>
            <family val="2"/>
            <charset val="204"/>
          </rPr>
          <t>Tritone is prohibited between two chord tones with bass</t>
        </r>
      </text>
    </comment>
    <comment ref="J167" authorId="1" shapeId="0" xr:uid="{00000000-0006-0000-0000-0000E5000000}">
      <text>
        <r>
          <rPr>
            <sz val="9"/>
            <color indexed="81"/>
            <rFont val="Tahoma"/>
            <family val="2"/>
            <charset val="204"/>
          </rPr>
          <t>Auxiliary note should be surrounded by chord tones</t>
        </r>
      </text>
    </comment>
    <comment ref="K167" authorId="1" shapeId="0" xr:uid="{00000000-0006-0000-0000-0000E6000000}">
      <text>
        <r>
          <rPr>
            <sz val="9"/>
            <color indexed="81"/>
            <rFont val="Tahoma"/>
            <family val="2"/>
            <charset val="204"/>
          </rPr>
          <t>4th is prohibited between two chord tones with bass</t>
        </r>
      </text>
    </comment>
    <comment ref="F168" authorId="1" shapeId="0" xr:uid="{00000000-0006-0000-0000-0000E7000000}">
      <text>
        <r>
          <rPr>
            <sz val="9"/>
            <color indexed="81"/>
            <rFont val="Tahoma"/>
            <family val="2"/>
            <charset val="204"/>
          </rPr>
          <t>Leap to harmonic upbeat dissonance</t>
        </r>
      </text>
    </comment>
    <comment ref="F169" authorId="1" shapeId="0" xr:uid="{00000000-0006-0000-0000-0000E8000000}">
      <text>
        <r>
          <rPr>
            <sz val="9"/>
            <color indexed="81"/>
            <rFont val="Tahoma"/>
            <family val="2"/>
            <charset val="204"/>
          </rPr>
          <t>Leap from harmonic upbeat dissonance</t>
        </r>
      </text>
    </comment>
    <comment ref="F170" authorId="1" shapeId="0" xr:uid="{00000000-0006-0000-0000-0000E9000000}">
      <text>
        <r>
          <rPr>
            <sz val="9"/>
            <color indexed="81"/>
            <rFont val="Tahoma"/>
            <family val="2"/>
            <charset val="204"/>
          </rPr>
          <t>Minor 7th</t>
        </r>
      </text>
    </comment>
    <comment ref="G170" authorId="1" shapeId="0" xr:uid="{00000000-0006-0000-0000-0000EA000000}">
      <text>
        <r>
          <rPr>
            <sz val="9"/>
            <color indexed="81"/>
            <rFont val="Tahoma"/>
            <family val="2"/>
            <charset val="204"/>
          </rPr>
          <t>Major 7th</t>
        </r>
      </text>
    </comment>
    <comment ref="H170" authorId="1" shapeId="0" xr:uid="{00000000-0006-0000-0000-0000EB000000}">
      <text>
        <r>
          <rPr>
            <sz val="9"/>
            <color indexed="81"/>
            <rFont val="Tahoma"/>
            <family val="2"/>
            <charset val="204"/>
          </rPr>
          <t>Minor 9th</t>
        </r>
      </text>
    </comment>
    <comment ref="I170" authorId="1" shapeId="0" xr:uid="{00000000-0006-0000-0000-0000EC000000}">
      <text>
        <r>
          <rPr>
            <sz val="9"/>
            <color indexed="81"/>
            <rFont val="Tahoma"/>
            <family val="2"/>
            <charset val="204"/>
          </rPr>
          <t>Major 9th</t>
        </r>
      </text>
    </comment>
    <comment ref="F179" authorId="1" shapeId="0" xr:uid="{00000000-0006-0000-0000-0000ED000000}">
      <text>
        <r>
          <rPr>
            <sz val="9"/>
            <color indexed="81"/>
            <rFont val="Tahoma"/>
            <family val="2"/>
            <charset val="204"/>
          </rPr>
          <t>Second interval at crossing</t>
        </r>
      </text>
    </comment>
    <comment ref="G179" authorId="1" shapeId="0" xr:uid="{00000000-0006-0000-0000-0000EE000000}">
      <text>
        <r>
          <rPr>
            <sz val="9"/>
            <color indexed="81"/>
            <rFont val="Tahoma"/>
            <family val="2"/>
            <charset val="204"/>
          </rPr>
          <t>Second interval before and at crossing</t>
        </r>
      </text>
    </comment>
    <comment ref="H179" authorId="1" shapeId="0" xr:uid="{00000000-0006-0000-0000-0000EF000000}">
      <text>
        <r>
          <rPr>
            <sz val="9"/>
            <color indexed="81"/>
            <rFont val="Tahoma"/>
            <family val="2"/>
            <charset val="204"/>
          </rPr>
          <t>Direct motion to crossing if one of voices leaps</t>
        </r>
      </text>
    </comment>
    <comment ref="I179" authorId="1" shapeId="0" xr:uid="{00000000-0006-0000-0000-0000F0000000}">
      <text>
        <r>
          <rPr>
            <sz val="9"/>
            <color indexed="81"/>
            <rFont val="Tahoma"/>
            <family val="2"/>
            <charset val="204"/>
          </rPr>
          <t>Direct motion to crossing if both voices leap</t>
        </r>
      </text>
    </comment>
    <comment ref="F182" authorId="1" shapeId="0" xr:uid="{00000000-0006-0000-0000-0000F1000000}">
      <text>
        <r>
          <rPr>
            <sz val="9"/>
            <color indexed="81"/>
            <rFont val="Tahoma"/>
            <family val="2"/>
            <charset val="204"/>
          </rPr>
          <t>Prohibit this rule to prevent detection of any cambiata, thus processing as usual notes</t>
        </r>
      </text>
    </comment>
    <comment ref="G182" authorId="1" shapeId="0" xr:uid="{00000000-0006-0000-0000-0000F2000000}">
      <text>
        <r>
          <rPr>
            <sz val="9"/>
            <color indexed="81"/>
            <rFont val="Tahoma"/>
            <family val="2"/>
            <charset val="204"/>
          </rPr>
          <t>Rhythm of cambiata contains not only 1/4 notes</t>
        </r>
      </text>
    </comment>
    <comment ref="H182" authorId="1" shapeId="0" xr:uid="{00000000-0006-0000-0000-0000F3000000}">
      <text>
        <r>
          <rPr>
            <sz val="9"/>
            <color indexed="81"/>
            <rFont val="Tahoma"/>
            <family val="2"/>
            <charset val="204"/>
          </rPr>
          <t>Third note in cambiata is dissonance</t>
        </r>
      </text>
    </comment>
    <comment ref="F183" authorId="1" shapeId="0" xr:uid="{00000000-0006-0000-0000-0000F4000000}">
      <text>
        <r>
          <rPr>
            <sz val="9"/>
            <color indexed="81"/>
            <rFont val="Tahoma"/>
            <family val="2"/>
            <charset val="204"/>
          </rPr>
          <t>4th leap from 2nd note compensated by next stepwize movement</t>
        </r>
      </text>
    </comment>
    <comment ref="G183" authorId="1" shapeId="0" xr:uid="{00000000-0006-0000-0000-0000F5000000}">
      <text>
        <r>
          <rPr>
            <sz val="9"/>
            <color indexed="81"/>
            <rFont val="Tahoma"/>
            <family val="2"/>
            <charset val="204"/>
          </rPr>
          <t>4th leap to 3rd note</t>
        </r>
      </text>
    </comment>
    <comment ref="H183" authorId="1" shapeId="0" xr:uid="{00000000-0006-0000-0000-0000F6000000}">
      <text>
        <r>
          <rPr>
            <i/>
            <sz val="9"/>
            <color indexed="81"/>
            <rFont val="Tahoma"/>
            <family val="2"/>
            <charset val="204"/>
          </rPr>
          <t>Leap from note #3 up to 4th interval</t>
        </r>
      </text>
    </comment>
    <comment ref="I183" authorId="1" shapeId="0" xr:uid="{00000000-0006-0000-0000-0000F7000000}">
      <text>
        <r>
          <rPr>
            <sz val="9"/>
            <color indexed="81"/>
            <rFont val="Tahoma"/>
            <family val="2"/>
            <charset val="204"/>
          </rPr>
          <t>Leap from note #4 up to 4th interval</t>
        </r>
      </text>
    </comment>
    <comment ref="J183" authorId="1" shapeId="0" xr:uid="{00000000-0006-0000-0000-0000F8000000}">
      <text>
        <r>
          <rPr>
            <sz val="9"/>
            <color indexed="81"/>
            <rFont val="Tahoma"/>
            <family val="2"/>
            <charset val="204"/>
          </rPr>
          <t>Movement from note #4 in returning direction</t>
        </r>
      </text>
    </comment>
    <comment ref="K183" authorId="1" shapeId="0" xr:uid="{00000000-0006-0000-0000-0000F9000000}">
      <text>
        <r>
          <rPr>
            <sz val="9"/>
            <color indexed="81"/>
            <rFont val="Tahoma"/>
            <family val="2"/>
            <charset val="204"/>
          </rPr>
          <t>Inverted cambiata</t>
        </r>
      </text>
    </comment>
    <comment ref="F184" authorId="1" shapeId="0" xr:uid="{00000000-0006-0000-0000-0000FA000000}">
      <text>
        <r>
          <rPr>
            <sz val="9"/>
            <color indexed="81"/>
            <rFont val="Tahoma"/>
            <family val="2"/>
            <charset val="204"/>
          </rPr>
          <t>Prohibit this rule to prevent detection of any double-neighbour tone</t>
        </r>
      </text>
    </comment>
    <comment ref="G184" authorId="1" shapeId="0" xr:uid="{00000000-0006-0000-0000-0000FB000000}">
      <text>
        <r>
          <rPr>
            <sz val="9"/>
            <color indexed="81"/>
            <rFont val="Tahoma"/>
            <family val="2"/>
            <charset val="204"/>
          </rPr>
          <t>Rhythm of DNT contains not only 1/4 notes</t>
        </r>
      </text>
    </comment>
    <comment ref="H184" authorId="1" shapeId="0" xr:uid="{00000000-0006-0000-0000-0000FC000000}">
      <text>
        <r>
          <rPr>
            <sz val="9"/>
            <color indexed="81"/>
            <rFont val="Tahoma"/>
            <family val="2"/>
            <charset val="204"/>
          </rPr>
          <t>Allow leaps up to specified size</t>
        </r>
      </text>
    </comment>
    <comment ref="I184" authorId="1" shapeId="0" xr:uid="{00000000-0006-0000-0000-0000FD000000}">
      <text>
        <r>
          <rPr>
            <sz val="9"/>
            <color indexed="81"/>
            <rFont val="Tahoma"/>
            <family val="2"/>
            <charset val="204"/>
          </rPr>
          <t>There is a leap before first note of double-neighbour tone group</t>
        </r>
      </text>
    </comment>
    <comment ref="J184" authorId="1" shapeId="0" xr:uid="{00000000-0006-0000-0000-0000FE000000}">
      <text>
        <r>
          <rPr>
            <sz val="9"/>
            <color indexed="81"/>
            <rFont val="Tahoma"/>
            <family val="2"/>
            <charset val="204"/>
          </rPr>
          <t>There is a leap after last note of double-neighbour tone</t>
        </r>
      </text>
    </comment>
    <comment ref="G185" authorId="1" shapeId="0" xr:uid="{00000000-0006-0000-0000-0000FF000000}">
      <text>
        <r>
          <rPr>
            <sz val="9"/>
            <color indexed="81"/>
            <rFont val="Tahoma"/>
            <family val="2"/>
            <charset val="204"/>
          </rPr>
          <t>Dissonance is formed by direct movement of voices</t>
        </r>
      </text>
    </comment>
    <comment ref="H185" authorId="1" shapeId="0" xr:uid="{00000000-0006-0000-0000-000000010000}">
      <text>
        <r>
          <rPr>
            <sz val="9"/>
            <color indexed="81"/>
            <rFont val="Tahoma"/>
            <family val="2"/>
            <charset val="204"/>
          </rPr>
          <t>Dissonance is formed by parallel movement of voices</t>
        </r>
      </text>
    </comment>
    <comment ref="G186" authorId="1" shapeId="0" xr:uid="{00000000-0006-0000-0000-000001010000}">
      <text>
        <r>
          <rPr>
            <sz val="9"/>
            <color indexed="81"/>
            <rFont val="Tahoma"/>
            <family val="2"/>
            <charset val="204"/>
          </rPr>
          <t>Dissonance is formed by direct movement of voices</t>
        </r>
      </text>
    </comment>
    <comment ref="H186" authorId="1" shapeId="0" xr:uid="{00000000-0006-0000-0000-000002010000}">
      <text>
        <r>
          <rPr>
            <sz val="9"/>
            <color indexed="81"/>
            <rFont val="Tahoma"/>
            <family val="2"/>
            <charset val="204"/>
          </rPr>
          <t>Dissonance is formed by parallel movement of voices</t>
        </r>
      </text>
    </comment>
    <comment ref="F18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xr:uid="{00000000-0006-0000-0000-000004010000}">
      <text>
        <r>
          <rPr>
            <sz val="9"/>
            <color indexed="81"/>
            <rFont val="Tahoma"/>
            <family val="2"/>
            <charset val="204"/>
          </rPr>
          <t>Previous note is shorter than anticipation note</t>
        </r>
      </text>
    </comment>
    <comment ref="H187" authorId="1" shapeId="0" xr:uid="{00000000-0006-0000-0000-000005010000}">
      <text>
        <r>
          <rPr>
            <sz val="9"/>
            <color indexed="81"/>
            <rFont val="Tahoma"/>
            <family val="2"/>
            <charset val="204"/>
          </rPr>
          <t>Next note has equal length with anticipation note</t>
        </r>
      </text>
    </comment>
    <comment ref="I187" authorId="1" shapeId="0" xr:uid="{00000000-0006-0000-0000-000006010000}">
      <text>
        <r>
          <rPr>
            <sz val="9"/>
            <color indexed="81"/>
            <rFont val="Tahoma"/>
            <family val="2"/>
            <charset val="204"/>
          </rPr>
          <t>Next note is shorter than anticipation note</t>
        </r>
      </text>
    </comment>
    <comment ref="F188" authorId="1" shapeId="0" xr:uid="{00000000-0006-0000-0000-000007010000}">
      <text>
        <r>
          <rPr>
            <sz val="9"/>
            <color indexed="81"/>
            <rFont val="Tahoma"/>
            <family val="2"/>
            <charset val="204"/>
          </rPr>
          <t>Anticipation inside counterpoint - not in cadence</t>
        </r>
      </text>
    </comment>
    <comment ref="G188" authorId="1" shapeId="0" xr:uid="{00000000-0006-0000-0000-000008010000}">
      <text>
        <r>
          <rPr>
            <sz val="9"/>
            <color indexed="81"/>
            <rFont val="Tahoma"/>
            <family val="2"/>
            <charset val="204"/>
          </rPr>
          <t>Anticipation start should not be longer</t>
        </r>
      </text>
    </comment>
    <comment ref="H188" authorId="1" shapeId="0" xr:uid="{00000000-0006-0000-0000-000009010000}">
      <text>
        <r>
          <rPr>
            <sz val="9"/>
            <color indexed="81"/>
            <rFont val="Tahoma"/>
            <family val="2"/>
            <charset val="204"/>
          </rPr>
          <t>Anticipation ending should not be longer than whole</t>
        </r>
      </text>
    </comment>
    <comment ref="I188" authorId="1" shapeId="0" xr:uid="{00000000-0006-0000-0000-00000A010000}">
      <text>
        <r>
          <rPr>
            <sz val="9"/>
            <color indexed="81"/>
            <rFont val="Tahoma"/>
            <family val="2"/>
            <charset val="204"/>
          </rPr>
          <t>Leap to anticipation note</t>
        </r>
      </text>
    </comment>
    <comment ref="J188" authorId="1" shapeId="0" xr:uid="{00000000-0006-0000-0000-00000B010000}">
      <text>
        <r>
          <rPr>
            <sz val="9"/>
            <color indexed="81"/>
            <rFont val="Tahoma"/>
            <family val="2"/>
            <charset val="204"/>
          </rPr>
          <t>Anticipation should resolve to consonance in next measure</t>
        </r>
      </text>
    </comment>
    <comment ref="F189" authorId="0" shapeId="0" xr:uid="{00000000-0006-0000-0000-00000C010000}">
      <text>
        <r>
          <rPr>
            <sz val="9"/>
            <color indexed="81"/>
            <rFont val="Tahoma"/>
            <family val="2"/>
          </rPr>
          <t>Starting pause in first measure does not equal length of next note</t>
        </r>
      </text>
    </comment>
    <comment ref="G189" authorId="1" shapeId="0" xr:uid="{00000000-0006-0000-0000-00000D010000}">
      <text>
        <r>
          <rPr>
            <sz val="9"/>
            <color indexed="81"/>
            <rFont val="Tahoma"/>
            <family val="2"/>
            <charset val="204"/>
          </rPr>
          <t>Starting measure contains notes/pauses of different length
Allowed exception in sp5: (pause + 1/4 + 1/2 slurred)</t>
        </r>
      </text>
    </comment>
    <comment ref="H189" authorId="1" shapeId="0" xr:uid="{00000000-0006-0000-0000-00000E010000}">
      <text>
        <r>
          <rPr>
            <sz val="9"/>
            <color indexed="81"/>
            <rFont val="Tahoma"/>
            <family val="2"/>
            <charset val="204"/>
          </rPr>
          <t>1/8 note in the first measure</t>
        </r>
      </text>
    </comment>
    <comment ref="F190" authorId="1" shapeId="0" xr:uid="{00000000-0006-0000-0000-00000F010000}">
      <text>
        <r>
          <rPr>
            <sz val="9"/>
            <color indexed="81"/>
            <rFont val="Tahoma"/>
            <family val="2"/>
            <charset val="204"/>
          </rPr>
          <t>Rest in CF or sp 1</t>
        </r>
      </text>
    </comment>
    <comment ref="G190" authorId="1" shapeId="0" xr:uid="{00000000-0006-0000-0000-000010010000}">
      <text>
        <r>
          <rPr>
            <sz val="9"/>
            <color indexed="81"/>
            <rFont val="Tahoma"/>
            <family val="2"/>
            <charset val="204"/>
          </rPr>
          <t>Rest inside counterpoint - not before first note</t>
        </r>
      </text>
    </comment>
    <comment ref="H190" authorId="1" shapeId="0" xr:uid="{00000000-0006-0000-0000-000011010000}">
      <text>
        <r>
          <rPr>
            <sz val="9"/>
            <color indexed="81"/>
            <rFont val="Tahoma"/>
            <family val="2"/>
            <charset val="204"/>
          </rPr>
          <t>Voice is entering too late. For species 2-5, one or two voices should enter in each measure</t>
        </r>
      </text>
    </comment>
    <comment ref="F193" authorId="0" shapeId="0" xr:uid="{00000000-0006-0000-0000-000012010000}">
      <text>
        <r>
          <rPr>
            <sz val="9"/>
            <color indexed="81"/>
            <rFont val="Tahoma"/>
            <family val="2"/>
          </rPr>
          <t>Rhythm repeats in neighboring measures, while there are no croches or less than 4 notes in measure</t>
        </r>
      </text>
    </comment>
    <comment ref="F194" authorId="0" shapeId="0" xr:uid="{00000000-0006-0000-0000-000013010000}">
      <text>
        <r>
          <rPr>
            <sz val="9"/>
            <color indexed="81"/>
            <rFont val="Tahoma"/>
            <family val="2"/>
          </rPr>
          <t>One measure has same rhythm in two voices in species 5</t>
        </r>
      </text>
    </comment>
    <comment ref="F195" authorId="1" shapeId="0" xr:uid="{00000000-0006-0000-0000-000014010000}">
      <text>
        <r>
          <rPr>
            <sz val="9"/>
            <color indexed="81"/>
            <rFont val="Tahoma"/>
            <family val="2"/>
            <charset val="204"/>
          </rPr>
          <t>Dotted half note on downbeat</t>
        </r>
      </text>
    </comment>
    <comment ref="G195" authorId="1" shapeId="0" xr:uid="{00000000-0006-0000-0000-000015010000}">
      <text>
        <r>
          <rPr>
            <sz val="9"/>
            <color indexed="81"/>
            <rFont val="Tahoma"/>
            <family val="2"/>
            <charset val="204"/>
          </rPr>
          <t>Dotted half note on upbeat</t>
        </r>
      </text>
    </comment>
    <comment ref="H195" authorId="1" shapeId="0" xr:uid="{00000000-0006-0000-0000-000016010000}">
      <text>
        <r>
          <rPr>
            <sz val="9"/>
            <color indexed="81"/>
            <rFont val="Tahoma"/>
            <family val="2"/>
            <charset val="204"/>
          </rPr>
          <t>1/4 on beat 2 or 4 is slurred to next note</t>
        </r>
      </text>
    </comment>
    <comment ref="I195" authorId="1" shapeId="0" xr:uid="{00000000-0006-0000-0000-000017010000}">
      <text>
        <r>
          <rPr>
            <sz val="9"/>
            <color indexed="81"/>
            <rFont val="Tahoma"/>
            <family val="2"/>
            <charset val="204"/>
          </rPr>
          <t>Downbeat whole note inside counterpoint - not first or last note</t>
        </r>
      </text>
    </comment>
    <comment ref="F196" authorId="1" shapeId="0" xr:uid="{00000000-0006-0000-0000-000018010000}">
      <text>
        <r>
          <rPr>
            <sz val="9"/>
            <color indexed="81"/>
            <rFont val="Tahoma"/>
            <family val="2"/>
            <charset val="204"/>
          </rPr>
          <t>1/8 note on beat 1</t>
        </r>
      </text>
    </comment>
    <comment ref="G196" authorId="1" shapeId="0" xr:uid="{00000000-0006-0000-0000-000019010000}">
      <text>
        <r>
          <rPr>
            <sz val="9"/>
            <color indexed="81"/>
            <rFont val="Tahoma"/>
            <family val="2"/>
            <charset val="204"/>
          </rPr>
          <t>1/8 note on beat 2</t>
        </r>
      </text>
    </comment>
    <comment ref="H196" authorId="1" shapeId="0" xr:uid="{00000000-0006-0000-0000-00001A010000}">
      <text>
        <r>
          <rPr>
            <sz val="9"/>
            <color indexed="81"/>
            <rFont val="Tahoma"/>
            <family val="2"/>
            <charset val="204"/>
          </rPr>
          <t>1/8 note on beat 3</t>
        </r>
      </text>
    </comment>
    <comment ref="I196" authorId="1" shapeId="0" xr:uid="{00000000-0006-0000-0000-00001B010000}">
      <text>
        <r>
          <rPr>
            <sz val="9"/>
            <color indexed="81"/>
            <rFont val="Tahoma"/>
            <family val="2"/>
            <charset val="204"/>
          </rPr>
          <t>1/8 note on beat 4</t>
        </r>
      </text>
    </comment>
    <comment ref="J196" authorId="0" shapeId="0" xr:uid="{00000000-0006-0000-0000-00001C010000}">
      <text>
        <r>
          <rPr>
            <sz val="9"/>
            <color indexed="81"/>
            <rFont val="Tahoma"/>
            <family val="2"/>
            <charset val="204"/>
          </rPr>
          <t>1/8 note without pairing 1/8</t>
        </r>
      </text>
    </comment>
    <comment ref="K196" authorId="1" shapeId="0" xr:uid="{00000000-0006-0000-0000-00001D010000}">
      <text>
        <r>
          <rPr>
            <sz val="9"/>
            <color indexed="81"/>
            <rFont val="Tahoma"/>
            <family val="2"/>
            <charset val="204"/>
          </rPr>
          <t>1/8 note slurred forward to next beat</t>
        </r>
      </text>
    </comment>
    <comment ref="L196" authorId="1" shapeId="0" xr:uid="{00000000-0006-0000-0000-00001E010000}">
      <text>
        <r>
          <rPr>
            <sz val="9"/>
            <color indexed="81"/>
            <rFont val="Tahoma"/>
            <family val="2"/>
            <charset val="204"/>
          </rPr>
          <t>More than two 1/8 notes in measure</t>
        </r>
      </text>
    </comment>
    <comment ref="M196" authorId="1" shapeId="0" xr:uid="{00000000-0006-0000-0000-00001F010000}">
      <text>
        <r>
          <rPr>
            <sz val="9"/>
            <color indexed="81"/>
            <rFont val="Tahoma"/>
            <family val="2"/>
            <charset val="204"/>
          </rPr>
          <t>Leap from or to 1/8 note</t>
        </r>
      </text>
    </comment>
    <comment ref="F197" authorId="1" shapeId="0" xr:uid="{00000000-0006-0000-0000-000020010000}">
      <text>
        <r>
          <rPr>
            <sz val="9"/>
            <color indexed="81"/>
            <rFont val="Tahoma"/>
            <family val="2"/>
            <charset val="204"/>
          </rPr>
          <t>Last or next to last measure</t>
        </r>
      </text>
    </comment>
    <comment ref="G197" authorId="1" shapeId="0" xr:uid="{00000000-0006-0000-0000-000021010000}">
      <text>
        <r>
          <rPr>
            <sz val="9"/>
            <color indexed="81"/>
            <rFont val="Tahoma"/>
            <family val="2"/>
            <charset val="204"/>
          </rPr>
          <t>1/2 is slurred forward</t>
        </r>
      </text>
    </comment>
    <comment ref="H197" authorId="1" shapeId="0" xr:uid="{00000000-0006-0000-0000-000022010000}">
      <text>
        <r>
          <rPr>
            <sz val="9"/>
            <color indexed="81"/>
            <rFont val="Tahoma"/>
            <family val="2"/>
            <charset val="204"/>
          </rPr>
          <t>First note in measure is slurred to previous measure</t>
        </r>
      </text>
    </comment>
    <comment ref="I197" authorId="1" shapeId="0" xr:uid="{00000000-0006-0000-0000-000023010000}">
      <text>
        <r>
          <rPr>
            <sz val="9"/>
            <color indexed="81"/>
            <rFont val="Tahoma"/>
            <family val="2"/>
            <charset val="204"/>
          </rPr>
          <t>Before penultimate measure</t>
        </r>
      </text>
    </comment>
    <comment ref="F201" authorId="1" shapeId="0" xr:uid="{00000000-0006-0000-0000-000024010000}">
      <text>
        <r>
          <rPr>
            <sz val="9"/>
            <color indexed="81"/>
            <rFont val="Tahoma"/>
            <family val="2"/>
            <charset val="204"/>
          </rPr>
          <t>Note crosses more than two measures</t>
        </r>
      </text>
    </comment>
    <comment ref="K203" authorId="1" shapeId="0" xr:uid="{00000000-0006-0000-0000-000025010000}">
      <text>
        <r>
          <rPr>
            <sz val="9"/>
            <color indexed="81"/>
            <rFont val="Tahoma"/>
            <family val="2"/>
            <charset val="204"/>
          </rPr>
          <t>Suspension start should not be longer</t>
        </r>
      </text>
    </comment>
    <comment ref="L203" authorId="1" shapeId="0" xr:uid="{00000000-0006-0000-0000-000026010000}">
      <text>
        <r>
          <rPr>
            <sz val="9"/>
            <color indexed="81"/>
            <rFont val="Tahoma"/>
            <family val="2"/>
            <charset val="204"/>
          </rPr>
          <t>Suspension finish should not be longer</t>
        </r>
      </text>
    </comment>
    <comment ref="F204" authorId="1" shapeId="0" xr:uid="{00000000-0006-0000-0000-000027010000}">
      <text>
        <r>
          <rPr>
            <sz val="9"/>
            <color indexed="81"/>
            <rFont val="Tahoma"/>
            <family val="2"/>
            <charset val="204"/>
          </rPr>
          <t>Suspension before N last measures {sp2,3}</t>
        </r>
      </text>
    </comment>
    <comment ref="G204" authorId="1" shapeId="0" xr:uid="{00000000-0006-0000-0000-000028010000}">
      <text>
        <r>
          <rPr>
            <sz val="9"/>
            <color indexed="81"/>
            <rFont val="Tahoma"/>
            <family val="2"/>
            <charset val="204"/>
          </rPr>
          <t>At least one suspension is needed each X measures {sp5}</t>
        </r>
      </text>
    </comment>
    <comment ref="F205" authorId="1" shapeId="0" xr:uid="{00000000-0006-0000-0000-000029010000}">
      <text>
        <r>
          <rPr>
            <sz val="9"/>
            <color indexed="81"/>
            <rFont val="Tahoma"/>
            <family val="2"/>
            <charset val="204"/>
          </rPr>
          <t>5 notes in measure only allowed if first note is a suspension from previous measure</t>
        </r>
      </text>
    </comment>
    <comment ref="F206" authorId="0" shapeId="0" xr:uid="{00000000-0006-0000-0000-00002A010000}">
      <text>
        <r>
          <rPr>
            <sz val="9"/>
            <color indexed="81"/>
            <rFont val="Tahoma"/>
            <family val="2"/>
          </rPr>
          <t>{sp3,4,5}</t>
        </r>
      </text>
    </comment>
    <comment ref="G206" authorId="1" shapeId="0" xr:uid="{00000000-0006-0000-0000-00002B010000}">
      <text>
        <r>
          <rPr>
            <sz val="9"/>
            <color indexed="81"/>
            <rFont val="Tahoma"/>
            <family val="2"/>
            <charset val="204"/>
          </rPr>
          <t>Slurs are prohibited in cantus</t>
        </r>
      </text>
    </comment>
    <comment ref="F210"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<sst xmlns="http://schemas.openxmlformats.org/spreadsheetml/2006/main" count="4195" uniqueCount="1042">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</sst>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abSelected="1" topLeftCell="D1" zoomScaleNormal="100" workbookViewId="0">
      <pane ySplit="1" topLeftCell="A2" activePane="bottomLeft" state="frozen"/>
      <selection activeCell="C37" sqref="C37"/>
      <selection pane="bottomLeft" activeCell="Q4" sqref="Q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1040</v>
      </c>
      <c r="D3" s="3"/>
      <c r="E3" s="3"/>
      <c r="F3" s="81" t="s">
        <v>1041</v>
      </c>
      <c r="G3" s="3"/>
      <c r="H3" s="3"/>
      <c r="I3" s="3"/>
      <c r="J3" s="3"/>
      <c r="K3" s="3"/>
      <c r="L3" s="3"/>
      <c r="M3" s="3"/>
      <c r="N3" s="38"/>
      <c r="O3" s="18"/>
      <c r="Q3" s="93">
        <v>197</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1034</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1034</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1034</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1035</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1034</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1035</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1033</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3"/>
      <c r="I100" s="3"/>
      <c r="J100" s="3"/>
      <c r="K100" s="3"/>
      <c r="L100" s="3"/>
      <c r="M100" s="3"/>
      <c r="N100" s="13"/>
      <c r="O100" s="18"/>
      <c r="Q100" s="93">
        <v>349</v>
      </c>
      <c r="R100" s="93">
        <v>350</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1037</v>
      </c>
      <c r="Q102" s="93">
        <v>201</v>
      </c>
    </row>
    <row r="103" spans="1:25" x14ac:dyDescent="0.2">
      <c r="A103" s="144"/>
      <c r="B103" s="147"/>
      <c r="C103" s="89" t="s">
        <v>605</v>
      </c>
      <c r="D103" s="3">
        <v>12350</v>
      </c>
      <c r="E103" s="3"/>
      <c r="F103" s="47" t="s">
        <v>501</v>
      </c>
      <c r="G103" s="3"/>
      <c r="H103" s="3"/>
      <c r="I103" s="3"/>
      <c r="J103" s="3"/>
      <c r="K103" s="3"/>
      <c r="L103" s="3"/>
      <c r="M103" s="3"/>
      <c r="N103" s="4"/>
      <c r="O103" s="18" t="s">
        <v>1038</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1020</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90" t="s">
        <v>662</v>
      </c>
      <c r="D128" s="3"/>
      <c r="E128" s="3" t="s">
        <v>850</v>
      </c>
      <c r="F128" s="81" t="s">
        <v>716</v>
      </c>
      <c r="G128" s="3"/>
      <c r="H128" s="3"/>
      <c r="I128" s="3"/>
      <c r="J128" s="3"/>
      <c r="K128" s="3"/>
      <c r="L128" s="3"/>
      <c r="M128" s="3"/>
      <c r="N128" s="38"/>
      <c r="O128" s="18"/>
      <c r="Q128" s="95">
        <v>324</v>
      </c>
      <c r="R128" s="2"/>
      <c r="S128" s="2"/>
      <c r="T128" s="21"/>
    </row>
    <row r="129" spans="1:24" ht="13.15" customHeight="1" x14ac:dyDescent="0.2">
      <c r="A129" s="152"/>
      <c r="B129" s="147"/>
      <c r="C129" s="90" t="s">
        <v>662</v>
      </c>
      <c r="D129" s="3"/>
      <c r="E129" s="3" t="s">
        <v>860</v>
      </c>
      <c r="F129" s="81" t="s">
        <v>716</v>
      </c>
      <c r="G129" s="3"/>
      <c r="H129" s="3"/>
      <c r="I129" s="3"/>
      <c r="J129" s="3"/>
      <c r="K129" s="3"/>
      <c r="L129" s="3"/>
      <c r="M129" s="3"/>
      <c r="N129" s="38"/>
      <c r="O129" s="18"/>
      <c r="Q129" s="95">
        <v>324</v>
      </c>
      <c r="R129" s="2"/>
      <c r="S129" s="2"/>
      <c r="T129" s="21"/>
    </row>
    <row r="130" spans="1:24" ht="13.15" customHeight="1" x14ac:dyDescent="0.2">
      <c r="A130" s="152"/>
      <c r="B130" s="147"/>
      <c r="C130" s="90" t="s">
        <v>662</v>
      </c>
      <c r="D130" s="3"/>
      <c r="E130" s="3" t="s">
        <v>861</v>
      </c>
      <c r="F130" s="47" t="s">
        <v>716</v>
      </c>
      <c r="G130" s="3"/>
      <c r="H130" s="3"/>
      <c r="I130" s="3"/>
      <c r="J130" s="3"/>
      <c r="K130" s="3"/>
      <c r="L130" s="3"/>
      <c r="M130" s="3"/>
      <c r="N130" s="38"/>
      <c r="O130" s="18"/>
      <c r="Q130" s="95">
        <v>324</v>
      </c>
      <c r="R130" s="2"/>
      <c r="S130" s="2"/>
      <c r="T130" s="21"/>
    </row>
    <row r="131" spans="1:24" ht="13.15" customHeight="1" x14ac:dyDescent="0.2">
      <c r="A131" s="152"/>
      <c r="B131" s="147"/>
      <c r="C131" s="20" t="s">
        <v>985</v>
      </c>
      <c r="D131" s="3"/>
      <c r="E131" s="3" t="s">
        <v>850</v>
      </c>
      <c r="F131" s="81" t="s">
        <v>986</v>
      </c>
      <c r="G131" s="3"/>
      <c r="H131" s="3"/>
      <c r="I131" s="3"/>
      <c r="J131" s="3"/>
      <c r="K131" s="3"/>
      <c r="L131" s="3"/>
      <c r="M131" s="3"/>
      <c r="N131" s="38"/>
      <c r="O131" s="18"/>
      <c r="Q131" s="95">
        <v>553</v>
      </c>
      <c r="R131" s="2"/>
      <c r="S131" s="2"/>
      <c r="T131" s="21"/>
    </row>
    <row r="132" spans="1:24" ht="13.15" customHeight="1" x14ac:dyDescent="0.2">
      <c r="A132" s="152"/>
      <c r="B132" s="147"/>
      <c r="C132" s="20" t="s">
        <v>985</v>
      </c>
      <c r="D132" s="3"/>
      <c r="E132" s="3" t="s">
        <v>860</v>
      </c>
      <c r="F132" s="81" t="s">
        <v>986</v>
      </c>
      <c r="G132" s="3"/>
      <c r="H132" s="3"/>
      <c r="I132" s="3"/>
      <c r="J132" s="3"/>
      <c r="K132" s="3"/>
      <c r="L132" s="3"/>
      <c r="M132" s="3"/>
      <c r="N132" s="38"/>
      <c r="O132" s="18"/>
      <c r="Q132" s="95">
        <v>553</v>
      </c>
      <c r="R132" s="2"/>
      <c r="S132" s="2"/>
      <c r="T132" s="21"/>
    </row>
    <row r="133" spans="1:24" ht="13.15" customHeight="1" x14ac:dyDescent="0.2">
      <c r="A133" s="152"/>
      <c r="B133" s="147"/>
      <c r="C133" s="20" t="s">
        <v>985</v>
      </c>
      <c r="D133" s="3"/>
      <c r="E133" s="3" t="s">
        <v>861</v>
      </c>
      <c r="F133" s="47" t="s">
        <v>986</v>
      </c>
      <c r="G133" s="3"/>
      <c r="H133" s="3"/>
      <c r="I133" s="3"/>
      <c r="J133" s="3"/>
      <c r="K133" s="3"/>
      <c r="L133" s="3"/>
      <c r="M133" s="3"/>
      <c r="N133" s="38"/>
      <c r="O133" s="18"/>
      <c r="Q133" s="131">
        <v>553</v>
      </c>
      <c r="R133" s="2"/>
      <c r="S133" s="2"/>
      <c r="T133" s="21"/>
    </row>
    <row r="134" spans="1:24" x14ac:dyDescent="0.2">
      <c r="A134" s="152"/>
      <c r="B134" s="147"/>
      <c r="C134" s="19" t="s">
        <v>661</v>
      </c>
      <c r="D134" s="3"/>
      <c r="E134" s="3"/>
      <c r="F134" s="47" t="s">
        <v>41</v>
      </c>
      <c r="G134" s="3"/>
      <c r="H134" s="3"/>
      <c r="I134" s="3"/>
      <c r="J134" s="3"/>
      <c r="K134" s="3"/>
      <c r="L134" s="3"/>
      <c r="M134" s="3"/>
      <c r="N134" s="38"/>
      <c r="O134" s="37" t="s">
        <v>293</v>
      </c>
      <c r="Q134" s="134">
        <v>325</v>
      </c>
      <c r="S134" s="21"/>
      <c r="T134" s="21"/>
      <c r="U134" s="21"/>
      <c r="V134" s="21"/>
    </row>
    <row r="135" spans="1:24" x14ac:dyDescent="0.2">
      <c r="A135" s="152"/>
      <c r="B135" s="147"/>
      <c r="C135" s="19" t="s">
        <v>715</v>
      </c>
      <c r="D135" s="3"/>
      <c r="E135" s="3"/>
      <c r="F135" s="47" t="s">
        <v>41</v>
      </c>
      <c r="G135" s="3"/>
      <c r="H135" s="3"/>
      <c r="I135" s="3"/>
      <c r="J135" s="3"/>
      <c r="K135" s="3"/>
      <c r="L135" s="3"/>
      <c r="M135" s="3"/>
      <c r="N135" s="38"/>
      <c r="O135" s="18" t="s">
        <v>293</v>
      </c>
      <c r="Q135" s="134">
        <v>326</v>
      </c>
      <c r="R135" s="21"/>
      <c r="S135" s="21"/>
      <c r="T135" s="21"/>
      <c r="U135" s="21"/>
      <c r="V135" s="21"/>
    </row>
    <row r="136" spans="1:24" x14ac:dyDescent="0.2">
      <c r="A136" s="152"/>
      <c r="B136" s="147"/>
      <c r="C136" s="19" t="s">
        <v>660</v>
      </c>
      <c r="D136" s="3"/>
      <c r="E136" s="3"/>
      <c r="F136" s="17" t="s">
        <v>45</v>
      </c>
      <c r="G136" s="3"/>
      <c r="H136" s="3"/>
      <c r="I136" s="3"/>
      <c r="J136" s="3"/>
      <c r="K136" s="3"/>
      <c r="L136" s="3"/>
      <c r="M136" s="3"/>
      <c r="N136" s="38"/>
      <c r="O136" s="18"/>
      <c r="Q136" s="129">
        <v>86</v>
      </c>
      <c r="R136" s="21"/>
      <c r="S136" s="21"/>
      <c r="T136" s="21"/>
      <c r="U136" s="21"/>
      <c r="V136" s="21"/>
    </row>
    <row r="137" spans="1:24" x14ac:dyDescent="0.2">
      <c r="A137" s="152"/>
      <c r="B137" s="147"/>
      <c r="C137" s="90" t="s">
        <v>659</v>
      </c>
      <c r="D137" s="3"/>
      <c r="E137" s="3"/>
      <c r="F137" s="46" t="s">
        <v>43</v>
      </c>
      <c r="G137" s="3"/>
      <c r="H137" s="3"/>
      <c r="I137" s="3"/>
      <c r="J137" s="3"/>
      <c r="K137" s="3"/>
      <c r="L137" s="3"/>
      <c r="M137" s="3"/>
      <c r="N137" s="10"/>
      <c r="O137" s="18"/>
      <c r="Q137" s="127">
        <v>84</v>
      </c>
      <c r="R137" s="2"/>
      <c r="U137" s="2"/>
      <c r="W137" s="2"/>
    </row>
    <row r="138" spans="1:24" x14ac:dyDescent="0.2">
      <c r="A138" s="152"/>
      <c r="B138" s="147"/>
      <c r="C138" s="90" t="s">
        <v>659</v>
      </c>
      <c r="D138" s="3"/>
      <c r="E138" s="3" t="s">
        <v>848</v>
      </c>
      <c r="F138" s="81" t="s">
        <v>232</v>
      </c>
      <c r="G138" s="3"/>
      <c r="H138" s="3"/>
      <c r="I138" s="3"/>
      <c r="J138" s="3"/>
      <c r="K138" s="3"/>
      <c r="L138" s="3"/>
      <c r="M138" s="3"/>
      <c r="N138" s="10"/>
      <c r="O138" s="18"/>
      <c r="Q138" s="128">
        <v>85</v>
      </c>
      <c r="R138" s="2"/>
      <c r="S138" s="2"/>
      <c r="U138" s="2"/>
      <c r="W138" s="2"/>
    </row>
    <row r="139" spans="1:24" x14ac:dyDescent="0.2">
      <c r="A139" s="152"/>
      <c r="B139" s="147"/>
      <c r="C139" s="90" t="s">
        <v>659</v>
      </c>
      <c r="D139" s="3"/>
      <c r="E139" s="3" t="s">
        <v>849</v>
      </c>
      <c r="F139" s="81" t="s">
        <v>232</v>
      </c>
      <c r="G139" s="3"/>
      <c r="H139" s="3"/>
      <c r="I139" s="3"/>
      <c r="J139" s="3"/>
      <c r="K139" s="3"/>
      <c r="L139" s="3"/>
      <c r="M139" s="3"/>
      <c r="N139" s="10"/>
      <c r="O139" s="18"/>
      <c r="Q139" s="128">
        <v>85</v>
      </c>
      <c r="R139" s="2"/>
      <c r="S139" s="2"/>
      <c r="U139" s="2"/>
      <c r="W139" s="2"/>
    </row>
    <row r="140" spans="1:24" x14ac:dyDescent="0.2">
      <c r="A140" s="152"/>
      <c r="B140" s="147"/>
      <c r="C140" s="90" t="s">
        <v>713</v>
      </c>
      <c r="D140" s="3"/>
      <c r="E140" s="3"/>
      <c r="F140" s="46" t="s">
        <v>43</v>
      </c>
      <c r="G140" s="3"/>
      <c r="H140" s="3"/>
      <c r="I140" s="3"/>
      <c r="J140" s="3"/>
      <c r="K140" s="3"/>
      <c r="L140" s="3"/>
      <c r="M140" s="3"/>
      <c r="N140" s="10"/>
      <c r="O140" s="18"/>
      <c r="Q140" s="127">
        <v>481</v>
      </c>
      <c r="T140" s="2"/>
      <c r="U140" s="2"/>
      <c r="W140" s="2"/>
    </row>
    <row r="141" spans="1:24" x14ac:dyDescent="0.2">
      <c r="A141" s="152"/>
      <c r="B141" s="147"/>
      <c r="C141" s="90" t="s">
        <v>713</v>
      </c>
      <c r="D141" s="3"/>
      <c r="E141" s="3" t="s">
        <v>848</v>
      </c>
      <c r="F141" s="81" t="s">
        <v>232</v>
      </c>
      <c r="G141" s="3"/>
      <c r="H141" s="3"/>
      <c r="I141" s="3"/>
      <c r="J141" s="3"/>
      <c r="K141" s="3"/>
      <c r="L141" s="3"/>
      <c r="M141" s="3"/>
      <c r="N141" s="10"/>
      <c r="O141" s="18"/>
      <c r="Q141" s="127">
        <v>482</v>
      </c>
      <c r="R141" s="2"/>
      <c r="S141" s="2"/>
      <c r="T141" s="2"/>
      <c r="U141" s="2"/>
      <c r="W141" s="2"/>
    </row>
    <row r="142" spans="1:24" x14ac:dyDescent="0.2">
      <c r="A142" s="152"/>
      <c r="B142" s="147"/>
      <c r="C142" s="90" t="s">
        <v>713</v>
      </c>
      <c r="D142" s="3"/>
      <c r="E142" s="3" t="s">
        <v>849</v>
      </c>
      <c r="F142" s="81" t="s">
        <v>232</v>
      </c>
      <c r="G142" s="3"/>
      <c r="H142" s="3"/>
      <c r="I142" s="3"/>
      <c r="J142" s="3"/>
      <c r="K142" s="3"/>
      <c r="L142" s="3"/>
      <c r="M142" s="3"/>
      <c r="N142" s="10"/>
      <c r="O142" s="18"/>
      <c r="Q142" s="127">
        <v>482</v>
      </c>
      <c r="R142" s="2"/>
      <c r="S142" s="2"/>
      <c r="T142" s="2"/>
      <c r="U142" s="2"/>
      <c r="W142" s="2"/>
    </row>
    <row r="143" spans="1:24" x14ac:dyDescent="0.2">
      <c r="A143" s="152"/>
      <c r="B143" s="147"/>
      <c r="C143" s="85" t="s">
        <v>562</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
      <c r="A144" s="152"/>
      <c r="B144" s="147"/>
      <c r="C144" s="19" t="s">
        <v>562</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
      <c r="A145" s="152"/>
      <c r="B145" s="147"/>
      <c r="C145" s="19" t="s">
        <v>562</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
      <c r="A146" s="152"/>
      <c r="B146" s="147"/>
      <c r="C146" s="19" t="s">
        <v>714</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
      <c r="A147" s="152"/>
      <c r="B147" s="147"/>
      <c r="C147" s="19" t="s">
        <v>714</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
      <c r="A148" s="152"/>
      <c r="B148" s="147"/>
      <c r="C148" s="19" t="s">
        <v>47</v>
      </c>
      <c r="D148" s="3"/>
      <c r="E148" s="3"/>
      <c r="F148" s="81" t="s">
        <v>683</v>
      </c>
      <c r="G148" s="81" t="s">
        <v>718</v>
      </c>
      <c r="H148" s="4" t="s">
        <v>719</v>
      </c>
      <c r="I148" s="3"/>
      <c r="J148" s="3"/>
      <c r="K148" s="3"/>
      <c r="L148" s="3"/>
      <c r="M148" s="3"/>
      <c r="N148" s="38"/>
      <c r="O148" s="18"/>
      <c r="Q148" s="123">
        <v>91</v>
      </c>
      <c r="R148" s="123">
        <v>275</v>
      </c>
      <c r="S148" s="123">
        <v>277</v>
      </c>
    </row>
    <row r="149" spans="1:24" x14ac:dyDescent="0.2">
      <c r="A149" s="152"/>
      <c r="B149" s="147"/>
      <c r="C149" s="19" t="s">
        <v>657</v>
      </c>
      <c r="D149" s="3"/>
      <c r="E149" s="3"/>
      <c r="F149" s="84" t="s">
        <v>563</v>
      </c>
      <c r="G149" s="84" t="s">
        <v>564</v>
      </c>
      <c r="H149" s="84" t="s">
        <v>565</v>
      </c>
      <c r="I149" s="84" t="s">
        <v>99</v>
      </c>
      <c r="J149" s="3"/>
      <c r="K149" s="3"/>
      <c r="L149" s="3"/>
      <c r="M149" s="3"/>
      <c r="N149" s="4"/>
      <c r="O149" s="18"/>
      <c r="Q149" s="2">
        <v>208</v>
      </c>
      <c r="R149" s="2">
        <v>212</v>
      </c>
      <c r="S149" s="2">
        <v>210</v>
      </c>
      <c r="T149" s="2">
        <v>214</v>
      </c>
      <c r="U149" s="2"/>
      <c r="V149" s="2"/>
    </row>
    <row r="150" spans="1:24" x14ac:dyDescent="0.2">
      <c r="A150" s="152"/>
      <c r="B150" s="147"/>
      <c r="C150" s="19" t="s">
        <v>702</v>
      </c>
      <c r="D150" s="3"/>
      <c r="E150" s="3"/>
      <c r="F150" s="4" t="s">
        <v>563</v>
      </c>
      <c r="G150" s="81" t="s">
        <v>564</v>
      </c>
      <c r="H150" s="84" t="s">
        <v>565</v>
      </c>
      <c r="I150" s="84" t="s">
        <v>99</v>
      </c>
      <c r="J150" s="3"/>
      <c r="K150" s="3"/>
      <c r="L150" s="3"/>
      <c r="M150" s="3"/>
      <c r="N150" s="38"/>
      <c r="O150" s="18"/>
      <c r="Q150" s="2">
        <v>72</v>
      </c>
      <c r="R150" s="2">
        <v>73</v>
      </c>
      <c r="S150" s="2">
        <v>76</v>
      </c>
      <c r="T150" s="2">
        <v>98</v>
      </c>
      <c r="U150" s="2"/>
      <c r="V150" s="2"/>
    </row>
    <row r="151" spans="1:24" x14ac:dyDescent="0.2">
      <c r="A151" s="152"/>
      <c r="B151" s="148"/>
      <c r="C151" s="19" t="s">
        <v>658</v>
      </c>
      <c r="D151" s="3"/>
      <c r="E151" s="3"/>
      <c r="F151" s="4" t="s">
        <v>563</v>
      </c>
      <c r="G151" s="81" t="s">
        <v>564</v>
      </c>
      <c r="H151" s="84" t="s">
        <v>565</v>
      </c>
      <c r="I151" s="84" t="s">
        <v>99</v>
      </c>
      <c r="J151" s="3"/>
      <c r="K151" s="3"/>
      <c r="L151" s="3"/>
      <c r="M151" s="3"/>
      <c r="N151" s="38"/>
      <c r="O151" s="18"/>
      <c r="Q151" s="2">
        <v>209</v>
      </c>
      <c r="R151" s="2">
        <v>213</v>
      </c>
      <c r="S151" s="2">
        <v>211</v>
      </c>
      <c r="T151" s="2">
        <v>215</v>
      </c>
      <c r="U151" s="2"/>
      <c r="V151" s="2"/>
      <c r="W151" s="2"/>
    </row>
    <row r="152" spans="1:24" x14ac:dyDescent="0.2">
      <c r="A152" s="152"/>
      <c r="B152" s="146" t="s">
        <v>107</v>
      </c>
      <c r="C152" s="19" t="s">
        <v>664</v>
      </c>
      <c r="D152" s="3"/>
      <c r="E152" s="3"/>
      <c r="F152" s="84" t="s">
        <v>667</v>
      </c>
      <c r="G152" s="84" t="s">
        <v>668</v>
      </c>
      <c r="H152" s="84" t="s">
        <v>669</v>
      </c>
      <c r="I152" s="78" t="s">
        <v>665</v>
      </c>
      <c r="J152" s="78" t="s">
        <v>666</v>
      </c>
      <c r="K152" s="3"/>
      <c r="L152" s="3"/>
      <c r="M152" s="3"/>
      <c r="N152" s="10"/>
      <c r="O152" s="18"/>
      <c r="Q152" s="2">
        <v>216</v>
      </c>
      <c r="R152" s="2">
        <v>217</v>
      </c>
      <c r="S152" s="2">
        <v>218</v>
      </c>
      <c r="T152" s="2">
        <v>419</v>
      </c>
      <c r="U152" s="21">
        <v>420</v>
      </c>
      <c r="V152" s="2"/>
      <c r="W152" s="2"/>
      <c r="X152" s="2"/>
    </row>
    <row r="153" spans="1:24" x14ac:dyDescent="0.2">
      <c r="A153" s="152"/>
      <c r="B153" s="147"/>
      <c r="C153" s="19" t="s">
        <v>664</v>
      </c>
      <c r="D153" s="3"/>
      <c r="E153" s="3"/>
      <c r="F153" s="46" t="s">
        <v>670</v>
      </c>
      <c r="G153" s="46" t="s">
        <v>672</v>
      </c>
      <c r="H153" s="46" t="s">
        <v>671</v>
      </c>
      <c r="I153" s="66" t="s">
        <v>173</v>
      </c>
      <c r="J153" s="81" t="s">
        <v>673</v>
      </c>
      <c r="K153" s="3"/>
      <c r="L153" s="3"/>
      <c r="N153" s="10"/>
      <c r="O153" s="18"/>
      <c r="Q153" s="2">
        <v>219</v>
      </c>
      <c r="R153" s="2">
        <v>220</v>
      </c>
      <c r="S153" s="2">
        <v>221</v>
      </c>
      <c r="T153" s="2">
        <v>291</v>
      </c>
      <c r="U153" s="2">
        <v>286</v>
      </c>
    </row>
    <row r="154" spans="1:24" x14ac:dyDescent="0.2">
      <c r="A154" s="152"/>
      <c r="B154" s="147"/>
      <c r="C154" s="19" t="s">
        <v>674</v>
      </c>
      <c r="D154" s="3"/>
      <c r="E154" s="3"/>
      <c r="F154" s="81" t="s">
        <v>1015</v>
      </c>
      <c r="G154" s="81" t="s">
        <v>179</v>
      </c>
      <c r="H154" s="81" t="s">
        <v>1016</v>
      </c>
      <c r="I154" s="3"/>
      <c r="J154" s="3"/>
      <c r="K154" s="3"/>
      <c r="L154" s="3"/>
      <c r="M154" s="3"/>
      <c r="N154" s="13"/>
      <c r="O154" s="18"/>
      <c r="Q154" s="2">
        <v>296</v>
      </c>
      <c r="R154" s="2">
        <v>292</v>
      </c>
      <c r="S154" s="2">
        <v>295</v>
      </c>
      <c r="T154" s="21"/>
    </row>
    <row r="155" spans="1:24" x14ac:dyDescent="0.2">
      <c r="A155" s="152"/>
      <c r="B155" s="147"/>
      <c r="C155" s="19" t="s">
        <v>675</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
      <c r="A156" s="152"/>
      <c r="B156" s="148"/>
      <c r="C156" s="20" t="s">
        <v>993</v>
      </c>
      <c r="D156" s="3"/>
      <c r="E156" s="3"/>
      <c r="F156" s="46" t="s">
        <v>994</v>
      </c>
      <c r="G156" s="3"/>
      <c r="H156" s="3"/>
      <c r="I156" s="3"/>
      <c r="J156" s="3"/>
      <c r="K156" s="3"/>
      <c r="L156" s="3"/>
      <c r="M156" s="3"/>
      <c r="N156" s="10"/>
      <c r="O156" s="18"/>
      <c r="Q156" s="2">
        <v>458</v>
      </c>
      <c r="R156" s="2"/>
      <c r="S156" s="2"/>
      <c r="T156" s="21"/>
      <c r="U156" s="21"/>
      <c r="V156" s="21"/>
    </row>
    <row r="157" spans="1:24" x14ac:dyDescent="0.2">
      <c r="A157" s="152"/>
      <c r="B157" s="147" t="s">
        <v>976</v>
      </c>
      <c r="C157" s="20" t="s">
        <v>932</v>
      </c>
      <c r="D157" s="3"/>
      <c r="E157" s="3"/>
      <c r="F157" s="17" t="s">
        <v>934</v>
      </c>
      <c r="G157" s="17" t="s">
        <v>936</v>
      </c>
      <c r="H157" s="81" t="s">
        <v>935</v>
      </c>
      <c r="I157" s="46" t="s">
        <v>160</v>
      </c>
      <c r="J157" s="3"/>
      <c r="K157" s="3"/>
      <c r="L157" s="3"/>
      <c r="M157" s="3"/>
      <c r="N157" s="13"/>
      <c r="O157" s="18"/>
      <c r="Q157" s="93">
        <v>532</v>
      </c>
      <c r="R157" s="93">
        <v>533</v>
      </c>
      <c r="S157" s="93">
        <v>534</v>
      </c>
      <c r="T157" s="93">
        <v>535</v>
      </c>
      <c r="U157" s="21"/>
      <c r="V157" s="21"/>
      <c r="W157" s="21"/>
      <c r="X157" s="21"/>
    </row>
    <row r="158" spans="1:24" x14ac:dyDescent="0.2">
      <c r="A158" s="152"/>
      <c r="B158" s="147"/>
      <c r="C158" s="20" t="s">
        <v>933</v>
      </c>
      <c r="D158" s="3"/>
      <c r="E158" s="3" t="s">
        <v>955</v>
      </c>
      <c r="F158" s="81"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
      <c r="A159" s="152"/>
      <c r="B159" s="147"/>
      <c r="C159" s="20" t="s">
        <v>933</v>
      </c>
      <c r="D159" s="3"/>
      <c r="E159" s="3" t="s">
        <v>859</v>
      </c>
      <c r="F159" s="17" t="s">
        <v>934</v>
      </c>
      <c r="G159" s="81" t="s">
        <v>935</v>
      </c>
      <c r="H159" s="46" t="s">
        <v>160</v>
      </c>
      <c r="I159" s="3"/>
      <c r="J159" s="3"/>
      <c r="K159" s="3"/>
      <c r="L159" s="3"/>
      <c r="M159" s="3"/>
      <c r="N159" s="13"/>
      <c r="O159" s="18"/>
      <c r="Q159" s="93">
        <v>536</v>
      </c>
      <c r="R159" s="93">
        <v>537</v>
      </c>
      <c r="S159" s="93">
        <v>538</v>
      </c>
      <c r="T159" s="2"/>
      <c r="U159" s="21"/>
      <c r="V159" s="21"/>
      <c r="W159" s="21"/>
      <c r="X159" s="21"/>
    </row>
    <row r="160" spans="1:24" x14ac:dyDescent="0.2">
      <c r="A160" s="152"/>
      <c r="B160" s="147"/>
      <c r="C160" s="19" t="s">
        <v>677</v>
      </c>
      <c r="D160" s="3"/>
      <c r="E160" s="3"/>
      <c r="F160" s="81" t="s">
        <v>862</v>
      </c>
      <c r="G160" s="3"/>
      <c r="H160" s="3"/>
      <c r="I160" s="3"/>
      <c r="J160" s="3"/>
      <c r="K160" s="3"/>
      <c r="L160" s="3"/>
      <c r="M160" s="3"/>
      <c r="N160" s="13"/>
      <c r="O160" s="18"/>
      <c r="Q160" s="93">
        <v>137</v>
      </c>
      <c r="R160" s="2"/>
      <c r="S160" s="2"/>
      <c r="T160" s="2"/>
      <c r="U160" s="21"/>
      <c r="V160" s="21"/>
      <c r="W160" s="21"/>
      <c r="X160" s="21"/>
    </row>
    <row r="161" spans="1:24" x14ac:dyDescent="0.2">
      <c r="A161" s="152"/>
      <c r="B161" s="147"/>
      <c r="C161" s="19" t="s">
        <v>931</v>
      </c>
      <c r="D161" s="3"/>
      <c r="E161" s="3"/>
      <c r="F161" s="81" t="s">
        <v>862</v>
      </c>
      <c r="G161" s="3"/>
      <c r="H161" s="3"/>
      <c r="I161" s="3"/>
      <c r="J161" s="3"/>
      <c r="K161" s="3"/>
      <c r="L161" s="3"/>
      <c r="M161" s="3"/>
      <c r="N161" s="13"/>
      <c r="O161" s="18"/>
      <c r="Q161" s="93">
        <v>531</v>
      </c>
      <c r="R161" s="2"/>
      <c r="S161" s="2"/>
      <c r="T161" s="2"/>
      <c r="U161" s="21"/>
      <c r="V161" s="21"/>
      <c r="W161" s="21"/>
      <c r="X161" s="21"/>
    </row>
    <row r="162" spans="1:24" x14ac:dyDescent="0.2">
      <c r="A162" s="152"/>
      <c r="B162" s="148"/>
      <c r="C162" s="19" t="s">
        <v>222</v>
      </c>
      <c r="D162" s="3"/>
      <c r="E162" s="3"/>
      <c r="F162" s="81" t="s">
        <v>679</v>
      </c>
      <c r="G162" s="47" t="s">
        <v>680</v>
      </c>
      <c r="H162" s="17" t="s">
        <v>501</v>
      </c>
      <c r="I162" s="47" t="s">
        <v>681</v>
      </c>
      <c r="J162" s="17" t="s">
        <v>233</v>
      </c>
      <c r="K162" s="81" t="s">
        <v>678</v>
      </c>
      <c r="L162" s="46" t="s">
        <v>682</v>
      </c>
      <c r="M162" s="3"/>
      <c r="N162" s="10"/>
      <c r="O162" s="18"/>
      <c r="Q162" s="2">
        <v>47</v>
      </c>
      <c r="R162" s="2">
        <v>75</v>
      </c>
      <c r="S162" s="2">
        <v>317</v>
      </c>
      <c r="T162" s="21">
        <v>318</v>
      </c>
      <c r="U162" s="21">
        <v>322</v>
      </c>
      <c r="V162" s="21">
        <v>335</v>
      </c>
      <c r="W162" s="21">
        <v>9</v>
      </c>
    </row>
    <row r="163" spans="1:24" x14ac:dyDescent="0.2">
      <c r="A163" s="152"/>
      <c r="B163" s="146" t="s">
        <v>692</v>
      </c>
      <c r="C163" s="19" t="s">
        <v>684</v>
      </c>
      <c r="D163" s="3"/>
      <c r="E163" s="3"/>
      <c r="F163" s="40">
        <v>3</v>
      </c>
      <c r="G163" s="82" t="s">
        <v>566</v>
      </c>
      <c r="H163" s="3"/>
      <c r="I163" s="3"/>
      <c r="J163" s="3"/>
      <c r="K163" s="3"/>
      <c r="L163" s="3"/>
      <c r="M163" s="3"/>
      <c r="N163" s="10"/>
      <c r="O163" s="18" t="s">
        <v>567</v>
      </c>
      <c r="Q163" s="2">
        <v>89</v>
      </c>
      <c r="R163" s="2">
        <v>96</v>
      </c>
    </row>
    <row r="164" spans="1:24" x14ac:dyDescent="0.2">
      <c r="A164" s="152"/>
      <c r="B164" s="147"/>
      <c r="C164" s="19" t="s">
        <v>685</v>
      </c>
      <c r="D164" s="3"/>
      <c r="E164" s="3"/>
      <c r="F164" s="40">
        <v>3</v>
      </c>
      <c r="G164" s="82" t="s">
        <v>566</v>
      </c>
      <c r="H164" s="3"/>
      <c r="I164" s="3"/>
      <c r="J164" s="3"/>
      <c r="K164" s="3"/>
      <c r="L164" s="3"/>
      <c r="M164" s="3"/>
      <c r="N164" s="10"/>
      <c r="O164" s="18" t="s">
        <v>568</v>
      </c>
      <c r="Q164" s="2">
        <v>389</v>
      </c>
      <c r="R164" s="2">
        <v>390</v>
      </c>
    </row>
    <row r="165" spans="1:24" x14ac:dyDescent="0.2">
      <c r="A165" s="152"/>
      <c r="B165" s="148"/>
      <c r="C165" s="19" t="s">
        <v>982</v>
      </c>
      <c r="D165" s="3"/>
      <c r="E165" s="3"/>
      <c r="F165" s="40">
        <v>3</v>
      </c>
      <c r="G165" s="3"/>
      <c r="H165" s="3"/>
      <c r="I165" s="3"/>
      <c r="J165" s="3"/>
      <c r="K165" s="3"/>
      <c r="L165" s="3"/>
      <c r="M165" s="3"/>
      <c r="N165" s="10"/>
      <c r="O165" s="18" t="s">
        <v>1005</v>
      </c>
      <c r="Q165" s="2">
        <v>552</v>
      </c>
      <c r="R165" s="2"/>
      <c r="S165" s="2"/>
      <c r="T165" s="2"/>
    </row>
    <row r="166" spans="1:24" x14ac:dyDescent="0.2">
      <c r="A166" s="152"/>
      <c r="B166" s="146" t="s">
        <v>676</v>
      </c>
      <c r="C166" s="19" t="s">
        <v>1008</v>
      </c>
      <c r="D166" s="3"/>
      <c r="E166" s="3"/>
      <c r="F166" s="81" t="s">
        <v>1009</v>
      </c>
      <c r="G166" s="3"/>
      <c r="H166" s="3"/>
      <c r="I166" s="3"/>
      <c r="J166" s="3"/>
      <c r="K166" s="3"/>
      <c r="L166" s="3"/>
      <c r="M166" s="3"/>
      <c r="N166" s="13"/>
      <c r="O166" s="18" t="s">
        <v>492</v>
      </c>
      <c r="Q166" s="2">
        <v>379</v>
      </c>
      <c r="R166" s="2"/>
      <c r="S166" s="2"/>
      <c r="T166" s="2"/>
      <c r="U166" s="2"/>
      <c r="V166" s="2"/>
      <c r="W166" s="2"/>
      <c r="X166" s="2"/>
    </row>
    <row r="167" spans="1:24" x14ac:dyDescent="0.2">
      <c r="A167" s="152"/>
      <c r="B167" s="147"/>
      <c r="C167" s="19" t="s">
        <v>676</v>
      </c>
      <c r="D167" s="3"/>
      <c r="E167" s="3"/>
      <c r="F167" s="46" t="s">
        <v>683</v>
      </c>
      <c r="G167" s="81" t="s">
        <v>686</v>
      </c>
      <c r="H167" s="81" t="s">
        <v>1012</v>
      </c>
      <c r="I167" s="46" t="s">
        <v>981</v>
      </c>
      <c r="J167" s="81" t="s">
        <v>1010</v>
      </c>
      <c r="K167" s="81" t="s">
        <v>3</v>
      </c>
      <c r="L167" s="3"/>
      <c r="N167" s="4"/>
      <c r="O167" s="18"/>
      <c r="Q167" s="2">
        <v>83</v>
      </c>
      <c r="R167" s="2">
        <v>223</v>
      </c>
      <c r="S167" s="2">
        <v>331</v>
      </c>
      <c r="T167" s="21">
        <v>551</v>
      </c>
      <c r="U167" s="21">
        <v>170</v>
      </c>
      <c r="V167" s="21">
        <v>171</v>
      </c>
    </row>
    <row r="168" spans="1:24" x14ac:dyDescent="0.2">
      <c r="A168" s="152"/>
      <c r="B168" s="147"/>
      <c r="C168" s="19" t="s">
        <v>687</v>
      </c>
      <c r="D168" s="3"/>
      <c r="E168" s="3"/>
      <c r="F168" s="46" t="s">
        <v>99</v>
      </c>
      <c r="G168" s="3"/>
      <c r="H168" s="3"/>
      <c r="I168" s="3"/>
      <c r="J168" s="3"/>
      <c r="K168" s="3"/>
      <c r="L168" s="3"/>
      <c r="M168" s="3"/>
      <c r="N168" s="4"/>
      <c r="O168" s="18"/>
      <c r="Q168" s="2">
        <v>36</v>
      </c>
      <c r="R168" s="2"/>
      <c r="S168" s="2"/>
      <c r="T168" s="2"/>
      <c r="U168" s="2"/>
      <c r="V168" s="2"/>
    </row>
    <row r="169" spans="1:24" x14ac:dyDescent="0.2">
      <c r="A169" s="152"/>
      <c r="B169" s="147"/>
      <c r="C169" s="19" t="s">
        <v>688</v>
      </c>
      <c r="D169" s="3"/>
      <c r="E169" s="3"/>
      <c r="F169" s="46" t="s">
        <v>99</v>
      </c>
      <c r="G169" s="3"/>
      <c r="H169" s="3"/>
      <c r="I169" s="3"/>
      <c r="J169" s="3"/>
      <c r="K169" s="3"/>
      <c r="L169" s="3"/>
      <c r="M169" s="3"/>
      <c r="N169" s="4"/>
      <c r="O169" s="18"/>
      <c r="Q169" s="2">
        <v>187</v>
      </c>
      <c r="R169" s="2"/>
      <c r="S169" s="2"/>
      <c r="T169" s="2"/>
      <c r="U169" s="2"/>
      <c r="V169" s="2"/>
    </row>
    <row r="170" spans="1:24" x14ac:dyDescent="0.2">
      <c r="A170" s="152"/>
      <c r="B170" s="148"/>
      <c r="C170" s="20" t="s">
        <v>1023</v>
      </c>
      <c r="D170" s="3"/>
      <c r="E170" s="3"/>
      <c r="F170" s="81" t="s">
        <v>1024</v>
      </c>
      <c r="G170" s="81" t="s">
        <v>1025</v>
      </c>
      <c r="H170" s="81" t="s">
        <v>1027</v>
      </c>
      <c r="I170" s="81" t="s">
        <v>1028</v>
      </c>
      <c r="J170" s="3"/>
      <c r="K170" s="3"/>
      <c r="L170" s="3"/>
      <c r="M170" s="3"/>
      <c r="N170" s="38"/>
      <c r="O170" s="18" t="s">
        <v>1026</v>
      </c>
      <c r="Q170" s="102">
        <v>169</v>
      </c>
      <c r="R170" s="102">
        <v>276</v>
      </c>
      <c r="S170" s="102">
        <v>173</v>
      </c>
      <c r="T170" s="102">
        <v>174</v>
      </c>
    </row>
    <row r="171" spans="1:24" x14ac:dyDescent="0.2">
      <c r="A171" s="152"/>
      <c r="B171" s="146" t="s">
        <v>691</v>
      </c>
      <c r="C171" s="19" t="s">
        <v>689</v>
      </c>
      <c r="D171" s="3"/>
      <c r="E171" s="3" t="s">
        <v>850</v>
      </c>
      <c r="F171" s="81" t="s">
        <v>954</v>
      </c>
      <c r="G171" s="46" t="s">
        <v>877</v>
      </c>
      <c r="H171" s="46" t="s">
        <v>1019</v>
      </c>
      <c r="I171" s="3"/>
      <c r="J171" s="3"/>
      <c r="K171" s="3"/>
      <c r="L171" s="3"/>
      <c r="M171" s="3"/>
      <c r="N171" s="10"/>
      <c r="O171" s="18"/>
      <c r="Q171" s="102">
        <v>24</v>
      </c>
      <c r="R171" s="102">
        <v>548</v>
      </c>
      <c r="S171" s="102">
        <v>136</v>
      </c>
    </row>
    <row r="172" spans="1:24" x14ac:dyDescent="0.2">
      <c r="A172" s="152"/>
      <c r="B172" s="147"/>
      <c r="C172" s="19" t="s">
        <v>689</v>
      </c>
      <c r="D172" s="3"/>
      <c r="E172" s="3" t="s">
        <v>941</v>
      </c>
      <c r="F172" s="66" t="s">
        <v>954</v>
      </c>
      <c r="G172" s="46" t="s">
        <v>877</v>
      </c>
      <c r="H172" s="46" t="s">
        <v>1019</v>
      </c>
      <c r="I172" s="3"/>
      <c r="J172" s="3"/>
      <c r="K172" s="3"/>
      <c r="L172" s="3"/>
      <c r="M172" s="3"/>
      <c r="N172" s="10"/>
      <c r="O172" s="18"/>
      <c r="Q172" s="102">
        <v>24</v>
      </c>
      <c r="R172" s="102">
        <v>548</v>
      </c>
      <c r="S172" s="102">
        <v>136</v>
      </c>
    </row>
    <row r="173" spans="1:24" x14ac:dyDescent="0.2">
      <c r="A173" s="152"/>
      <c r="B173" s="147"/>
      <c r="C173" s="20" t="s">
        <v>938</v>
      </c>
      <c r="D173" s="3"/>
      <c r="E173" s="3" t="s">
        <v>937</v>
      </c>
      <c r="F173" s="81" t="s">
        <v>939</v>
      </c>
      <c r="G173" s="81" t="s">
        <v>940</v>
      </c>
      <c r="H173" s="46" t="s">
        <v>170</v>
      </c>
      <c r="I173" s="3"/>
      <c r="J173" s="3"/>
      <c r="K173" s="3"/>
      <c r="L173" s="3"/>
      <c r="M173" s="3"/>
      <c r="N173" s="10"/>
      <c r="O173" s="18"/>
      <c r="Q173" s="127">
        <v>541</v>
      </c>
      <c r="R173" s="127">
        <v>542</v>
      </c>
      <c r="S173" s="127">
        <v>543</v>
      </c>
    </row>
    <row r="174" spans="1:24" x14ac:dyDescent="0.2">
      <c r="A174" s="152"/>
      <c r="B174" s="147"/>
      <c r="C174" s="20" t="s">
        <v>938</v>
      </c>
      <c r="D174" s="3"/>
      <c r="E174" s="3" t="s">
        <v>36</v>
      </c>
      <c r="F174" s="81" t="s">
        <v>939</v>
      </c>
      <c r="G174" s="81" t="s">
        <v>940</v>
      </c>
      <c r="H174" s="3"/>
      <c r="I174" s="3"/>
      <c r="J174" s="3"/>
      <c r="K174" s="3"/>
      <c r="L174" s="3"/>
      <c r="M174" s="3"/>
      <c r="N174" s="10"/>
      <c r="O174" s="18"/>
      <c r="Q174" s="127">
        <v>541</v>
      </c>
      <c r="R174" s="127">
        <v>542</v>
      </c>
      <c r="S174" s="135"/>
    </row>
    <row r="175" spans="1:24" x14ac:dyDescent="0.2">
      <c r="A175" s="152"/>
      <c r="B175" s="147"/>
      <c r="C175" s="20" t="s">
        <v>938</v>
      </c>
      <c r="D175" s="3"/>
      <c r="E175" s="3" t="s">
        <v>941</v>
      </c>
      <c r="F175" s="66" t="s">
        <v>939</v>
      </c>
      <c r="G175" s="4" t="s">
        <v>940</v>
      </c>
      <c r="H175" s="3"/>
      <c r="I175" s="3"/>
      <c r="J175" s="3"/>
      <c r="K175" s="3"/>
      <c r="L175" s="3"/>
      <c r="M175" s="3"/>
      <c r="N175" s="10"/>
      <c r="O175" s="18"/>
      <c r="Q175" s="127">
        <v>541</v>
      </c>
      <c r="R175" s="127">
        <v>542</v>
      </c>
      <c r="S175" s="135"/>
    </row>
    <row r="176" spans="1:24" x14ac:dyDescent="0.2">
      <c r="A176" s="152"/>
      <c r="B176" s="147"/>
      <c r="C176" s="20" t="s">
        <v>874</v>
      </c>
      <c r="D176" s="3"/>
      <c r="E176" s="3" t="s">
        <v>850</v>
      </c>
      <c r="F176" s="82" t="s">
        <v>875</v>
      </c>
      <c r="G176" s="44" t="s">
        <v>876</v>
      </c>
      <c r="H176" s="3"/>
      <c r="I176" s="3"/>
      <c r="J176" s="3"/>
      <c r="K176" s="3"/>
      <c r="L176" s="3"/>
      <c r="M176" s="3"/>
      <c r="N176" s="10"/>
      <c r="O176" s="18"/>
      <c r="Q176" s="127">
        <v>518</v>
      </c>
      <c r="R176" s="127">
        <v>519</v>
      </c>
      <c r="S176" s="135"/>
    </row>
    <row r="177" spans="1:24" x14ac:dyDescent="0.2">
      <c r="A177" s="152"/>
      <c r="B177" s="147"/>
      <c r="C177" s="20" t="s">
        <v>874</v>
      </c>
      <c r="D177" s="3"/>
      <c r="E177" s="3" t="s">
        <v>941</v>
      </c>
      <c r="F177" s="126" t="s">
        <v>875</v>
      </c>
      <c r="G177" s="82" t="s">
        <v>876</v>
      </c>
      <c r="H177" s="3"/>
      <c r="I177" s="3"/>
      <c r="J177" s="3"/>
      <c r="K177" s="3"/>
      <c r="L177" s="3"/>
      <c r="M177" s="3"/>
      <c r="N177" s="10"/>
      <c r="O177" s="18"/>
      <c r="Q177" s="127">
        <v>518</v>
      </c>
      <c r="R177" s="127">
        <v>519</v>
      </c>
      <c r="S177" s="135"/>
    </row>
    <row r="178" spans="1:24" x14ac:dyDescent="0.2">
      <c r="A178" s="152"/>
      <c r="B178" s="147"/>
      <c r="C178" s="20" t="s">
        <v>878</v>
      </c>
      <c r="D178" s="3"/>
      <c r="E178" s="3"/>
      <c r="F178" s="46" t="s">
        <v>877</v>
      </c>
      <c r="G178" s="3"/>
      <c r="H178" s="3"/>
      <c r="I178" s="3"/>
      <c r="J178" s="3"/>
      <c r="K178" s="3"/>
      <c r="L178" s="3"/>
      <c r="M178" s="3"/>
      <c r="N178" s="10"/>
      <c r="O178" s="18"/>
      <c r="Q178" s="127">
        <v>520</v>
      </c>
    </row>
    <row r="179" spans="1:24" x14ac:dyDescent="0.2">
      <c r="A179" s="152"/>
      <c r="B179" s="147"/>
      <c r="C179" s="20" t="s">
        <v>942</v>
      </c>
      <c r="D179" s="3"/>
      <c r="E179" s="3"/>
      <c r="F179" s="66" t="s">
        <v>943</v>
      </c>
      <c r="G179" s="46" t="s">
        <v>944</v>
      </c>
      <c r="H179" s="66" t="s">
        <v>945</v>
      </c>
      <c r="I179" s="81" t="s">
        <v>946</v>
      </c>
      <c r="J179" s="3"/>
      <c r="K179" s="3"/>
      <c r="L179" s="3"/>
      <c r="M179" s="3"/>
      <c r="N179" s="10"/>
      <c r="O179" s="18"/>
      <c r="Q179" s="93">
        <v>544</v>
      </c>
      <c r="R179" s="127">
        <v>545</v>
      </c>
      <c r="S179" s="127">
        <v>546</v>
      </c>
      <c r="T179" s="127">
        <v>547</v>
      </c>
    </row>
    <row r="180" spans="1:24" x14ac:dyDescent="0.2">
      <c r="A180" s="152"/>
      <c r="B180" s="147"/>
      <c r="C180" s="20" t="s">
        <v>996</v>
      </c>
      <c r="D180" s="3"/>
      <c r="E180" s="3"/>
      <c r="F180" s="81" t="s">
        <v>995</v>
      </c>
      <c r="G180" s="3"/>
      <c r="H180" s="3"/>
      <c r="I180" s="3"/>
      <c r="J180" s="3"/>
      <c r="K180" s="3"/>
      <c r="L180" s="3"/>
      <c r="M180" s="3"/>
      <c r="N180" s="10"/>
      <c r="O180" s="18"/>
      <c r="Q180" s="93">
        <v>550</v>
      </c>
      <c r="R180" s="93"/>
      <c r="S180" s="93"/>
      <c r="T180" s="93"/>
    </row>
    <row r="181" spans="1:24" x14ac:dyDescent="0.2">
      <c r="A181" s="152"/>
      <c r="B181" s="148"/>
      <c r="C181" s="19" t="s">
        <v>690</v>
      </c>
      <c r="D181" s="3"/>
      <c r="E181" s="3"/>
      <c r="F181" s="40" t="s">
        <v>74</v>
      </c>
      <c r="G181" s="40" t="s">
        <v>73</v>
      </c>
      <c r="H181" s="23"/>
      <c r="I181" s="23"/>
      <c r="J181" s="23"/>
      <c r="K181" s="3"/>
      <c r="L181" s="3"/>
      <c r="M181" s="3"/>
      <c r="N181" s="13"/>
      <c r="O181" s="18" t="s">
        <v>503</v>
      </c>
      <c r="Q181" s="96">
        <v>35</v>
      </c>
      <c r="R181" s="96">
        <v>46</v>
      </c>
    </row>
    <row r="182" spans="1:24" ht="13.15" customHeight="1" x14ac:dyDescent="0.2">
      <c r="A182" s="152"/>
      <c r="B182" s="146"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
      <c r="A183" s="152"/>
      <c r="B183" s="147"/>
      <c r="C183" s="19" t="s">
        <v>137</v>
      </c>
      <c r="D183" s="3"/>
      <c r="E183" s="3"/>
      <c r="F183" s="4" t="s">
        <v>230</v>
      </c>
      <c r="G183" s="81" t="s">
        <v>720</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
      <c r="A184" s="152"/>
      <c r="B184" s="147"/>
      <c r="C184" s="19" t="s">
        <v>169</v>
      </c>
      <c r="D184" s="3"/>
      <c r="E184" s="3"/>
      <c r="F184" s="4" t="s">
        <v>170</v>
      </c>
      <c r="G184" s="4" t="s">
        <v>138</v>
      </c>
      <c r="H184" s="81" t="s">
        <v>720</v>
      </c>
      <c r="I184" s="47" t="s">
        <v>722</v>
      </c>
      <c r="J184" s="81" t="s">
        <v>721</v>
      </c>
      <c r="K184" s="3"/>
      <c r="L184" s="3"/>
      <c r="M184" s="3"/>
      <c r="N184" s="10"/>
      <c r="O184" s="18"/>
      <c r="Q184" s="2">
        <v>258</v>
      </c>
      <c r="R184" s="96">
        <v>280</v>
      </c>
      <c r="S184" s="21">
        <v>260</v>
      </c>
      <c r="T184" s="21">
        <v>3</v>
      </c>
      <c r="U184" s="21">
        <v>97</v>
      </c>
    </row>
    <row r="185" spans="1:24" x14ac:dyDescent="0.2">
      <c r="A185" s="152"/>
      <c r="B185" s="147"/>
      <c r="C185" s="19" t="s">
        <v>956</v>
      </c>
      <c r="D185" s="3">
        <v>24</v>
      </c>
      <c r="E185" s="3"/>
      <c r="F185" s="81" t="s">
        <v>728</v>
      </c>
      <c r="G185" s="81" t="s">
        <v>729</v>
      </c>
      <c r="H185" s="81" t="s">
        <v>723</v>
      </c>
      <c r="I185" s="3"/>
      <c r="J185" s="3"/>
      <c r="K185" s="3"/>
      <c r="L185" s="3"/>
      <c r="M185" s="3"/>
      <c r="N185" s="13"/>
      <c r="O185" s="18" t="s">
        <v>194</v>
      </c>
      <c r="Q185" s="2">
        <v>282</v>
      </c>
      <c r="R185" s="2">
        <v>297</v>
      </c>
      <c r="S185" s="2">
        <v>298</v>
      </c>
      <c r="T185" s="21"/>
      <c r="U185" s="21"/>
    </row>
    <row r="186" spans="1:24" x14ac:dyDescent="0.2">
      <c r="A186" s="152"/>
      <c r="B186" s="147"/>
      <c r="C186" s="19" t="s">
        <v>956</v>
      </c>
      <c r="D186" s="3">
        <v>35</v>
      </c>
      <c r="E186" s="3"/>
      <c r="F186" s="4" t="s">
        <v>728</v>
      </c>
      <c r="G186" s="81" t="s">
        <v>729</v>
      </c>
      <c r="H186" s="81" t="s">
        <v>723</v>
      </c>
      <c r="I186" s="3"/>
      <c r="J186" s="3"/>
      <c r="K186" s="3"/>
      <c r="L186" s="3"/>
      <c r="M186" s="3"/>
      <c r="N186" s="13"/>
      <c r="O186" s="18" t="s">
        <v>194</v>
      </c>
      <c r="Q186" s="2">
        <v>282</v>
      </c>
      <c r="R186" s="2">
        <v>297</v>
      </c>
      <c r="S186" s="2">
        <v>298</v>
      </c>
      <c r="T186" s="21"/>
      <c r="U186" s="21"/>
    </row>
    <row r="187" spans="1:24" x14ac:dyDescent="0.2">
      <c r="A187" s="152"/>
      <c r="B187" s="147"/>
      <c r="C187" s="19" t="s">
        <v>174</v>
      </c>
      <c r="D187" s="3"/>
      <c r="E187" s="3"/>
      <c r="F187" s="81" t="s">
        <v>170</v>
      </c>
      <c r="G187" s="46" t="s">
        <v>724</v>
      </c>
      <c r="H187" s="4" t="s">
        <v>178</v>
      </c>
      <c r="I187" s="4" t="s">
        <v>725</v>
      </c>
      <c r="J187" s="3"/>
      <c r="K187" s="3"/>
      <c r="L187" s="3"/>
      <c r="M187" s="3"/>
      <c r="N187" s="4"/>
      <c r="O187" s="14"/>
      <c r="Q187" s="2">
        <v>287</v>
      </c>
      <c r="R187" s="2">
        <v>294</v>
      </c>
      <c r="S187" s="125">
        <v>293</v>
      </c>
      <c r="T187" s="125">
        <v>288</v>
      </c>
    </row>
    <row r="188" spans="1:24" x14ac:dyDescent="0.2">
      <c r="A188" s="153"/>
      <c r="B188" s="148"/>
      <c r="C188" s="19" t="s">
        <v>174</v>
      </c>
      <c r="D188" s="3"/>
      <c r="E188" s="3"/>
      <c r="F188" s="81" t="s">
        <v>727</v>
      </c>
      <c r="G188" s="81" t="s">
        <v>245</v>
      </c>
      <c r="H188" s="81" t="s">
        <v>248</v>
      </c>
      <c r="I188" s="4" t="s">
        <v>99</v>
      </c>
      <c r="J188" s="46" t="s">
        <v>672</v>
      </c>
      <c r="K188" s="3"/>
      <c r="L188" s="3"/>
      <c r="M188" s="3"/>
      <c r="N188" s="4"/>
      <c r="O188" s="14"/>
      <c r="Q188" s="21">
        <v>290</v>
      </c>
      <c r="R188" s="21">
        <v>333</v>
      </c>
      <c r="S188" s="21">
        <v>334</v>
      </c>
      <c r="T188" s="125">
        <v>289</v>
      </c>
      <c r="U188" s="21">
        <v>459</v>
      </c>
      <c r="V188" s="21"/>
      <c r="W188" s="21"/>
      <c r="X188" s="2"/>
    </row>
    <row r="189" spans="1:24" ht="13.15" customHeight="1" x14ac:dyDescent="0.2">
      <c r="A189" s="149" t="s">
        <v>114</v>
      </c>
      <c r="B189" s="150" t="s">
        <v>114</v>
      </c>
      <c r="C189" s="91" t="s">
        <v>646</v>
      </c>
      <c r="D189" s="3"/>
      <c r="E189" s="3"/>
      <c r="F189" s="81" t="s">
        <v>865</v>
      </c>
      <c r="G189" s="81" t="s">
        <v>125</v>
      </c>
      <c r="H189" s="81" t="s">
        <v>645</v>
      </c>
      <c r="I189" s="3"/>
      <c r="J189" s="3"/>
      <c r="K189" s="3"/>
      <c r="L189" s="3"/>
      <c r="M189" s="3"/>
      <c r="O189" s="14"/>
      <c r="Q189" s="95">
        <v>237</v>
      </c>
      <c r="R189" s="95">
        <v>254</v>
      </c>
      <c r="S189" s="99">
        <v>230</v>
      </c>
    </row>
    <row r="190" spans="1:24" ht="13.15" customHeight="1" x14ac:dyDescent="0.2">
      <c r="A190" s="149"/>
      <c r="B190" s="150"/>
      <c r="C190" s="100" t="s">
        <v>918</v>
      </c>
      <c r="D190" s="3"/>
      <c r="E190" s="3"/>
      <c r="F190" s="81" t="s">
        <v>920</v>
      </c>
      <c r="G190" s="81" t="s">
        <v>919</v>
      </c>
      <c r="H190" s="81" t="s">
        <v>921</v>
      </c>
      <c r="I190" s="3"/>
      <c r="J190" s="3"/>
      <c r="K190" s="3"/>
      <c r="L190" s="3"/>
      <c r="M190" s="3"/>
      <c r="O190" s="14"/>
      <c r="Q190" s="95">
        <v>138</v>
      </c>
      <c r="R190" s="95">
        <v>517</v>
      </c>
      <c r="S190" s="95">
        <v>527</v>
      </c>
    </row>
    <row r="191" spans="1:24" ht="13.15" customHeight="1" x14ac:dyDescent="0.2">
      <c r="A191" s="149"/>
      <c r="B191" s="150"/>
      <c r="C191" s="100" t="s">
        <v>922</v>
      </c>
      <c r="D191" s="3"/>
      <c r="E191" s="3"/>
      <c r="F191" s="47" t="s">
        <v>923</v>
      </c>
      <c r="G191" s="81" t="s">
        <v>924</v>
      </c>
      <c r="H191" s="3"/>
      <c r="I191" s="3"/>
      <c r="J191" s="3"/>
      <c r="K191" s="3"/>
      <c r="L191" s="3"/>
      <c r="M191" s="3"/>
      <c r="O191" s="14"/>
      <c r="Q191" s="95">
        <v>528</v>
      </c>
      <c r="R191" s="95">
        <v>529</v>
      </c>
    </row>
    <row r="192" spans="1:24" ht="13.15" customHeight="1" x14ac:dyDescent="0.2">
      <c r="A192" s="149"/>
      <c r="B192" s="150"/>
      <c r="C192" s="100" t="s">
        <v>927</v>
      </c>
      <c r="D192" s="3"/>
      <c r="E192" s="3"/>
      <c r="F192" s="81" t="s">
        <v>928</v>
      </c>
      <c r="G192" s="3"/>
      <c r="H192" s="3"/>
      <c r="I192" s="3"/>
      <c r="J192" s="3"/>
      <c r="K192" s="3"/>
      <c r="L192" s="3"/>
      <c r="M192" s="3"/>
      <c r="O192" s="14"/>
      <c r="Q192" s="95">
        <v>530</v>
      </c>
    </row>
    <row r="193" spans="1:24" x14ac:dyDescent="0.2">
      <c r="A193" s="149"/>
      <c r="B193" s="150"/>
      <c r="C193" s="19" t="s">
        <v>644</v>
      </c>
      <c r="D193" s="3"/>
      <c r="E193" s="3"/>
      <c r="F193" s="81" t="s">
        <v>643</v>
      </c>
      <c r="G193" s="3"/>
      <c r="H193" s="3"/>
      <c r="I193" s="3"/>
      <c r="J193" s="3"/>
      <c r="K193" s="3"/>
      <c r="L193" s="3"/>
      <c r="M193" s="3"/>
      <c r="N193" s="4"/>
      <c r="O193" s="18"/>
      <c r="Q193" s="95">
        <v>247</v>
      </c>
      <c r="R193" s="21"/>
      <c r="S193" s="21"/>
    </row>
    <row r="194" spans="1:24" x14ac:dyDescent="0.2">
      <c r="A194" s="149"/>
      <c r="B194" s="150"/>
      <c r="C194" s="20" t="s">
        <v>977</v>
      </c>
      <c r="D194" s="3"/>
      <c r="E194" s="3"/>
      <c r="F194" s="81" t="s">
        <v>643</v>
      </c>
      <c r="G194" s="3"/>
      <c r="H194" s="3"/>
      <c r="I194" s="3"/>
      <c r="J194" s="3"/>
      <c r="K194" s="3"/>
      <c r="L194" s="3"/>
      <c r="M194" s="3"/>
      <c r="N194" s="4"/>
      <c r="O194" s="18"/>
      <c r="Q194" s="95">
        <v>549</v>
      </c>
      <c r="R194" s="21"/>
      <c r="S194" s="21"/>
    </row>
    <row r="195" spans="1:24" x14ac:dyDescent="0.2">
      <c r="A195" s="149"/>
      <c r="B195" s="150"/>
      <c r="C195" s="19" t="s">
        <v>642</v>
      </c>
      <c r="D195" s="3"/>
      <c r="E195" s="3"/>
      <c r="F195" s="4" t="s">
        <v>120</v>
      </c>
      <c r="G195" s="81" t="s">
        <v>119</v>
      </c>
      <c r="H195" s="81" t="s">
        <v>115</v>
      </c>
      <c r="I195" s="81" t="s">
        <v>113</v>
      </c>
      <c r="K195" s="3"/>
      <c r="L195" s="3"/>
      <c r="M195" s="3"/>
      <c r="N195" s="10"/>
      <c r="O195" s="14"/>
      <c r="Q195" s="97">
        <v>233</v>
      </c>
      <c r="R195" s="97">
        <v>234</v>
      </c>
      <c r="S195" s="97">
        <v>235</v>
      </c>
      <c r="T195" s="99">
        <v>236</v>
      </c>
    </row>
    <row r="196" spans="1:24" x14ac:dyDescent="0.2">
      <c r="A196" s="149"/>
      <c r="B196" s="150"/>
      <c r="C196" s="19" t="s">
        <v>654</v>
      </c>
      <c r="D196" s="3"/>
      <c r="E196" s="3"/>
      <c r="F196" s="81" t="s">
        <v>548</v>
      </c>
      <c r="G196" s="4" t="s">
        <v>549</v>
      </c>
      <c r="H196" s="81" t="s">
        <v>550</v>
      </c>
      <c r="I196" s="4" t="s">
        <v>551</v>
      </c>
      <c r="J196" s="81" t="s">
        <v>104</v>
      </c>
      <c r="K196" s="81" t="s">
        <v>116</v>
      </c>
      <c r="L196" s="81" t="s">
        <v>126</v>
      </c>
      <c r="M196" s="81" t="s">
        <v>99</v>
      </c>
      <c r="N196" s="13"/>
      <c r="O196" s="14"/>
      <c r="Q196" s="97">
        <v>226</v>
      </c>
      <c r="R196" s="97">
        <v>227</v>
      </c>
      <c r="S196" s="97">
        <v>228</v>
      </c>
      <c r="T196" s="99">
        <v>229</v>
      </c>
      <c r="U196" s="99">
        <v>231</v>
      </c>
      <c r="V196" s="99">
        <v>232</v>
      </c>
      <c r="W196" s="97">
        <v>255</v>
      </c>
      <c r="X196" s="95">
        <v>88</v>
      </c>
    </row>
    <row r="197" spans="1:24" x14ac:dyDescent="0.2">
      <c r="A197" s="149"/>
      <c r="B197" s="150"/>
      <c r="C197" s="19" t="s">
        <v>401</v>
      </c>
      <c r="D197" s="3"/>
      <c r="E197" s="3"/>
      <c r="F197" s="4" t="s">
        <v>112</v>
      </c>
      <c r="G197" s="4" t="s">
        <v>647</v>
      </c>
      <c r="H197" s="4" t="s">
        <v>648</v>
      </c>
      <c r="I197" s="81" t="s">
        <v>48</v>
      </c>
      <c r="J197" s="26"/>
      <c r="K197" s="26"/>
      <c r="L197" s="26"/>
      <c r="M197" s="26"/>
      <c r="N197" s="4"/>
      <c r="O197" s="14" t="s">
        <v>121</v>
      </c>
      <c r="Q197" s="97">
        <v>238</v>
      </c>
      <c r="R197" s="97">
        <v>239</v>
      </c>
      <c r="S197" s="97">
        <v>278</v>
      </c>
      <c r="T197" s="97">
        <v>240</v>
      </c>
    </row>
    <row r="198" spans="1:24" x14ac:dyDescent="0.2">
      <c r="A198" s="149"/>
      <c r="B198" s="150"/>
      <c r="C198" s="19" t="s">
        <v>650</v>
      </c>
      <c r="D198" s="3"/>
      <c r="E198" s="3"/>
      <c r="F198" s="81" t="s">
        <v>872</v>
      </c>
      <c r="G198" s="3"/>
      <c r="H198" s="3"/>
      <c r="I198" s="3"/>
      <c r="J198" s="3"/>
      <c r="K198" s="3"/>
      <c r="L198" s="3"/>
      <c r="M198" s="3"/>
      <c r="N198" s="13"/>
      <c r="O198" s="18" t="s">
        <v>251</v>
      </c>
      <c r="Q198" s="93">
        <v>514</v>
      </c>
      <c r="T198" s="21"/>
      <c r="U198" s="21"/>
    </row>
    <row r="199" spans="1:24" x14ac:dyDescent="0.2">
      <c r="A199" s="149"/>
      <c r="B199" s="150"/>
      <c r="C199" s="20" t="s">
        <v>912</v>
      </c>
      <c r="D199" s="3"/>
      <c r="E199" s="3"/>
      <c r="F199" s="81" t="s">
        <v>913</v>
      </c>
      <c r="G199" s="3"/>
      <c r="H199" s="3"/>
      <c r="I199" s="3"/>
      <c r="J199" s="3"/>
      <c r="K199" s="3"/>
      <c r="L199" s="3"/>
      <c r="M199" s="3"/>
      <c r="N199" s="13"/>
      <c r="O199" s="18"/>
      <c r="Q199" s="93">
        <v>525</v>
      </c>
      <c r="T199" s="21"/>
      <c r="U199" s="21"/>
    </row>
    <row r="200" spans="1:24" x14ac:dyDescent="0.2">
      <c r="A200" s="149"/>
      <c r="B200" s="150"/>
      <c r="C200" s="20" t="s">
        <v>870</v>
      </c>
      <c r="D200" s="3"/>
      <c r="E200" s="3"/>
      <c r="F200" s="81" t="s">
        <v>871</v>
      </c>
      <c r="G200" s="3"/>
      <c r="H200" s="3"/>
      <c r="I200" s="3"/>
      <c r="J200" s="3"/>
      <c r="K200" s="3"/>
      <c r="L200" s="3"/>
      <c r="M200" s="3"/>
      <c r="N200" s="13"/>
      <c r="O200" s="18"/>
      <c r="Q200" s="93">
        <v>515</v>
      </c>
      <c r="R200" s="2"/>
      <c r="S200" s="2"/>
      <c r="T200" s="21"/>
      <c r="U200" s="21"/>
    </row>
    <row r="201" spans="1:24" x14ac:dyDescent="0.2">
      <c r="A201" s="149"/>
      <c r="B201" s="150"/>
      <c r="C201" s="19" t="s">
        <v>649</v>
      </c>
      <c r="D201" s="3"/>
      <c r="E201" s="3"/>
      <c r="F201" s="17" t="s">
        <v>36</v>
      </c>
      <c r="G201" s="3"/>
      <c r="H201" s="3"/>
      <c r="I201" s="3"/>
      <c r="J201" s="3"/>
      <c r="K201" s="3"/>
      <c r="L201" s="3"/>
      <c r="M201" s="3"/>
      <c r="N201" s="13"/>
      <c r="O201" s="18"/>
      <c r="Q201" s="128">
        <v>41</v>
      </c>
      <c r="R201" s="2"/>
      <c r="S201" s="2"/>
      <c r="T201" s="21"/>
      <c r="U201" s="21"/>
    </row>
    <row r="202" spans="1:24" x14ac:dyDescent="0.2">
      <c r="A202" s="149"/>
      <c r="B202" s="150"/>
      <c r="C202" s="19" t="s">
        <v>651</v>
      </c>
      <c r="D202" s="3"/>
      <c r="E202" s="3"/>
      <c r="F202" s="47" t="s">
        <v>159</v>
      </c>
      <c r="G202" s="81" t="s">
        <v>123</v>
      </c>
      <c r="H202" s="81" t="s">
        <v>124</v>
      </c>
      <c r="I202" s="26"/>
      <c r="J202" s="26"/>
      <c r="K202" s="26"/>
      <c r="L202" s="26"/>
      <c r="M202" s="26"/>
      <c r="N202" s="38"/>
      <c r="O202" s="14"/>
      <c r="Q202" s="127">
        <v>267</v>
      </c>
      <c r="R202" s="93">
        <v>252</v>
      </c>
      <c r="S202" s="93">
        <v>253</v>
      </c>
    </row>
    <row r="203" spans="1:24" x14ac:dyDescent="0.2">
      <c r="A203" s="149"/>
      <c r="B203" s="150"/>
      <c r="C203" s="19" t="s">
        <v>652</v>
      </c>
      <c r="D203" s="3"/>
      <c r="E203" s="3"/>
      <c r="F203" s="4" t="s">
        <v>108</v>
      </c>
      <c r="G203" s="4" t="s">
        <v>109</v>
      </c>
      <c r="H203" s="17" t="s">
        <v>111</v>
      </c>
      <c r="I203" s="46" t="s">
        <v>110</v>
      </c>
      <c r="J203" s="46" t="s">
        <v>425</v>
      </c>
      <c r="K203" s="46" t="s">
        <v>245</v>
      </c>
      <c r="L203" s="46" t="s">
        <v>249</v>
      </c>
      <c r="M203" s="46" t="s">
        <v>122</v>
      </c>
      <c r="N203" s="10"/>
      <c r="O203" s="18" t="s">
        <v>518</v>
      </c>
      <c r="Q203" s="128">
        <v>241</v>
      </c>
      <c r="R203" s="128">
        <v>242</v>
      </c>
      <c r="S203" s="128">
        <v>243</v>
      </c>
      <c r="T203" s="95">
        <v>244</v>
      </c>
      <c r="U203" s="134">
        <v>427</v>
      </c>
      <c r="V203" s="134">
        <v>274</v>
      </c>
      <c r="W203" s="21">
        <v>332</v>
      </c>
      <c r="X203" s="135">
        <v>251</v>
      </c>
    </row>
    <row r="204" spans="1:24" x14ac:dyDescent="0.2">
      <c r="A204" s="149"/>
      <c r="B204" s="150"/>
      <c r="C204" s="20" t="s">
        <v>980</v>
      </c>
      <c r="D204" s="3"/>
      <c r="E204" s="3"/>
      <c r="F204" s="17" t="s">
        <v>188</v>
      </c>
      <c r="G204" s="43" t="s">
        <v>252</v>
      </c>
      <c r="I204" s="26"/>
      <c r="J204" s="26"/>
      <c r="K204" s="26"/>
      <c r="L204" s="26"/>
      <c r="M204" s="26"/>
      <c r="N204" s="13"/>
      <c r="O204" s="14"/>
      <c r="Q204" s="21">
        <v>139</v>
      </c>
      <c r="R204" s="93">
        <v>341</v>
      </c>
      <c r="T204" s="2"/>
      <c r="U204" s="21"/>
      <c r="V204" s="21"/>
      <c r="W204" s="21"/>
    </row>
    <row r="205" spans="1:24" x14ac:dyDescent="0.2">
      <c r="A205" s="149"/>
      <c r="B205" s="150"/>
      <c r="C205" s="19" t="s">
        <v>653</v>
      </c>
      <c r="D205" s="3"/>
      <c r="E205" s="3"/>
      <c r="F205" s="4" t="s">
        <v>868</v>
      </c>
      <c r="G205" s="81" t="s">
        <v>867</v>
      </c>
      <c r="H205" s="46" t="s">
        <v>105</v>
      </c>
      <c r="I205" s="3"/>
      <c r="J205" s="26"/>
      <c r="K205" s="26"/>
      <c r="L205" s="26"/>
      <c r="M205" s="26"/>
      <c r="N205" s="4"/>
      <c r="O205" s="14"/>
      <c r="Q205" s="97">
        <v>301</v>
      </c>
      <c r="R205" s="93">
        <v>245</v>
      </c>
      <c r="S205" s="97">
        <v>246</v>
      </c>
    </row>
    <row r="206" spans="1:24" x14ac:dyDescent="0.2">
      <c r="A206" s="149"/>
      <c r="B206" s="146" t="s">
        <v>997</v>
      </c>
      <c r="C206" s="19" t="s">
        <v>869</v>
      </c>
      <c r="D206" s="3"/>
      <c r="E206" s="3"/>
      <c r="F206" s="39" t="s">
        <v>100</v>
      </c>
      <c r="G206" s="46" t="s">
        <v>68</v>
      </c>
      <c r="H206" s="81" t="s">
        <v>873</v>
      </c>
      <c r="I206" s="3"/>
      <c r="J206" s="3"/>
      <c r="K206" s="3"/>
      <c r="L206" s="3"/>
      <c r="M206" s="3"/>
      <c r="N206" s="13"/>
      <c r="O206" s="18"/>
      <c r="Q206" s="2">
        <v>225</v>
      </c>
      <c r="R206" s="93">
        <v>30</v>
      </c>
      <c r="S206" s="2">
        <v>516</v>
      </c>
    </row>
    <row r="207" spans="1:24" x14ac:dyDescent="0.2">
      <c r="A207" s="149"/>
      <c r="B207" s="147"/>
      <c r="C207" s="20" t="s">
        <v>998</v>
      </c>
      <c r="D207" s="3"/>
      <c r="E207" s="3"/>
      <c r="F207" s="81" t="s">
        <v>999</v>
      </c>
      <c r="G207" s="3"/>
      <c r="H207" s="3"/>
      <c r="I207" s="3"/>
      <c r="J207" s="3"/>
      <c r="K207" s="3"/>
      <c r="L207" s="3"/>
      <c r="M207" s="3"/>
      <c r="N207" s="13"/>
      <c r="O207" s="18"/>
      <c r="Q207" s="2">
        <v>557</v>
      </c>
      <c r="R207" s="2"/>
      <c r="S207" s="2"/>
    </row>
    <row r="208" spans="1:24" x14ac:dyDescent="0.2">
      <c r="A208" s="149"/>
      <c r="B208" s="147"/>
      <c r="C208" s="85" t="s">
        <v>707</v>
      </c>
      <c r="D208" s="3">
        <v>10</v>
      </c>
      <c r="E208" s="3"/>
      <c r="F208" s="47">
        <v>1</v>
      </c>
      <c r="G208" s="81">
        <v>2</v>
      </c>
      <c r="H208" s="81" t="s">
        <v>36</v>
      </c>
      <c r="I208" s="3"/>
      <c r="J208" s="3"/>
      <c r="K208" s="3"/>
      <c r="L208" s="3"/>
      <c r="M208" s="3"/>
      <c r="N208" s="4"/>
      <c r="O208" s="18"/>
      <c r="Q208" s="97">
        <v>93</v>
      </c>
      <c r="R208" s="97">
        <v>94</v>
      </c>
      <c r="S208" s="93">
        <v>95</v>
      </c>
    </row>
    <row r="209" spans="1:22" ht="13.15" customHeight="1" x14ac:dyDescent="0.2">
      <c r="A209" s="149"/>
      <c r="B209" s="147"/>
      <c r="C209" s="85" t="s">
        <v>707</v>
      </c>
      <c r="D209" s="3">
        <v>2</v>
      </c>
      <c r="E209" s="3"/>
      <c r="F209" s="17">
        <v>1</v>
      </c>
      <c r="G209" s="81">
        <v>2</v>
      </c>
      <c r="H209" s="81" t="s">
        <v>36</v>
      </c>
      <c r="I209" s="3"/>
      <c r="J209" s="3"/>
      <c r="K209" s="3"/>
      <c r="L209" s="3"/>
      <c r="M209" s="3"/>
      <c r="N209" s="4"/>
      <c r="O209" s="18"/>
      <c r="Q209" s="97">
        <v>93</v>
      </c>
      <c r="R209" s="97">
        <v>94</v>
      </c>
      <c r="S209" s="97">
        <v>95</v>
      </c>
      <c r="V209" s="2"/>
    </row>
    <row r="210" spans="1:22" x14ac:dyDescent="0.2">
      <c r="A210" s="149"/>
      <c r="B210" s="148"/>
      <c r="C210" s="85" t="s">
        <v>663</v>
      </c>
      <c r="D210" s="3">
        <v>4</v>
      </c>
      <c r="E210" s="3"/>
      <c r="F210" s="47">
        <v>1</v>
      </c>
      <c r="G210" s="81">
        <v>2</v>
      </c>
      <c r="H210" s="81" t="s">
        <v>36</v>
      </c>
      <c r="I210" s="3"/>
      <c r="J210" s="3"/>
      <c r="K210" s="3"/>
      <c r="L210" s="3"/>
      <c r="M210" s="3"/>
      <c r="N210" s="38"/>
      <c r="O210" s="18" t="s">
        <v>845</v>
      </c>
      <c r="Q210" s="97">
        <v>188</v>
      </c>
      <c r="R210" s="97">
        <v>189</v>
      </c>
      <c r="S210" s="93">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71</v>
      </c>
      <c r="C217" s="2" t="s">
        <v>72</v>
      </c>
      <c r="D217" s="2"/>
      <c r="E217" s="2"/>
    </row>
    <row r="218" spans="1:22" x14ac:dyDescent="0.2">
      <c r="B218" s="24" t="s">
        <v>90</v>
      </c>
      <c r="C218" s="2" t="s">
        <v>91</v>
      </c>
      <c r="D218" s="2"/>
      <c r="E218" s="2"/>
    </row>
    <row r="219" spans="1:22" x14ac:dyDescent="0.2">
      <c r="B219" s="7" t="s">
        <v>28</v>
      </c>
      <c r="C219" s="2" t="s">
        <v>243</v>
      </c>
      <c r="D219" s="2"/>
      <c r="E219" s="2"/>
    </row>
    <row r="221" spans="1:22" x14ac:dyDescent="0.2">
      <c r="B221" s="51" t="s">
        <v>31</v>
      </c>
    </row>
    <row r="223" spans="1:22" x14ac:dyDescent="0.2">
      <c r="B223" t="s">
        <v>32</v>
      </c>
      <c r="C223" s="2" t="s">
        <v>33</v>
      </c>
    </row>
    <row r="225" spans="2:5" x14ac:dyDescent="0.2">
      <c r="B225" s="2" t="s">
        <v>34</v>
      </c>
    </row>
    <row r="227" spans="2:5" x14ac:dyDescent="0.2">
      <c r="B227" s="2" t="s">
        <v>85</v>
      </c>
    </row>
    <row r="228" spans="2:5" x14ac:dyDescent="0.2">
      <c r="B228" s="2" t="s">
        <v>39</v>
      </c>
      <c r="C228" s="2" t="s">
        <v>92</v>
      </c>
      <c r="D228" s="2"/>
      <c r="E228" s="2"/>
    </row>
    <row r="229" spans="2:5" x14ac:dyDescent="0.2">
      <c r="B229" s="2" t="s">
        <v>86</v>
      </c>
      <c r="C229" s="2" t="s">
        <v>93</v>
      </c>
      <c r="D229" s="2"/>
      <c r="E229" s="2"/>
    </row>
    <row r="230" spans="2:5" x14ac:dyDescent="0.2">
      <c r="B230" s="2" t="s">
        <v>87</v>
      </c>
      <c r="C230" s="2" t="s">
        <v>655</v>
      </c>
      <c r="D230" s="2"/>
      <c r="E230" s="2"/>
    </row>
    <row r="231" spans="2:5" x14ac:dyDescent="0.2">
      <c r="B231" s="2" t="s">
        <v>11</v>
      </c>
      <c r="C231" s="2" t="s">
        <v>88</v>
      </c>
      <c r="D231" s="2"/>
      <c r="E231" s="2"/>
    </row>
  </sheetData>
  <mergeCells count="33">
    <mergeCell ref="B2:B3"/>
    <mergeCell ref="B109:B110"/>
    <mergeCell ref="B84:B98"/>
    <mergeCell ref="B61:B76"/>
    <mergeCell ref="B77:B83"/>
    <mergeCell ref="B15:B33"/>
    <mergeCell ref="B34:B52"/>
    <mergeCell ref="B53:B60"/>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3"/>
  <sheetViews>
    <sheetView zoomScale="115" zoomScaleNormal="115" workbookViewId="0">
      <pane ySplit="1" topLeftCell="A179" activePane="bottomLeft" state="frozen"/>
      <selection pane="bottomLeft" activeCell="D194" sqref="D19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1018</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1039</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1023</v>
      </c>
      <c r="E159" s="36" t="s">
        <v>1024</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1026</v>
      </c>
      <c r="Y159" s="33" t="s">
        <v>1029</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1018</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1037</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1038</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1023</v>
      </c>
      <c r="E248" s="36" t="s">
        <v>1025</v>
      </c>
      <c r="F248" s="29">
        <v>7</v>
      </c>
      <c r="G248" s="29">
        <v>3</v>
      </c>
      <c r="K248" s="61">
        <f>VLOOKUP($A248, Stat!$A$1:$C$1000, 2,0)</f>
        <v>6</v>
      </c>
      <c r="L248" s="61">
        <f>VLOOKUP($A248, Stat!$A$1:$C$1000, 3,0)</f>
        <v>3</v>
      </c>
      <c r="M248" s="29">
        <v>1</v>
      </c>
      <c r="T248" s="33">
        <v>50</v>
      </c>
      <c r="U248" s="33">
        <v>0</v>
      </c>
      <c r="X248" s="33" t="s">
        <v>1026</v>
      </c>
      <c r="Y248" s="33" t="s">
        <v>1030</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1016</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1015</v>
      </c>
      <c r="F264" s="76">
        <v>12</v>
      </c>
      <c r="J264" s="30" t="s">
        <v>299</v>
      </c>
      <c r="K264" s="61">
        <f>VLOOKUP($A264, Stat!$A$1:$C$1000, 2,0)</f>
        <v>0</v>
      </c>
      <c r="L264" s="61">
        <f>VLOOKUP($A264, Stat!$A$1:$C$1000, 3,0)</f>
        <v>0</v>
      </c>
      <c r="M264" s="29">
        <v>1</v>
      </c>
      <c r="T264" s="33">
        <v>50</v>
      </c>
      <c r="U264" s="33">
        <v>0</v>
      </c>
      <c r="Y264" s="33" t="s">
        <v>1017</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1014</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1034</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1034</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1034</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1035</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1035</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1035</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1036</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1033</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1033</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1021</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1019</v>
      </c>
      <c r="F469" s="29">
        <v>7</v>
      </c>
      <c r="G469" s="29">
        <v>3</v>
      </c>
      <c r="T469" s="33">
        <v>100</v>
      </c>
      <c r="U469" s="33">
        <v>0</v>
      </c>
      <c r="W469" s="33" t="s">
        <v>941</v>
      </c>
    </row>
    <row r="470" spans="1:25" x14ac:dyDescent="0.2">
      <c r="A470" s="33">
        <v>172</v>
      </c>
      <c r="B470" s="33" t="s">
        <v>13</v>
      </c>
      <c r="C470" s="33" t="s">
        <v>13</v>
      </c>
      <c r="D470" s="33" t="s">
        <v>1000</v>
      </c>
      <c r="E470" s="33" t="s">
        <v>1020</v>
      </c>
      <c r="T470" s="33">
        <v>50</v>
      </c>
      <c r="U470" s="33">
        <v>0</v>
      </c>
      <c r="W470" s="33" t="s">
        <v>36</v>
      </c>
      <c r="Y470" s="33" t="s">
        <v>1022</v>
      </c>
    </row>
    <row r="471" spans="1:25" x14ac:dyDescent="0.2">
      <c r="A471" s="33">
        <v>173</v>
      </c>
      <c r="B471" s="33" t="s">
        <v>13</v>
      </c>
      <c r="C471" s="33" t="s">
        <v>676</v>
      </c>
      <c r="D471" s="33" t="s">
        <v>1023</v>
      </c>
      <c r="E471" s="33" t="s">
        <v>1027</v>
      </c>
      <c r="F471" s="29">
        <v>7</v>
      </c>
      <c r="G471" s="29">
        <v>3</v>
      </c>
      <c r="T471" s="33">
        <v>50</v>
      </c>
      <c r="U471" s="33">
        <v>0</v>
      </c>
      <c r="X471" s="33" t="s">
        <v>1026</v>
      </c>
      <c r="Y471" s="33" t="s">
        <v>1031</v>
      </c>
    </row>
    <row r="472" spans="1:25" x14ac:dyDescent="0.2">
      <c r="A472" s="33">
        <v>174</v>
      </c>
      <c r="B472" s="33" t="s">
        <v>13</v>
      </c>
      <c r="C472" s="33" t="s">
        <v>676</v>
      </c>
      <c r="D472" s="33" t="s">
        <v>1023</v>
      </c>
      <c r="E472" s="33" t="s">
        <v>1028</v>
      </c>
      <c r="F472" s="29">
        <v>7</v>
      </c>
      <c r="G472" s="29">
        <v>3</v>
      </c>
      <c r="T472" s="33">
        <v>50</v>
      </c>
      <c r="U472" s="33">
        <v>0</v>
      </c>
      <c r="X472" s="33" t="s">
        <v>1026</v>
      </c>
      <c r="Y472" s="33" t="s">
        <v>1032</v>
      </c>
    </row>
    <row r="473" spans="1:25" x14ac:dyDescent="0.2">
      <c r="A473" s="33">
        <v>197</v>
      </c>
      <c r="B473" s="33" t="s">
        <v>29</v>
      </c>
      <c r="C473" s="33" t="s">
        <v>29</v>
      </c>
      <c r="D473" s="33" t="s">
        <v>1040</v>
      </c>
      <c r="E473" s="33" t="s">
        <v>1041</v>
      </c>
      <c r="T473" s="33">
        <v>50</v>
      </c>
      <c r="U473" s="33">
        <v>0</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9"/>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198</v>
      </c>
    </row>
    <row r="13" spans="1:1" x14ac:dyDescent="0.2">
      <c r="A13">
        <v>203</v>
      </c>
    </row>
    <row r="14" spans="1:1" x14ac:dyDescent="0.2">
      <c r="A14">
        <v>222</v>
      </c>
    </row>
    <row r="15" spans="1:1" x14ac:dyDescent="0.2">
      <c r="A15">
        <v>224</v>
      </c>
    </row>
    <row r="16" spans="1:1" x14ac:dyDescent="0.2">
      <c r="A16">
        <v>259</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281</v>
      </c>
    </row>
    <row r="25" spans="1:1" x14ac:dyDescent="0.2">
      <c r="A25">
        <v>283</v>
      </c>
    </row>
    <row r="26" spans="1:1" x14ac:dyDescent="0.2">
      <c r="A26">
        <v>284</v>
      </c>
    </row>
    <row r="27" spans="1:1" x14ac:dyDescent="0.2">
      <c r="A27">
        <v>285</v>
      </c>
    </row>
    <row r="28" spans="1:1" x14ac:dyDescent="0.2">
      <c r="A28">
        <v>299</v>
      </c>
    </row>
    <row r="29" spans="1:1" x14ac:dyDescent="0.2">
      <c r="A29">
        <v>300</v>
      </c>
    </row>
    <row r="30" spans="1:1" x14ac:dyDescent="0.2">
      <c r="A30">
        <v>304</v>
      </c>
    </row>
    <row r="31" spans="1:1" x14ac:dyDescent="0.2">
      <c r="A31">
        <v>319</v>
      </c>
    </row>
    <row r="32" spans="1:1" x14ac:dyDescent="0.2">
      <c r="A32">
        <v>320</v>
      </c>
    </row>
    <row r="33" spans="1:1" x14ac:dyDescent="0.2">
      <c r="A33">
        <v>327</v>
      </c>
    </row>
    <row r="34" spans="1:1" x14ac:dyDescent="0.2">
      <c r="A34">
        <v>328</v>
      </c>
    </row>
    <row r="35" spans="1:1" x14ac:dyDescent="0.2">
      <c r="A35">
        <v>336</v>
      </c>
    </row>
    <row r="36" spans="1:1" x14ac:dyDescent="0.2">
      <c r="A36">
        <v>337</v>
      </c>
    </row>
    <row r="37" spans="1:1" x14ac:dyDescent="0.2">
      <c r="A37">
        <v>338</v>
      </c>
    </row>
    <row r="38" spans="1:1" x14ac:dyDescent="0.2">
      <c r="A38">
        <v>339</v>
      </c>
    </row>
    <row r="39" spans="1:1" x14ac:dyDescent="0.2">
      <c r="A39">
        <v>340</v>
      </c>
    </row>
    <row r="40" spans="1:1" x14ac:dyDescent="0.2">
      <c r="A40">
        <v>351</v>
      </c>
    </row>
    <row r="41" spans="1:1" x14ac:dyDescent="0.2">
      <c r="A41">
        <v>352</v>
      </c>
    </row>
    <row r="42" spans="1:1" x14ac:dyDescent="0.2">
      <c r="A42">
        <v>353</v>
      </c>
    </row>
    <row r="43" spans="1:1" x14ac:dyDescent="0.2">
      <c r="A43">
        <v>354</v>
      </c>
    </row>
    <row r="44" spans="1:1" x14ac:dyDescent="0.2">
      <c r="A44">
        <v>355</v>
      </c>
    </row>
    <row r="45" spans="1:1" x14ac:dyDescent="0.2">
      <c r="A45">
        <v>356</v>
      </c>
    </row>
    <row r="46" spans="1:1" x14ac:dyDescent="0.2">
      <c r="A46">
        <v>357</v>
      </c>
    </row>
    <row r="47" spans="1:1" x14ac:dyDescent="0.2">
      <c r="A47">
        <v>358</v>
      </c>
    </row>
    <row r="48" spans="1:1" x14ac:dyDescent="0.2">
      <c r="A48">
        <v>359</v>
      </c>
    </row>
    <row r="49" spans="1:1" x14ac:dyDescent="0.2">
      <c r="A49">
        <v>380</v>
      </c>
    </row>
    <row r="50" spans="1:1" x14ac:dyDescent="0.2">
      <c r="A50">
        <v>381</v>
      </c>
    </row>
    <row r="51" spans="1:1" x14ac:dyDescent="0.2">
      <c r="A51">
        <v>382</v>
      </c>
    </row>
    <row r="52" spans="1:1" x14ac:dyDescent="0.2">
      <c r="A52">
        <v>384</v>
      </c>
    </row>
    <row r="53" spans="1:1" x14ac:dyDescent="0.2">
      <c r="A53">
        <v>395</v>
      </c>
    </row>
    <row r="54" spans="1:1" x14ac:dyDescent="0.2">
      <c r="A54">
        <v>396</v>
      </c>
    </row>
    <row r="55" spans="1:1" x14ac:dyDescent="0.2">
      <c r="A55">
        <v>397</v>
      </c>
    </row>
    <row r="56" spans="1:1" x14ac:dyDescent="0.2">
      <c r="A56">
        <v>409</v>
      </c>
    </row>
    <row r="57" spans="1:1" x14ac:dyDescent="0.2">
      <c r="A57">
        <v>410</v>
      </c>
    </row>
    <row r="58" spans="1:1" x14ac:dyDescent="0.2">
      <c r="A58">
        <v>421</v>
      </c>
    </row>
    <row r="59" spans="1:1" x14ac:dyDescent="0.2">
      <c r="A59">
        <v>422</v>
      </c>
    </row>
    <row r="60" spans="1:1" x14ac:dyDescent="0.2">
      <c r="A60">
        <v>423</v>
      </c>
    </row>
    <row r="61" spans="1:1" x14ac:dyDescent="0.2">
      <c r="A61">
        <v>424</v>
      </c>
    </row>
    <row r="62" spans="1:1" x14ac:dyDescent="0.2">
      <c r="A62">
        <v>425</v>
      </c>
    </row>
    <row r="63" spans="1:1" x14ac:dyDescent="0.2">
      <c r="A63">
        <v>426</v>
      </c>
    </row>
    <row r="64" spans="1:1" x14ac:dyDescent="0.2">
      <c r="A64">
        <v>438</v>
      </c>
    </row>
    <row r="65" spans="1:1" x14ac:dyDescent="0.2">
      <c r="A65">
        <v>439</v>
      </c>
    </row>
    <row r="66" spans="1:1" x14ac:dyDescent="0.2">
      <c r="A66">
        <v>440</v>
      </c>
    </row>
    <row r="67" spans="1:1" x14ac:dyDescent="0.2">
      <c r="A67">
        <v>441</v>
      </c>
    </row>
    <row r="68" spans="1:1" x14ac:dyDescent="0.2">
      <c r="A68">
        <v>442</v>
      </c>
    </row>
    <row r="69" spans="1:1" x14ac:dyDescent="0.2">
      <c r="A69">
        <v>443</v>
      </c>
    </row>
    <row r="70" spans="1:1" x14ac:dyDescent="0.2">
      <c r="A70">
        <v>444</v>
      </c>
    </row>
    <row r="71" spans="1:1" x14ac:dyDescent="0.2">
      <c r="A71">
        <v>445</v>
      </c>
    </row>
    <row r="72" spans="1:1" x14ac:dyDescent="0.2">
      <c r="A72">
        <v>446</v>
      </c>
    </row>
    <row r="73" spans="1:1" x14ac:dyDescent="0.2">
      <c r="A73">
        <v>447</v>
      </c>
    </row>
    <row r="74" spans="1:1" x14ac:dyDescent="0.2">
      <c r="A74">
        <v>448</v>
      </c>
    </row>
    <row r="75" spans="1:1" x14ac:dyDescent="0.2">
      <c r="A75">
        <v>449</v>
      </c>
    </row>
    <row r="76" spans="1:1" x14ac:dyDescent="0.2">
      <c r="A76">
        <v>450</v>
      </c>
    </row>
    <row r="77" spans="1:1" x14ac:dyDescent="0.2">
      <c r="A77">
        <v>451</v>
      </c>
    </row>
    <row r="78" spans="1:1" x14ac:dyDescent="0.2">
      <c r="A78">
        <v>452</v>
      </c>
    </row>
    <row r="79" spans="1:1" x14ac:dyDescent="0.2">
      <c r="A79">
        <v>453</v>
      </c>
    </row>
    <row r="80" spans="1:1" x14ac:dyDescent="0.2">
      <c r="A80">
        <v>454</v>
      </c>
    </row>
    <row r="81" spans="1:1" x14ac:dyDescent="0.2">
      <c r="A81">
        <v>455</v>
      </c>
    </row>
    <row r="82" spans="1:1" x14ac:dyDescent="0.2">
      <c r="A82">
        <v>456</v>
      </c>
    </row>
    <row r="83" spans="1:1" x14ac:dyDescent="0.2">
      <c r="A83">
        <v>457</v>
      </c>
    </row>
    <row r="84" spans="1:1" x14ac:dyDescent="0.2">
      <c r="A84">
        <v>480</v>
      </c>
    </row>
    <row r="85" spans="1:1" x14ac:dyDescent="0.2">
      <c r="A85">
        <v>483</v>
      </c>
    </row>
    <row r="86" spans="1:1" x14ac:dyDescent="0.2">
      <c r="A86">
        <v>539</v>
      </c>
    </row>
    <row r="87" spans="1:1" x14ac:dyDescent="0.2">
      <c r="A87">
        <v>540</v>
      </c>
    </row>
    <row r="88" spans="1:1" x14ac:dyDescent="0.2">
      <c r="A88">
        <v>554</v>
      </c>
    </row>
    <row r="89" spans="1:1" x14ac:dyDescent="0.2">
      <c r="A89">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2018-08-04T12:42:05Z</cp:lastPrinted>
  <dcterms:created xsi:type="dcterms:W3CDTF">2017-05-23T20:19:34Z</dcterms:created>
  <dcterms:modified xsi:type="dcterms:W3CDTF">2018-11-20T19:16:58Z</dcterms:modified>
</cp:coreProperties>
</file>