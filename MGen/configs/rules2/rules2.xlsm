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E478CFB-2A7B-4ADC-8610-FE0652E58883}" xr6:coauthVersionLast="40" xr6:coauthVersionMax="40" xr10:uidLastSave="{00000000-0000-0000-0000-000000000000}"/>
  <bookViews>
    <workbookView xWindow="-120" yWindow="-120" windowWidth="38640" windowHeight="1584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<sst xmlns="http://schemas.openxmlformats.org/spreadsheetml/2006/main" count="4285" uniqueCount="1008">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</sst>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zoomScale="115" zoomScaleNormal="115" workbookViewId="0">
      <pane ySplit="1" topLeftCell="A2" activePane="bottomLeft" state="frozen"/>
      <selection activeCell="C37" sqref="C37"/>
      <selection pane="bottomLeft" activeCell="F20" sqref="F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946</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947</v>
      </c>
      <c r="D4" s="3"/>
      <c r="E4" s="3"/>
      <c r="F4" s="75" t="s">
        <v>909</v>
      </c>
      <c r="G4" s="3"/>
      <c r="H4" s="3"/>
      <c r="I4" s="3"/>
      <c r="J4" s="3"/>
      <c r="K4" s="3"/>
      <c r="L4" s="3"/>
      <c r="M4" s="3"/>
      <c r="O4" s="14"/>
      <c r="Q4" s="110">
        <v>237</v>
      </c>
      <c r="R4" s="110"/>
      <c r="S4" s="110"/>
      <c r="T4" s="110"/>
      <c r="U4" s="1"/>
      <c r="V4" s="1"/>
      <c r="W4" s="1"/>
      <c r="X4" s="1"/>
    </row>
    <row r="5" spans="1:24" ht="13.15" customHeight="1" x14ac:dyDescent="0.2">
      <c r="A5" s="140"/>
      <c r="B5" s="143"/>
      <c r="C5" s="83" t="s">
        <v>948</v>
      </c>
      <c r="D5" s="3"/>
      <c r="E5" s="3"/>
      <c r="F5" s="75" t="s">
        <v>885</v>
      </c>
      <c r="G5" s="3"/>
      <c r="H5" s="3"/>
      <c r="I5" s="3"/>
      <c r="J5" s="3"/>
      <c r="K5" s="3"/>
      <c r="L5" s="3"/>
      <c r="M5" s="3"/>
      <c r="O5" s="14"/>
      <c r="Q5" s="110">
        <v>530</v>
      </c>
      <c r="R5" s="1"/>
      <c r="S5" s="1"/>
      <c r="T5" s="1"/>
      <c r="U5" s="1"/>
      <c r="V5" s="1"/>
      <c r="W5" s="1"/>
      <c r="X5" s="1"/>
    </row>
    <row r="6" spans="1:24" x14ac:dyDescent="0.2">
      <c r="A6" s="140"/>
      <c r="B6" s="143"/>
      <c r="C6" s="19" t="s">
        <v>473</v>
      </c>
      <c r="D6" s="3"/>
      <c r="E6" s="3"/>
      <c r="F6" s="75" t="s">
        <v>886</v>
      </c>
      <c r="G6" s="3"/>
      <c r="H6" s="3"/>
      <c r="I6" s="3"/>
      <c r="J6" s="3"/>
      <c r="K6" s="3"/>
      <c r="L6" s="3"/>
      <c r="M6" s="3"/>
      <c r="N6" s="4"/>
      <c r="O6" s="18"/>
      <c r="Q6" s="110">
        <v>247</v>
      </c>
      <c r="R6" s="107"/>
      <c r="S6" s="107"/>
      <c r="T6" s="1"/>
      <c r="U6" s="1"/>
      <c r="V6" s="1"/>
      <c r="W6" s="1"/>
      <c r="X6" s="1"/>
    </row>
    <row r="7" spans="1:24" x14ac:dyDescent="0.2">
      <c r="A7" s="140"/>
      <c r="B7" s="143"/>
      <c r="C7" s="19" t="s">
        <v>950</v>
      </c>
      <c r="D7" s="3"/>
      <c r="E7" s="3"/>
      <c r="F7" s="4" t="s">
        <v>886</v>
      </c>
      <c r="G7" s="3"/>
      <c r="H7" s="3"/>
      <c r="I7" s="3"/>
      <c r="J7" s="3"/>
      <c r="K7" s="3"/>
      <c r="L7" s="3"/>
      <c r="M7" s="3"/>
      <c r="N7" s="4"/>
      <c r="O7" s="18"/>
      <c r="Q7" s="110">
        <v>549</v>
      </c>
      <c r="R7" s="107"/>
      <c r="S7" s="107"/>
      <c r="T7" s="1"/>
      <c r="U7" s="1"/>
      <c r="V7" s="1"/>
      <c r="W7" s="1"/>
      <c r="X7" s="1"/>
    </row>
    <row r="8" spans="1:24" x14ac:dyDescent="0.2">
      <c r="A8" s="140"/>
      <c r="B8" s="143"/>
      <c r="C8" s="19" t="s">
        <v>949</v>
      </c>
      <c r="D8" s="3"/>
      <c r="E8" s="3"/>
      <c r="F8" s="75" t="s">
        <v>886</v>
      </c>
      <c r="G8" s="3"/>
      <c r="H8" s="3"/>
      <c r="I8" s="3"/>
      <c r="J8" s="3"/>
      <c r="K8" s="3"/>
      <c r="L8" s="3"/>
      <c r="M8" s="3"/>
      <c r="N8" s="4"/>
      <c r="O8" s="18" t="s">
        <v>924</v>
      </c>
      <c r="Q8" s="110">
        <v>215</v>
      </c>
      <c r="R8" s="107"/>
      <c r="S8" s="107"/>
      <c r="T8" s="1"/>
      <c r="U8" s="1"/>
      <c r="V8" s="1"/>
      <c r="W8" s="1"/>
      <c r="X8" s="1"/>
    </row>
    <row r="9" spans="1:24" x14ac:dyDescent="0.2">
      <c r="A9" s="140"/>
      <c r="B9" s="143"/>
      <c r="C9" s="19" t="s">
        <v>472</v>
      </c>
      <c r="D9" s="3"/>
      <c r="E9" s="3"/>
      <c r="F9" s="4" t="s">
        <v>100</v>
      </c>
      <c r="G9" s="75" t="s">
        <v>99</v>
      </c>
      <c r="H9" s="75" t="s">
        <v>96</v>
      </c>
      <c r="I9" s="75" t="s">
        <v>759</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887</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951</v>
      </c>
      <c r="D13" s="3"/>
      <c r="E13" s="3"/>
      <c r="F13" s="75" t="s">
        <v>888</v>
      </c>
      <c r="G13" s="3"/>
      <c r="H13" s="3"/>
      <c r="I13" s="3"/>
      <c r="J13" s="3"/>
      <c r="K13" s="3"/>
      <c r="L13" s="3"/>
      <c r="M13" s="3"/>
      <c r="N13" s="13"/>
      <c r="O13" s="18"/>
      <c r="Q13" s="109">
        <v>525</v>
      </c>
      <c r="R13" s="1"/>
      <c r="S13" s="1"/>
      <c r="T13" s="107"/>
      <c r="U13" s="107"/>
      <c r="V13" s="1"/>
      <c r="W13" s="1"/>
      <c r="X13" s="1"/>
    </row>
    <row r="14" spans="1:24" x14ac:dyDescent="0.2">
      <c r="A14" s="140"/>
      <c r="B14" s="143"/>
      <c r="C14" s="19" t="s">
        <v>952</v>
      </c>
      <c r="D14" s="3"/>
      <c r="E14" s="3"/>
      <c r="F14" s="75" t="s">
        <v>889</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980</v>
      </c>
      <c r="D16" s="3"/>
      <c r="E16" s="3"/>
      <c r="F16" s="75" t="s">
        <v>979</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837</v>
      </c>
      <c r="G17" s="40" t="s">
        <v>773</v>
      </c>
      <c r="H17" s="40" t="s">
        <v>836</v>
      </c>
      <c r="I17" s="24"/>
      <c r="J17" s="24"/>
      <c r="K17" s="24"/>
      <c r="L17" s="24"/>
      <c r="M17" s="24"/>
      <c r="N17" s="10"/>
      <c r="O17" s="18" t="s">
        <v>774</v>
      </c>
      <c r="Q17" s="113">
        <v>244</v>
      </c>
      <c r="R17" s="113">
        <v>427</v>
      </c>
      <c r="S17" s="113">
        <v>274</v>
      </c>
      <c r="W17" s="107"/>
      <c r="X17" s="1"/>
    </row>
    <row r="18" spans="1:25" x14ac:dyDescent="0.2">
      <c r="A18" s="140"/>
      <c r="B18" s="143"/>
      <c r="C18" s="19" t="s">
        <v>722</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969</v>
      </c>
      <c r="I19" s="3"/>
      <c r="J19" s="24"/>
      <c r="K19" s="24"/>
      <c r="L19" s="24"/>
      <c r="M19" s="24"/>
      <c r="N19" s="4"/>
      <c r="O19" s="18"/>
      <c r="Q19" s="108">
        <v>301</v>
      </c>
      <c r="R19" s="109">
        <v>245</v>
      </c>
      <c r="S19" s="108">
        <v>246</v>
      </c>
      <c r="T19" s="1"/>
      <c r="U19" s="1"/>
      <c r="V19" s="1"/>
      <c r="W19" s="1"/>
      <c r="X19" s="1"/>
    </row>
    <row r="20" spans="1:25" x14ac:dyDescent="0.2">
      <c r="A20" s="140"/>
      <c r="B20" s="137" t="s">
        <v>727</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953</v>
      </c>
      <c r="D21" s="3"/>
      <c r="E21" s="3"/>
      <c r="F21" s="75" t="s">
        <v>890</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719</v>
      </c>
      <c r="C25" s="19" t="s">
        <v>752</v>
      </c>
      <c r="D25" s="3"/>
      <c r="E25" s="3"/>
      <c r="F25" s="75" t="s">
        <v>753</v>
      </c>
      <c r="G25" s="75" t="s">
        <v>754</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861</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789</v>
      </c>
      <c r="D37" s="3">
        <v>35</v>
      </c>
      <c r="E37" s="3"/>
      <c r="F37" s="4" t="s">
        <v>2</v>
      </c>
      <c r="G37" s="4" t="s">
        <v>3</v>
      </c>
      <c r="H37" s="4" t="s">
        <v>4</v>
      </c>
      <c r="I37" s="4" t="s">
        <v>34</v>
      </c>
      <c r="J37" s="3"/>
      <c r="K37" s="3"/>
      <c r="L37" s="3"/>
      <c r="M37" s="3"/>
      <c r="N37" s="10"/>
      <c r="O37" s="18" t="s">
        <v>792</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790</v>
      </c>
      <c r="D41" s="3">
        <v>35</v>
      </c>
      <c r="E41" s="3"/>
      <c r="F41" s="4" t="s">
        <v>2</v>
      </c>
      <c r="G41" s="4" t="s">
        <v>3</v>
      </c>
      <c r="H41" s="4" t="s">
        <v>4</v>
      </c>
      <c r="I41" s="4" t="s">
        <v>34</v>
      </c>
      <c r="J41" s="3"/>
      <c r="K41" s="3"/>
      <c r="L41" s="3"/>
      <c r="M41" s="3"/>
      <c r="N41" s="10"/>
      <c r="O41" s="18" t="s">
        <v>793</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791</v>
      </c>
      <c r="D48" s="3">
        <v>35</v>
      </c>
      <c r="E48" s="3"/>
      <c r="F48" s="4" t="s">
        <v>2</v>
      </c>
      <c r="G48" s="4" t="s">
        <v>3</v>
      </c>
      <c r="H48" s="4" t="s">
        <v>4</v>
      </c>
      <c r="I48" s="4" t="s">
        <v>34</v>
      </c>
      <c r="J48" s="3"/>
      <c r="K48" s="3"/>
      <c r="L48" s="3"/>
      <c r="M48" s="3"/>
      <c r="N48" s="4"/>
      <c r="O48" s="18" t="s">
        <v>794</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972</v>
      </c>
      <c r="G73" s="40" t="s">
        <v>973</v>
      </c>
      <c r="H73" s="40" t="s">
        <v>974</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972</v>
      </c>
      <c r="G74" s="40" t="s">
        <v>973</v>
      </c>
      <c r="H74" s="40" t="s">
        <v>974</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862</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746</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746</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746</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747</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746</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747</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863</v>
      </c>
      <c r="Q95" s="109">
        <v>70</v>
      </c>
      <c r="R95" s="108">
        <v>71</v>
      </c>
      <c r="S95" s="1"/>
      <c r="T95" s="1"/>
      <c r="U95" s="1"/>
      <c r="V95" s="1"/>
      <c r="W95" s="1"/>
      <c r="X95" s="1"/>
    </row>
    <row r="96" spans="1:24" ht="15.95" customHeight="1" x14ac:dyDescent="0.2">
      <c r="A96" s="136"/>
      <c r="B96" s="138"/>
      <c r="C96" s="19" t="s">
        <v>559</v>
      </c>
      <c r="D96" s="3"/>
      <c r="E96" s="3"/>
      <c r="F96" s="76" t="s">
        <v>891</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864</v>
      </c>
      <c r="Q97" s="108">
        <v>10</v>
      </c>
      <c r="R97" s="109">
        <v>39</v>
      </c>
      <c r="S97" s="1"/>
      <c r="T97" s="1"/>
      <c r="U97" s="1"/>
      <c r="V97" s="1"/>
      <c r="W97" s="1"/>
      <c r="X97" s="1"/>
    </row>
    <row r="98" spans="1:25" ht="15.95" customHeight="1" x14ac:dyDescent="0.2">
      <c r="A98" s="136"/>
      <c r="B98" s="139"/>
      <c r="C98" s="79" t="s">
        <v>182</v>
      </c>
      <c r="D98" s="3"/>
      <c r="E98" s="3"/>
      <c r="F98" s="38" t="s">
        <v>802</v>
      </c>
      <c r="G98" s="52" t="s">
        <v>803</v>
      </c>
      <c r="H98" s="38" t="s">
        <v>804</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892</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954</v>
      </c>
      <c r="D108" s="3"/>
      <c r="E108" s="3"/>
      <c r="F108" s="75" t="s">
        <v>893</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986</v>
      </c>
      <c r="D109" s="3"/>
      <c r="E109" s="3"/>
      <c r="F109" s="76" t="s">
        <v>675</v>
      </c>
      <c r="G109" s="39" t="s">
        <v>674</v>
      </c>
      <c r="H109" s="3"/>
      <c r="I109" s="3"/>
      <c r="J109" s="3"/>
      <c r="K109" s="3"/>
      <c r="L109" s="3"/>
      <c r="M109" s="3"/>
      <c r="N109" s="13"/>
      <c r="O109" s="18" t="s">
        <v>865</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755</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766</v>
      </c>
      <c r="Q119" s="109">
        <v>199</v>
      </c>
      <c r="R119" s="1"/>
      <c r="S119" s="1"/>
      <c r="T119" s="1"/>
      <c r="U119" s="1"/>
      <c r="V119" s="1"/>
      <c r="W119" s="1"/>
      <c r="X119" s="1"/>
    </row>
    <row r="120" spans="1:25" x14ac:dyDescent="0.2">
      <c r="A120" s="136"/>
      <c r="B120" s="138"/>
      <c r="C120" s="83" t="s">
        <v>955</v>
      </c>
      <c r="D120" s="3">
        <v>12350</v>
      </c>
      <c r="E120" s="3"/>
      <c r="F120" s="75" t="s">
        <v>957</v>
      </c>
      <c r="G120" s="3"/>
      <c r="H120" s="3"/>
      <c r="I120" s="3"/>
      <c r="J120" s="3"/>
      <c r="K120" s="3"/>
      <c r="L120" s="3"/>
      <c r="M120" s="3"/>
      <c r="N120" s="4"/>
      <c r="O120" s="18" t="s">
        <v>749</v>
      </c>
      <c r="Q120" s="109">
        <v>201</v>
      </c>
      <c r="R120" s="1"/>
      <c r="S120" s="1"/>
      <c r="T120" s="1"/>
      <c r="U120" s="1"/>
      <c r="V120" s="1"/>
      <c r="W120" s="1"/>
      <c r="X120" s="1"/>
    </row>
    <row r="121" spans="1:25" x14ac:dyDescent="0.2">
      <c r="A121" s="136"/>
      <c r="B121" s="138"/>
      <c r="C121" s="83" t="s">
        <v>956</v>
      </c>
      <c r="D121" s="3">
        <v>12350</v>
      </c>
      <c r="E121" s="3"/>
      <c r="F121" s="75" t="s">
        <v>958</v>
      </c>
      <c r="G121" s="3"/>
      <c r="H121" s="3"/>
      <c r="I121" s="3"/>
      <c r="J121" s="3"/>
      <c r="K121" s="3"/>
      <c r="L121" s="3"/>
      <c r="M121" s="3"/>
      <c r="N121" s="4"/>
      <c r="O121" s="18" t="s">
        <v>750</v>
      </c>
      <c r="Q121" s="109">
        <v>202</v>
      </c>
      <c r="R121" s="1"/>
      <c r="S121" s="1"/>
      <c r="T121" s="1"/>
      <c r="U121" s="1"/>
      <c r="V121" s="1"/>
      <c r="W121" s="1"/>
      <c r="X121" s="1"/>
    </row>
    <row r="122" spans="1:25" x14ac:dyDescent="0.2">
      <c r="A122" s="136"/>
      <c r="B122" s="138"/>
      <c r="C122" s="83" t="s">
        <v>676</v>
      </c>
      <c r="D122" s="3"/>
      <c r="E122" s="3"/>
      <c r="F122" s="40" t="s">
        <v>894</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799</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783</v>
      </c>
      <c r="D126" s="3"/>
      <c r="E126" s="3"/>
      <c r="F126" s="40" t="s">
        <v>56</v>
      </c>
      <c r="G126" s="40" t="s">
        <v>57</v>
      </c>
      <c r="H126" s="3"/>
      <c r="I126" s="3"/>
      <c r="J126" s="3"/>
      <c r="K126" s="3"/>
      <c r="L126" s="3"/>
      <c r="M126" s="3"/>
      <c r="N126" s="13"/>
      <c r="O126" s="18" t="s">
        <v>731</v>
      </c>
      <c r="Q126" s="111">
        <v>377</v>
      </c>
      <c r="R126" s="111">
        <v>378</v>
      </c>
      <c r="S126" s="1"/>
      <c r="T126" s="1"/>
      <c r="U126" s="1"/>
      <c r="V126" s="1"/>
      <c r="W126" s="1"/>
      <c r="X126" s="1"/>
    </row>
    <row r="127" spans="1:25" ht="12.75" customHeight="1" x14ac:dyDescent="0.2">
      <c r="A127" s="142"/>
      <c r="B127" s="139"/>
      <c r="C127" s="19" t="s">
        <v>784</v>
      </c>
      <c r="D127" s="3"/>
      <c r="E127" s="3"/>
      <c r="F127" s="75" t="s">
        <v>56</v>
      </c>
      <c r="G127" s="75" t="s">
        <v>57</v>
      </c>
      <c r="H127" s="3"/>
      <c r="I127" s="3"/>
      <c r="J127" s="3"/>
      <c r="K127" s="3"/>
      <c r="L127" s="3"/>
      <c r="M127" s="3"/>
      <c r="N127" s="13"/>
      <c r="O127" s="18" t="s">
        <v>731</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866</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867</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725</v>
      </c>
      <c r="D131" s="3"/>
      <c r="E131" s="3"/>
      <c r="F131" s="40" t="s">
        <v>895</v>
      </c>
      <c r="G131" s="3"/>
      <c r="H131" s="3"/>
      <c r="I131" s="3"/>
      <c r="J131" s="3"/>
      <c r="K131" s="3"/>
      <c r="L131" s="3"/>
      <c r="M131" s="3"/>
      <c r="N131" s="10"/>
      <c r="O131" s="18" t="s">
        <v>729</v>
      </c>
      <c r="Q131" s="109">
        <v>555</v>
      </c>
      <c r="R131" s="1"/>
      <c r="S131" s="1"/>
      <c r="T131" s="1"/>
      <c r="U131" s="1"/>
      <c r="V131" s="1"/>
      <c r="W131" s="1"/>
      <c r="X131" s="1"/>
    </row>
    <row r="132" spans="1:24" ht="15.95" customHeight="1" x14ac:dyDescent="0.2">
      <c r="A132" s="142"/>
      <c r="B132" s="143"/>
      <c r="C132" s="19" t="s">
        <v>730</v>
      </c>
      <c r="D132" s="3"/>
      <c r="E132" s="3"/>
      <c r="F132" s="40" t="s">
        <v>896</v>
      </c>
      <c r="G132" s="3"/>
      <c r="H132" s="3"/>
      <c r="I132" s="3"/>
      <c r="J132" s="3"/>
      <c r="K132" s="3"/>
      <c r="L132" s="3"/>
      <c r="M132" s="3"/>
      <c r="N132" s="10"/>
      <c r="O132" s="18" t="s">
        <v>786</v>
      </c>
      <c r="Q132" s="109">
        <v>558</v>
      </c>
      <c r="R132" s="1"/>
      <c r="S132" s="1"/>
      <c r="T132" s="1"/>
      <c r="U132" s="1"/>
      <c r="V132" s="1"/>
      <c r="W132" s="1"/>
      <c r="X132" s="1"/>
    </row>
    <row r="133" spans="1:24" ht="15.95" customHeight="1" x14ac:dyDescent="0.2">
      <c r="A133" s="142"/>
      <c r="B133" s="143"/>
      <c r="C133" s="19" t="s">
        <v>728</v>
      </c>
      <c r="D133" s="3"/>
      <c r="E133" s="3"/>
      <c r="F133" s="75" t="s">
        <v>930</v>
      </c>
      <c r="G133" s="75" t="s">
        <v>800</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931</v>
      </c>
      <c r="D134" s="3"/>
      <c r="E134" s="3" t="s">
        <v>35</v>
      </c>
      <c r="F134" s="75" t="s">
        <v>932</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724</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855</v>
      </c>
      <c r="D137" s="3"/>
      <c r="E137" s="3" t="s">
        <v>689</v>
      </c>
      <c r="F137" s="75" t="s">
        <v>897</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855</v>
      </c>
      <c r="D138" s="3"/>
      <c r="E138" s="3" t="s">
        <v>35</v>
      </c>
      <c r="F138" s="75" t="s">
        <v>897</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845</v>
      </c>
      <c r="D140" s="3"/>
      <c r="E140" s="3"/>
      <c r="F140" s="77" t="s">
        <v>846</v>
      </c>
      <c r="G140" s="77" t="s">
        <v>844</v>
      </c>
      <c r="H140" s="77" t="s">
        <v>843</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906</v>
      </c>
      <c r="Q142" s="109">
        <v>418</v>
      </c>
      <c r="R142" s="109">
        <v>99</v>
      </c>
      <c r="S142" s="109">
        <v>321</v>
      </c>
      <c r="T142" s="1"/>
      <c r="U142" s="1"/>
      <c r="V142" s="1"/>
      <c r="W142" s="1"/>
      <c r="X142" s="1"/>
    </row>
    <row r="143" spans="1:24" ht="13.15" customHeight="1" x14ac:dyDescent="0.2">
      <c r="A143" s="142"/>
      <c r="B143" s="138" t="s">
        <v>41</v>
      </c>
      <c r="C143" s="19" t="s">
        <v>785</v>
      </c>
      <c r="D143" s="3"/>
      <c r="E143" s="3"/>
      <c r="F143" s="75" t="s">
        <v>898</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899</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899</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899</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900</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900</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856</v>
      </c>
      <c r="D155" s="3"/>
      <c r="E155" s="3" t="s">
        <v>624</v>
      </c>
      <c r="F155" s="4" t="s">
        <v>98</v>
      </c>
      <c r="G155" s="4" t="s">
        <v>199</v>
      </c>
      <c r="H155" s="4" t="s">
        <v>777</v>
      </c>
      <c r="I155" s="40" t="s">
        <v>39</v>
      </c>
      <c r="J155" s="75" t="s">
        <v>981</v>
      </c>
      <c r="K155" s="75" t="s">
        <v>776</v>
      </c>
      <c r="L155" s="3"/>
      <c r="M155" s="3"/>
      <c r="N155" s="13"/>
      <c r="O155" s="18" t="s">
        <v>858</v>
      </c>
      <c r="Q155" s="109">
        <v>248</v>
      </c>
      <c r="R155" s="109">
        <v>376</v>
      </c>
      <c r="S155" s="109">
        <v>249</v>
      </c>
      <c r="T155" s="109">
        <v>316</v>
      </c>
      <c r="U155" s="109">
        <v>385</v>
      </c>
      <c r="V155" s="109">
        <v>250</v>
      </c>
      <c r="W155" s="1"/>
    </row>
    <row r="156" spans="1:24" x14ac:dyDescent="0.2">
      <c r="A156" s="142"/>
      <c r="B156" s="138"/>
      <c r="C156" s="19" t="s">
        <v>856</v>
      </c>
      <c r="D156" s="3"/>
      <c r="E156" s="3" t="s">
        <v>693</v>
      </c>
      <c r="F156" s="4" t="s">
        <v>98</v>
      </c>
      <c r="G156" s="4" t="s">
        <v>199</v>
      </c>
      <c r="H156" s="4" t="s">
        <v>777</v>
      </c>
      <c r="I156" s="40" t="s">
        <v>39</v>
      </c>
      <c r="J156" s="75" t="s">
        <v>981</v>
      </c>
      <c r="K156" s="4" t="s">
        <v>776</v>
      </c>
      <c r="L156" s="3"/>
      <c r="M156" s="3"/>
      <c r="N156" s="13"/>
      <c r="O156" s="18" t="s">
        <v>858</v>
      </c>
      <c r="Q156" s="109">
        <v>248</v>
      </c>
      <c r="R156" s="109">
        <v>376</v>
      </c>
      <c r="S156" s="109">
        <v>249</v>
      </c>
      <c r="T156" s="109">
        <v>316</v>
      </c>
      <c r="U156" s="109">
        <v>385</v>
      </c>
      <c r="V156" s="109">
        <v>250</v>
      </c>
      <c r="W156" s="1"/>
    </row>
    <row r="157" spans="1:24" x14ac:dyDescent="0.2">
      <c r="A157" s="142"/>
      <c r="B157" s="138"/>
      <c r="C157" s="19" t="s">
        <v>857</v>
      </c>
      <c r="D157" s="3"/>
      <c r="E157" s="3" t="s">
        <v>624</v>
      </c>
      <c r="F157" s="4" t="s">
        <v>98</v>
      </c>
      <c r="G157" s="4" t="s">
        <v>199</v>
      </c>
      <c r="H157" s="4" t="s">
        <v>777</v>
      </c>
      <c r="I157" s="40" t="s">
        <v>39</v>
      </c>
      <c r="J157" s="75" t="s">
        <v>981</v>
      </c>
      <c r="K157" s="75" t="s">
        <v>776</v>
      </c>
      <c r="L157" s="3"/>
      <c r="M157" s="3"/>
      <c r="N157" s="13"/>
      <c r="O157" s="18" t="s">
        <v>859</v>
      </c>
      <c r="Q157" s="109">
        <v>484</v>
      </c>
      <c r="R157" s="109">
        <v>485</v>
      </c>
      <c r="S157" s="109">
        <v>488</v>
      </c>
      <c r="T157" s="109">
        <v>490</v>
      </c>
      <c r="U157" s="109">
        <v>491</v>
      </c>
      <c r="V157" s="109">
        <v>492</v>
      </c>
      <c r="W157" s="1"/>
    </row>
    <row r="158" spans="1:24" x14ac:dyDescent="0.2">
      <c r="A158" s="142"/>
      <c r="B158" s="138"/>
      <c r="C158" s="19" t="s">
        <v>857</v>
      </c>
      <c r="D158" s="3"/>
      <c r="E158" s="3" t="s">
        <v>693</v>
      </c>
      <c r="F158" s="4" t="s">
        <v>98</v>
      </c>
      <c r="G158" s="4" t="s">
        <v>199</v>
      </c>
      <c r="H158" s="4" t="s">
        <v>777</v>
      </c>
      <c r="I158" s="40" t="s">
        <v>39</v>
      </c>
      <c r="J158" s="75" t="s">
        <v>981</v>
      </c>
      <c r="K158" s="4" t="s">
        <v>776</v>
      </c>
      <c r="L158" s="3"/>
      <c r="M158" s="3"/>
      <c r="N158" s="13"/>
      <c r="O158" s="18" t="s">
        <v>859</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991</v>
      </c>
      <c r="D160" s="3"/>
      <c r="E160" s="3"/>
      <c r="F160" s="78" t="s">
        <v>412</v>
      </c>
      <c r="G160" s="78" t="s">
        <v>413</v>
      </c>
      <c r="H160" s="78" t="s">
        <v>853</v>
      </c>
      <c r="I160" s="75" t="s">
        <v>854</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992</v>
      </c>
      <c r="D161" s="3"/>
      <c r="E161" s="3"/>
      <c r="F161" s="4" t="s">
        <v>412</v>
      </c>
      <c r="G161" s="75" t="s">
        <v>413</v>
      </c>
      <c r="H161" s="78" t="s">
        <v>853</v>
      </c>
      <c r="I161" s="75" t="s">
        <v>854</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993</v>
      </c>
      <c r="D162" s="3"/>
      <c r="E162" s="3"/>
      <c r="F162" s="4" t="s">
        <v>412</v>
      </c>
      <c r="G162" s="75" t="s">
        <v>413</v>
      </c>
      <c r="H162" s="78" t="s">
        <v>853</v>
      </c>
      <c r="I162" s="75" t="s">
        <v>854</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767</v>
      </c>
      <c r="D163" s="3"/>
      <c r="E163" s="3"/>
      <c r="F163" s="78" t="s">
        <v>768</v>
      </c>
      <c r="G163" s="78" t="s">
        <v>769</v>
      </c>
      <c r="H163" s="78" t="s">
        <v>770</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838</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734</v>
      </c>
      <c r="G165" s="75" t="s">
        <v>136</v>
      </c>
      <c r="H165" s="75" t="s">
        <v>735</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840</v>
      </c>
      <c r="G166" s="75" t="s">
        <v>839</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959</v>
      </c>
      <c r="D167" s="3"/>
      <c r="E167" s="3"/>
      <c r="F167" s="40" t="s">
        <v>901</v>
      </c>
      <c r="G167" s="3"/>
      <c r="H167" s="3"/>
      <c r="I167" s="3"/>
      <c r="J167" s="3"/>
      <c r="K167" s="3"/>
      <c r="L167" s="3"/>
      <c r="M167" s="3"/>
      <c r="N167" s="10"/>
      <c r="O167" s="18"/>
      <c r="Q167" s="112">
        <v>458</v>
      </c>
      <c r="R167" s="1"/>
      <c r="S167" s="1"/>
      <c r="T167" s="107"/>
      <c r="U167" s="107"/>
      <c r="V167" s="107"/>
      <c r="W167" s="1"/>
      <c r="X167" s="1"/>
    </row>
    <row r="168" spans="1:24" x14ac:dyDescent="0.2">
      <c r="A168" s="142"/>
      <c r="B168" s="138" t="s">
        <v>719</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945</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945</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976</v>
      </c>
      <c r="D173" s="3"/>
      <c r="E173" s="3"/>
      <c r="F173" s="4" t="s">
        <v>978</v>
      </c>
      <c r="G173" s="4" t="s">
        <v>738</v>
      </c>
      <c r="H173" s="4" t="s">
        <v>741</v>
      </c>
      <c r="I173" s="75" t="s">
        <v>977</v>
      </c>
      <c r="J173" s="75" t="s">
        <v>739</v>
      </c>
      <c r="K173" s="75" t="s">
        <v>740</v>
      </c>
      <c r="L173" s="3"/>
      <c r="M173" s="3"/>
      <c r="N173" s="13"/>
      <c r="O173" s="18"/>
      <c r="Q173" s="109">
        <v>241</v>
      </c>
      <c r="R173" s="109">
        <v>242</v>
      </c>
      <c r="S173" s="109">
        <v>243</v>
      </c>
      <c r="T173" s="109">
        <v>252</v>
      </c>
      <c r="U173" s="110">
        <v>253</v>
      </c>
      <c r="V173" s="110">
        <v>254</v>
      </c>
      <c r="W173" s="107"/>
      <c r="X173" s="107"/>
    </row>
    <row r="174" spans="1:24" x14ac:dyDescent="0.2">
      <c r="A174" s="142"/>
      <c r="B174" s="139"/>
      <c r="C174" s="19" t="s">
        <v>762</v>
      </c>
      <c r="D174" s="3"/>
      <c r="E174" s="3"/>
      <c r="F174" s="75" t="s">
        <v>497</v>
      </c>
      <c r="G174" s="75" t="s">
        <v>761</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928</v>
      </c>
      <c r="C175" s="19" t="s">
        <v>499</v>
      </c>
      <c r="D175" s="3"/>
      <c r="E175" s="3"/>
      <c r="F175" s="75" t="s">
        <v>414</v>
      </c>
      <c r="G175" s="3"/>
      <c r="H175" s="3"/>
      <c r="I175" s="3"/>
      <c r="J175" s="3"/>
      <c r="K175" s="3"/>
      <c r="L175" s="3"/>
      <c r="M175" s="3"/>
      <c r="N175" s="10"/>
      <c r="O175" s="18" t="s">
        <v>868</v>
      </c>
      <c r="Q175" s="112">
        <v>89</v>
      </c>
      <c r="R175" s="1"/>
      <c r="S175" s="1"/>
      <c r="T175" s="1"/>
      <c r="U175" s="1"/>
      <c r="V175" s="1"/>
      <c r="W175" s="1"/>
      <c r="X175" s="1"/>
    </row>
    <row r="176" spans="1:24" x14ac:dyDescent="0.2">
      <c r="A176" s="142"/>
      <c r="B176" s="138"/>
      <c r="C176" s="19" t="s">
        <v>926</v>
      </c>
      <c r="D176" s="3"/>
      <c r="E176" s="3"/>
      <c r="F176" s="75" t="s">
        <v>414</v>
      </c>
      <c r="G176" s="3"/>
      <c r="H176" s="3"/>
      <c r="I176" s="3"/>
      <c r="J176" s="3"/>
      <c r="K176" s="3"/>
      <c r="L176" s="3"/>
      <c r="M176" s="3"/>
      <c r="N176" s="10"/>
      <c r="O176" s="18" t="s">
        <v>927</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869</v>
      </c>
      <c r="Q177" s="112">
        <v>90</v>
      </c>
      <c r="R177" s="1"/>
      <c r="S177" s="1"/>
      <c r="T177" s="1"/>
      <c r="U177" s="1"/>
      <c r="V177" s="1"/>
      <c r="W177" s="1"/>
      <c r="X177" s="1"/>
    </row>
    <row r="178" spans="1:24" x14ac:dyDescent="0.2">
      <c r="A178" s="142"/>
      <c r="B178" s="137" t="s">
        <v>495</v>
      </c>
      <c r="C178" s="19" t="s">
        <v>732</v>
      </c>
      <c r="D178" s="3"/>
      <c r="E178" s="3"/>
      <c r="F178" s="75" t="s">
        <v>902</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797</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797</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797</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960</v>
      </c>
      <c r="D182" s="3"/>
      <c r="E182" s="3"/>
      <c r="F182" s="40" t="s">
        <v>498</v>
      </c>
      <c r="G182" s="75" t="s">
        <v>501</v>
      </c>
      <c r="H182" s="40" t="s">
        <v>723</v>
      </c>
      <c r="J182" s="3"/>
      <c r="K182" s="3"/>
      <c r="L182" s="3"/>
      <c r="M182" s="3"/>
      <c r="N182" s="4"/>
      <c r="O182" s="18"/>
      <c r="Q182" s="112">
        <v>83</v>
      </c>
      <c r="R182" s="112">
        <v>223</v>
      </c>
      <c r="S182" s="113">
        <v>551</v>
      </c>
      <c r="V182" s="1"/>
      <c r="X182" s="1"/>
    </row>
    <row r="183" spans="1:24" x14ac:dyDescent="0.2">
      <c r="A183" s="142"/>
      <c r="B183" s="138"/>
      <c r="C183" s="19" t="s">
        <v>961</v>
      </c>
      <c r="D183" s="3"/>
      <c r="E183" s="3"/>
      <c r="F183" s="75" t="s">
        <v>915</v>
      </c>
      <c r="G183" s="3"/>
      <c r="H183" s="3"/>
      <c r="I183" s="3"/>
      <c r="J183" s="3"/>
      <c r="K183" s="3"/>
      <c r="L183" s="3"/>
      <c r="M183" s="3"/>
      <c r="N183" s="4"/>
      <c r="O183" s="18"/>
      <c r="Q183" s="113">
        <v>170</v>
      </c>
      <c r="X183" s="1"/>
    </row>
    <row r="184" spans="1:24" x14ac:dyDescent="0.2">
      <c r="A184" s="142"/>
      <c r="B184" s="138"/>
      <c r="C184" s="19" t="s">
        <v>912</v>
      </c>
      <c r="D184" s="3"/>
      <c r="E184" s="3"/>
      <c r="F184" s="75" t="s">
        <v>944</v>
      </c>
      <c r="G184" s="3"/>
      <c r="H184" s="3"/>
      <c r="I184" s="3"/>
      <c r="J184" s="3"/>
      <c r="K184" s="3"/>
      <c r="L184" s="3"/>
      <c r="M184" s="3"/>
      <c r="N184" s="4"/>
      <c r="O184" s="18"/>
      <c r="Q184" s="113">
        <v>171</v>
      </c>
      <c r="R184" s="1"/>
      <c r="S184" s="1"/>
      <c r="T184" s="1"/>
      <c r="U184" s="1"/>
      <c r="V184" s="1"/>
      <c r="X184" s="1"/>
    </row>
    <row r="185" spans="1:24" x14ac:dyDescent="0.2">
      <c r="A185" s="142"/>
      <c r="B185" s="138"/>
      <c r="C185" s="19" t="s">
        <v>910</v>
      </c>
      <c r="D185" s="3"/>
      <c r="E185" s="3"/>
      <c r="F185" s="75" t="s">
        <v>944</v>
      </c>
      <c r="G185" s="75" t="s">
        <v>911</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787</v>
      </c>
      <c r="D186" s="3"/>
      <c r="E186" s="3"/>
      <c r="F186" s="40" t="s">
        <v>903</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788</v>
      </c>
      <c r="D187" s="3"/>
      <c r="E187" s="3"/>
      <c r="F187" s="40" t="s">
        <v>903</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989</v>
      </c>
      <c r="D188" s="3"/>
      <c r="E188" s="3"/>
      <c r="F188" s="41" t="s">
        <v>733</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990</v>
      </c>
      <c r="D189" s="3"/>
      <c r="E189" s="3"/>
      <c r="F189" s="75" t="s">
        <v>738</v>
      </c>
      <c r="G189" s="75" t="s">
        <v>739</v>
      </c>
      <c r="H189" s="75" t="s">
        <v>740</v>
      </c>
      <c r="I189" s="75" t="s">
        <v>741</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795</v>
      </c>
      <c r="D190" s="3"/>
      <c r="E190" s="3" t="s">
        <v>624</v>
      </c>
      <c r="F190" s="75" t="s">
        <v>698</v>
      </c>
      <c r="G190" s="40" t="s">
        <v>646</v>
      </c>
      <c r="H190" s="40" t="s">
        <v>737</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795</v>
      </c>
      <c r="D191" s="3"/>
      <c r="E191" s="3" t="s">
        <v>693</v>
      </c>
      <c r="F191" s="60" t="s">
        <v>698</v>
      </c>
      <c r="G191" s="40" t="s">
        <v>646</v>
      </c>
      <c r="H191" s="40" t="s">
        <v>737</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904</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996</v>
      </c>
      <c r="D198" s="3"/>
      <c r="E198" s="3"/>
      <c r="F198" s="60" t="s">
        <v>998</v>
      </c>
      <c r="G198" s="3"/>
      <c r="H198" s="3"/>
      <c r="I198" s="3"/>
      <c r="J198" s="3"/>
      <c r="K198" s="3"/>
      <c r="L198" s="3"/>
      <c r="M198" s="3"/>
      <c r="N198" s="10"/>
      <c r="O198" s="18"/>
      <c r="Q198" s="109">
        <v>544</v>
      </c>
      <c r="R198" s="1"/>
      <c r="S198" s="1"/>
      <c r="T198" s="1"/>
      <c r="V198" s="1"/>
      <c r="W198" s="1"/>
      <c r="X198" s="1"/>
    </row>
    <row r="199" spans="1:24" x14ac:dyDescent="0.2">
      <c r="A199" s="142"/>
      <c r="B199" s="138"/>
      <c r="C199" s="19" t="s">
        <v>994</v>
      </c>
      <c r="D199" s="3"/>
      <c r="E199" s="3"/>
      <c r="F199" s="60" t="s">
        <v>1001</v>
      </c>
      <c r="G199" s="75" t="s">
        <v>995</v>
      </c>
      <c r="H199" s="3"/>
      <c r="I199" s="3"/>
      <c r="J199" s="3"/>
      <c r="K199" s="3"/>
      <c r="L199" s="3"/>
      <c r="M199" s="3"/>
      <c r="N199" s="10"/>
      <c r="O199" s="18"/>
      <c r="Q199" s="109">
        <v>546</v>
      </c>
      <c r="R199" s="109">
        <v>547</v>
      </c>
      <c r="S199" s="1"/>
      <c r="T199" s="1"/>
      <c r="V199" s="1"/>
      <c r="W199" s="1"/>
      <c r="X199" s="1"/>
    </row>
    <row r="200" spans="1:24" x14ac:dyDescent="0.2">
      <c r="A200" s="142"/>
      <c r="B200" s="138"/>
      <c r="C200" s="19" t="s">
        <v>987</v>
      </c>
      <c r="D200" s="3"/>
      <c r="E200" s="3"/>
      <c r="F200" s="75" t="s">
        <v>999</v>
      </c>
      <c r="G200" s="3"/>
      <c r="H200" s="3"/>
      <c r="I200" s="3"/>
      <c r="J200" s="3"/>
      <c r="K200" s="3"/>
      <c r="L200" s="3"/>
      <c r="M200" s="3"/>
      <c r="N200" s="10"/>
      <c r="O200" s="18" t="s">
        <v>988</v>
      </c>
      <c r="Q200" s="109">
        <v>545</v>
      </c>
      <c r="R200" s="1"/>
      <c r="S200" s="1"/>
      <c r="T200" s="1"/>
      <c r="U200" s="1"/>
      <c r="V200" s="1"/>
      <c r="W200" s="1"/>
      <c r="X200" s="1"/>
    </row>
    <row r="201" spans="1:24" x14ac:dyDescent="0.2">
      <c r="A201" s="142"/>
      <c r="B201" s="138"/>
      <c r="C201" s="19" t="s">
        <v>962</v>
      </c>
      <c r="D201" s="3"/>
      <c r="E201" s="3" t="s">
        <v>35</v>
      </c>
      <c r="F201" s="75" t="s">
        <v>923</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963</v>
      </c>
      <c r="D202" s="3"/>
      <c r="E202" s="3" t="s">
        <v>35</v>
      </c>
      <c r="F202" s="75" t="s">
        <v>726</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905</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860</v>
      </c>
      <c r="D204" s="3"/>
      <c r="E204" s="3"/>
      <c r="F204" s="4" t="s">
        <v>905</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1004</v>
      </c>
      <c r="D205" s="3"/>
      <c r="E205" s="3"/>
      <c r="F205" s="75" t="s">
        <v>905</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1005</v>
      </c>
      <c r="D206" s="3"/>
      <c r="E206" s="3"/>
      <c r="F206" s="4" t="s">
        <v>1006</v>
      </c>
      <c r="G206" s="3"/>
      <c r="H206" s="3"/>
      <c r="I206" s="3"/>
      <c r="J206" s="3"/>
      <c r="K206" s="3"/>
      <c r="L206" s="3"/>
      <c r="M206" s="3"/>
      <c r="N206" s="13"/>
      <c r="O206" s="18"/>
      <c r="Q206" s="112">
        <v>257</v>
      </c>
      <c r="R206" s="1"/>
      <c r="S206" s="1"/>
      <c r="T206" s="107"/>
      <c r="U206" s="107"/>
      <c r="V206" s="1"/>
      <c r="W206" s="1"/>
      <c r="X206" s="1"/>
    </row>
    <row r="207" spans="1:24" x14ac:dyDescent="0.2">
      <c r="A207" s="142"/>
      <c r="B207" s="138"/>
      <c r="C207" s="19" t="s">
        <v>134</v>
      </c>
      <c r="D207" s="3"/>
      <c r="E207" s="3" t="s">
        <v>35</v>
      </c>
      <c r="F207" s="75" t="s">
        <v>905</v>
      </c>
      <c r="G207" s="3"/>
      <c r="H207" s="3"/>
      <c r="I207" s="3"/>
      <c r="J207" s="3"/>
      <c r="K207" s="3"/>
      <c r="L207" s="3"/>
      <c r="M207" s="3"/>
      <c r="N207" s="4"/>
      <c r="O207" s="14"/>
      <c r="Q207" s="112">
        <v>287</v>
      </c>
      <c r="R207" s="1"/>
      <c r="S207" s="1"/>
      <c r="T207" s="1"/>
      <c r="U207" s="1"/>
      <c r="V207" s="1"/>
      <c r="W207" s="1"/>
      <c r="X207" s="1"/>
    </row>
    <row r="208" spans="1:24" x14ac:dyDescent="0.2">
      <c r="A208" s="142"/>
      <c r="B208" s="138"/>
      <c r="C208" s="19" t="s">
        <v>134</v>
      </c>
      <c r="D208" s="3"/>
      <c r="E208" s="3" t="s">
        <v>689</v>
      </c>
      <c r="F208" s="75" t="s">
        <v>905</v>
      </c>
      <c r="G208" s="3"/>
      <c r="H208" s="3"/>
      <c r="I208" s="3"/>
      <c r="J208" s="3"/>
      <c r="K208" s="3"/>
      <c r="L208" s="3"/>
      <c r="M208" s="3"/>
      <c r="N208" s="4"/>
      <c r="O208" s="14"/>
      <c r="Q208" s="112">
        <v>287</v>
      </c>
      <c r="R208" s="1"/>
      <c r="S208" s="1"/>
      <c r="T208" s="1"/>
      <c r="U208" s="1"/>
      <c r="V208" s="1"/>
      <c r="W208" s="1"/>
      <c r="X208" s="1"/>
    </row>
    <row r="210" spans="2:8" x14ac:dyDescent="0.2">
      <c r="B210" s="1" t="s">
        <v>20</v>
      </c>
      <c r="H210" s="2"/>
    </row>
    <row r="211" spans="2:8" x14ac:dyDescent="0.2">
      <c r="B211" s="1"/>
      <c r="G211" s="2"/>
    </row>
    <row r="212" spans="2:8" x14ac:dyDescent="0.2">
      <c r="B212" s="50"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51" t="s">
        <v>64</v>
      </c>
      <c r="C215" s="2" t="s">
        <v>65</v>
      </c>
      <c r="D215" s="2"/>
      <c r="E215" s="2"/>
    </row>
    <row r="216" spans="2:8" x14ac:dyDescent="0.2">
      <c r="B216" s="22" t="s">
        <v>79</v>
      </c>
      <c r="C216" s="2" t="s">
        <v>80</v>
      </c>
      <c r="D216" s="2"/>
      <c r="E216" s="2"/>
    </row>
    <row r="217" spans="2:8" x14ac:dyDescent="0.2">
      <c r="B217" s="7" t="s">
        <v>27</v>
      </c>
      <c r="C217" s="2" t="s">
        <v>177</v>
      </c>
      <c r="D217" s="2"/>
      <c r="E217" s="2"/>
    </row>
    <row r="219" spans="2:8" x14ac:dyDescent="0.2">
      <c r="B219" s="45"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tabSelected="1" zoomScale="115" zoomScaleNormal="115" workbookViewId="0">
      <pane ySplit="1" topLeftCell="A2" activePane="bottomLeft" state="frozen"/>
      <selection pane="bottomLeft" activeCell="K23" sqref="K23"/>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841</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860</v>
      </c>
      <c r="E4" s="30" t="s">
        <v>519</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864</v>
      </c>
    </row>
    <row r="7" spans="1:26" ht="13.15" customHeight="1" x14ac:dyDescent="0.2">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870</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870</v>
      </c>
    </row>
    <row r="10" spans="1:26" ht="13.15" customHeight="1" x14ac:dyDescent="0.2">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866</v>
      </c>
    </row>
    <row r="11" spans="1:26" ht="13.15" customHeight="1" x14ac:dyDescent="0.2">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867</v>
      </c>
    </row>
    <row r="14" spans="1:26" ht="13.15" customHeight="1" x14ac:dyDescent="0.2">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795</v>
      </c>
      <c r="E17" s="33" t="s">
        <v>698</v>
      </c>
      <c r="F17" s="28" t="s">
        <v>217</v>
      </c>
      <c r="G17" s="29"/>
      <c r="H17" s="28" t="s">
        <v>111</v>
      </c>
      <c r="I17" s="29"/>
      <c r="J17" s="29"/>
      <c r="K17" s="28" t="s">
        <v>966</v>
      </c>
      <c r="L17" s="55">
        <f ca="1">VLOOKUP($A17, Stat!$A$1:$C$1000, 2,0)</f>
        <v>54</v>
      </c>
      <c r="M17" s="55">
        <f ca="1">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727</v>
      </c>
      <c r="D22" s="30" t="s">
        <v>641</v>
      </c>
      <c r="E22" s="33" t="s">
        <v>62</v>
      </c>
      <c r="F22" s="29" t="s">
        <v>219</v>
      </c>
      <c r="G22" s="29"/>
      <c r="H22" s="28" t="s">
        <v>111</v>
      </c>
      <c r="I22" s="29"/>
      <c r="J22" s="29"/>
      <c r="K22" s="29" t="s">
        <v>1007</v>
      </c>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787</v>
      </c>
      <c r="E24" s="30" t="s">
        <v>903</v>
      </c>
      <c r="F24" s="28"/>
      <c r="G24" s="28"/>
      <c r="H24" s="28" t="s">
        <v>111</v>
      </c>
      <c r="I24" s="29"/>
      <c r="J24" s="29"/>
      <c r="K24" s="28"/>
      <c r="L24" s="55"/>
      <c r="M24" s="55"/>
      <c r="N24" s="58"/>
      <c r="R24" s="28" t="s">
        <v>736</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864</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719</v>
      </c>
      <c r="D31" s="30" t="s">
        <v>762</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922</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863</v>
      </c>
      <c r="Z50" s="30" t="s">
        <v>871</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863</v>
      </c>
      <c r="Z51" s="30" t="s">
        <v>871</v>
      </c>
    </row>
    <row r="52" spans="1:26" ht="13.15" customHeight="1" x14ac:dyDescent="0.2">
      <c r="A52" s="30">
        <v>72</v>
      </c>
      <c r="B52" s="30" t="s">
        <v>13</v>
      </c>
      <c r="C52" s="30" t="s">
        <v>41</v>
      </c>
      <c r="D52" s="30" t="s">
        <v>992</v>
      </c>
      <c r="E52" s="30" t="s">
        <v>412</v>
      </c>
      <c r="F52" s="28" t="s">
        <v>216</v>
      </c>
      <c r="G52" s="28" t="s">
        <v>126</v>
      </c>
      <c r="H52" s="28"/>
      <c r="I52" s="28"/>
      <c r="J52" s="28"/>
      <c r="K52" s="27" t="s">
        <v>941</v>
      </c>
      <c r="N52" s="27">
        <v>1</v>
      </c>
      <c r="U52" s="30">
        <v>0</v>
      </c>
      <c r="V52" s="30">
        <v>1</v>
      </c>
      <c r="Z52" s="30" t="s">
        <v>916</v>
      </c>
    </row>
    <row r="53" spans="1:26" ht="13.15" customHeight="1" x14ac:dyDescent="0.2">
      <c r="A53" s="30">
        <v>73</v>
      </c>
      <c r="B53" s="30" t="s">
        <v>13</v>
      </c>
      <c r="C53" s="30" t="s">
        <v>41</v>
      </c>
      <c r="D53" s="30" t="s">
        <v>992</v>
      </c>
      <c r="E53" s="30" t="s">
        <v>413</v>
      </c>
      <c r="F53" s="28" t="s">
        <v>216</v>
      </c>
      <c r="G53" s="28" t="s">
        <v>126</v>
      </c>
      <c r="H53" s="28"/>
      <c r="I53" s="28"/>
      <c r="J53" s="28"/>
      <c r="K53" s="27" t="s">
        <v>941</v>
      </c>
      <c r="N53" s="27">
        <v>1</v>
      </c>
      <c r="U53" s="30">
        <v>50</v>
      </c>
      <c r="V53" s="30">
        <v>0</v>
      </c>
      <c r="Z53" s="30" t="s">
        <v>917</v>
      </c>
    </row>
    <row r="54" spans="1:26" ht="13.15" customHeight="1" x14ac:dyDescent="0.2">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751</v>
      </c>
    </row>
    <row r="55" spans="1:26" ht="13.15" customHeight="1" x14ac:dyDescent="0.2">
      <c r="A55" s="30">
        <v>76</v>
      </c>
      <c r="B55" s="30" t="s">
        <v>13</v>
      </c>
      <c r="C55" s="30" t="s">
        <v>41</v>
      </c>
      <c r="D55" s="30" t="s">
        <v>992</v>
      </c>
      <c r="E55" s="30" t="s">
        <v>853</v>
      </c>
      <c r="F55" s="28" t="s">
        <v>216</v>
      </c>
      <c r="G55" s="28" t="s">
        <v>126</v>
      </c>
      <c r="H55" s="28"/>
      <c r="I55" s="28"/>
      <c r="J55" s="28"/>
      <c r="K55" s="27" t="s">
        <v>941</v>
      </c>
      <c r="N55" s="27">
        <v>1</v>
      </c>
      <c r="U55" s="30">
        <v>100</v>
      </c>
      <c r="V55" s="30">
        <v>0</v>
      </c>
      <c r="Z55" s="30" t="s">
        <v>850</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960</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941</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941</v>
      </c>
      <c r="L61" s="55">
        <f ca="1">VLOOKUP($A61, Stat!$A$1:$C$1000, 2,0)</f>
        <v>0</v>
      </c>
      <c r="M61" s="55">
        <f ca="1">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928</v>
      </c>
      <c r="D63" s="30" t="s">
        <v>499</v>
      </c>
      <c r="E63" s="33" t="s">
        <v>414</v>
      </c>
      <c r="F63" s="69" t="s">
        <v>218</v>
      </c>
      <c r="G63" s="28" t="s">
        <v>111</v>
      </c>
      <c r="H63" s="28" t="s">
        <v>111</v>
      </c>
      <c r="I63" s="29"/>
      <c r="J63" s="29"/>
      <c r="K63" s="28" t="s">
        <v>964</v>
      </c>
      <c r="L63" s="55">
        <f ca="1">VLOOKUP($A63, Stat!$A$1:$C$1000, 2,0)</f>
        <v>27</v>
      </c>
      <c r="M63" s="55">
        <f ca="1">VLOOKUP($A63, Stat!$A$1:$C$1000, 3,0)</f>
        <v>0</v>
      </c>
      <c r="N63" s="58"/>
      <c r="R63" s="29"/>
      <c r="S63" s="29"/>
      <c r="T63" s="29"/>
      <c r="U63" s="30">
        <v>50</v>
      </c>
      <c r="V63" s="30">
        <v>0</v>
      </c>
      <c r="Y63" s="30" t="s">
        <v>868</v>
      </c>
    </row>
    <row r="64" spans="1:26" ht="13.15" customHeight="1" x14ac:dyDescent="0.2">
      <c r="A64" s="30">
        <v>90</v>
      </c>
      <c r="B64" s="30" t="s">
        <v>13</v>
      </c>
      <c r="C64" s="30" t="s">
        <v>928</v>
      </c>
      <c r="D64" s="30" t="s">
        <v>500</v>
      </c>
      <c r="E64" s="30" t="s">
        <v>414</v>
      </c>
      <c r="F64" s="69" t="s">
        <v>218</v>
      </c>
      <c r="G64" s="28" t="s">
        <v>111</v>
      </c>
      <c r="H64" s="28" t="s">
        <v>111</v>
      </c>
      <c r="I64" s="29"/>
      <c r="J64" s="29"/>
      <c r="K64" s="28" t="s">
        <v>965</v>
      </c>
      <c r="U64" s="30">
        <v>50</v>
      </c>
      <c r="V64" s="30">
        <v>0</v>
      </c>
      <c r="Y64" s="30" t="s">
        <v>869</v>
      </c>
    </row>
    <row r="65" spans="1:26" ht="13.15" customHeight="1" x14ac:dyDescent="0.2">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718</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727</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727</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727</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860</v>
      </c>
      <c r="E70" s="30" t="s">
        <v>518</v>
      </c>
      <c r="H70" s="28" t="s">
        <v>111</v>
      </c>
      <c r="L70" s="55">
        <f ca="1">VLOOKUP($A70, Stat!$A$1:$C$1000, 2,0)</f>
        <v>3</v>
      </c>
      <c r="M70" s="55">
        <f ca="1">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906</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795</v>
      </c>
      <c r="E108" s="30" t="s">
        <v>737</v>
      </c>
      <c r="F108" s="27">
        <v>7</v>
      </c>
      <c r="G108" s="27">
        <v>3</v>
      </c>
      <c r="H108" s="28"/>
      <c r="K108" s="27" t="s">
        <v>941</v>
      </c>
      <c r="U108" s="30">
        <v>100</v>
      </c>
      <c r="V108" s="30">
        <v>0</v>
      </c>
      <c r="X108" s="30" t="s">
        <v>693</v>
      </c>
      <c r="Z108" s="30" t="s">
        <v>936</v>
      </c>
    </row>
    <row r="109" spans="1:26" ht="13.15" customHeight="1" x14ac:dyDescent="0.2">
      <c r="A109" s="30">
        <v>137</v>
      </c>
      <c r="B109" s="30" t="s">
        <v>13</v>
      </c>
      <c r="C109" s="30" t="s">
        <v>719</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946</v>
      </c>
      <c r="E110" s="30" t="s">
        <v>678</v>
      </c>
      <c r="H110" s="28" t="s">
        <v>111</v>
      </c>
      <c r="U110" s="30">
        <v>50</v>
      </c>
      <c r="V110" s="30">
        <v>0</v>
      </c>
      <c r="Z110" s="30" t="s">
        <v>907</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799</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799</v>
      </c>
    </row>
    <row r="131" spans="1:26" ht="13.15" customHeight="1" x14ac:dyDescent="0.2">
      <c r="A131" s="30">
        <v>160</v>
      </c>
      <c r="B131" s="30" t="s">
        <v>95</v>
      </c>
      <c r="C131" s="30" t="s">
        <v>95</v>
      </c>
      <c r="D131" s="30" t="s">
        <v>472</v>
      </c>
      <c r="E131" s="30" t="s">
        <v>94</v>
      </c>
      <c r="H131" s="28" t="s">
        <v>111</v>
      </c>
      <c r="U131" s="30">
        <v>50</v>
      </c>
      <c r="V131" s="30">
        <v>0</v>
      </c>
      <c r="Z131" s="30" t="s">
        <v>801</v>
      </c>
    </row>
    <row r="132" spans="1:26" ht="13.15" customHeight="1" x14ac:dyDescent="0.2">
      <c r="A132" s="30">
        <v>164</v>
      </c>
      <c r="B132" s="30" t="s">
        <v>13</v>
      </c>
      <c r="C132" s="30" t="s">
        <v>648</v>
      </c>
      <c r="D132" s="30" t="s">
        <v>784</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731</v>
      </c>
    </row>
    <row r="133" spans="1:26" ht="13.15" customHeight="1" x14ac:dyDescent="0.2">
      <c r="A133" s="30">
        <v>165</v>
      </c>
      <c r="B133" s="30" t="s">
        <v>13</v>
      </c>
      <c r="C133" s="30" t="s">
        <v>648</v>
      </c>
      <c r="D133" s="30" t="s">
        <v>784</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731</v>
      </c>
    </row>
    <row r="134" spans="1:26" ht="13.15" customHeight="1" x14ac:dyDescent="0.2">
      <c r="A134" s="30">
        <v>169</v>
      </c>
      <c r="B134" s="30" t="s">
        <v>13</v>
      </c>
      <c r="C134" s="30" t="s">
        <v>495</v>
      </c>
      <c r="D134" s="30" t="s">
        <v>990</v>
      </c>
      <c r="E134" s="33" t="s">
        <v>738</v>
      </c>
      <c r="F134" s="28" t="s">
        <v>216</v>
      </c>
      <c r="G134" s="28" t="s">
        <v>126</v>
      </c>
      <c r="H134" s="28"/>
      <c r="I134" s="29"/>
      <c r="J134" s="29"/>
      <c r="K134" s="27" t="s">
        <v>941</v>
      </c>
      <c r="L134" s="55">
        <f ca="1">VLOOKUP($A134, Stat!$A$1:$C$1000, 2,0)</f>
        <v>904</v>
      </c>
      <c r="M134" s="55">
        <f ca="1">VLOOKUP($A134, Stat!$A$1:$C$1000, 3,0)</f>
        <v>3</v>
      </c>
      <c r="N134" s="58"/>
      <c r="R134" s="29"/>
      <c r="S134" s="29"/>
      <c r="T134" s="29"/>
      <c r="U134" s="30">
        <v>50</v>
      </c>
      <c r="V134" s="30">
        <v>0</v>
      </c>
      <c r="Z134" s="30" t="s">
        <v>742</v>
      </c>
    </row>
    <row r="135" spans="1:26" ht="13.15" customHeight="1" x14ac:dyDescent="0.2">
      <c r="A135" s="30">
        <v>170</v>
      </c>
      <c r="B135" s="30" t="s">
        <v>13</v>
      </c>
      <c r="C135" s="30" t="s">
        <v>495</v>
      </c>
      <c r="D135" s="30" t="s">
        <v>961</v>
      </c>
      <c r="E135" s="30" t="s">
        <v>915</v>
      </c>
      <c r="H135" s="28" t="s">
        <v>111</v>
      </c>
      <c r="U135" s="30">
        <v>50</v>
      </c>
      <c r="V135" s="30">
        <v>0</v>
      </c>
    </row>
    <row r="136" spans="1:26" ht="13.15" customHeight="1" x14ac:dyDescent="0.2">
      <c r="A136" s="30">
        <v>171</v>
      </c>
      <c r="B136" s="30" t="s">
        <v>13</v>
      </c>
      <c r="C136" s="30" t="s">
        <v>495</v>
      </c>
      <c r="D136" s="30" t="s">
        <v>912</v>
      </c>
      <c r="E136" s="30" t="s">
        <v>944</v>
      </c>
      <c r="H136" s="28" t="s">
        <v>111</v>
      </c>
      <c r="U136" s="30">
        <v>50</v>
      </c>
      <c r="V136" s="30">
        <v>0</v>
      </c>
      <c r="Z136" s="30" t="s">
        <v>796</v>
      </c>
    </row>
    <row r="137" spans="1:26" ht="13.15" customHeight="1" x14ac:dyDescent="0.2">
      <c r="A137" s="30">
        <v>172</v>
      </c>
      <c r="B137" s="30" t="s">
        <v>13</v>
      </c>
      <c r="C137" s="30" t="s">
        <v>13</v>
      </c>
      <c r="D137" s="30" t="s">
        <v>728</v>
      </c>
      <c r="E137" s="30" t="s">
        <v>800</v>
      </c>
      <c r="F137" s="27">
        <v>1</v>
      </c>
      <c r="H137" s="28" t="s">
        <v>111</v>
      </c>
      <c r="U137" s="30">
        <v>50</v>
      </c>
      <c r="V137" s="30">
        <v>0</v>
      </c>
      <c r="Z137" s="30" t="s">
        <v>933</v>
      </c>
    </row>
    <row r="138" spans="1:26" ht="13.15" customHeight="1" x14ac:dyDescent="0.2">
      <c r="A138" s="30">
        <v>173</v>
      </c>
      <c r="B138" s="30" t="s">
        <v>13</v>
      </c>
      <c r="C138" s="30" t="s">
        <v>495</v>
      </c>
      <c r="D138" s="30" t="s">
        <v>990</v>
      </c>
      <c r="E138" s="30" t="s">
        <v>740</v>
      </c>
      <c r="F138" s="27">
        <v>7</v>
      </c>
      <c r="G138" s="27">
        <v>3</v>
      </c>
      <c r="H138" s="28"/>
      <c r="K138" s="27" t="s">
        <v>941</v>
      </c>
      <c r="U138" s="30">
        <v>50</v>
      </c>
      <c r="V138" s="30">
        <v>0</v>
      </c>
      <c r="Z138" s="30" t="s">
        <v>744</v>
      </c>
    </row>
    <row r="139" spans="1:26" ht="13.15" customHeight="1" x14ac:dyDescent="0.2">
      <c r="A139" s="30">
        <v>174</v>
      </c>
      <c r="B139" s="30" t="s">
        <v>13</v>
      </c>
      <c r="C139" s="30" t="s">
        <v>495</v>
      </c>
      <c r="D139" s="30" t="s">
        <v>990</v>
      </c>
      <c r="E139" s="30" t="s">
        <v>741</v>
      </c>
      <c r="F139" s="27">
        <v>7</v>
      </c>
      <c r="G139" s="27">
        <v>3</v>
      </c>
      <c r="H139" s="28"/>
      <c r="K139" s="27" t="s">
        <v>941</v>
      </c>
      <c r="U139" s="30">
        <v>50</v>
      </c>
      <c r="V139" s="30">
        <v>0</v>
      </c>
      <c r="Z139" s="30" t="s">
        <v>745</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495</v>
      </c>
      <c r="D152" s="30" t="s">
        <v>788</v>
      </c>
      <c r="E152" s="33" t="s">
        <v>903</v>
      </c>
      <c r="F152" s="28"/>
      <c r="G152" s="28"/>
      <c r="H152" s="28" t="s">
        <v>111</v>
      </c>
      <c r="I152" s="29"/>
      <c r="J152" s="29"/>
      <c r="K152" s="28"/>
      <c r="L152" s="55">
        <f ca="1">VLOOKUP($A152, Stat!$A$1:$C$1000, 2,0)</f>
        <v>195</v>
      </c>
      <c r="M152" s="55">
        <f ca="1">VLOOKUP($A152, Stat!$A$1:$C$1000, 3,0)</f>
        <v>8</v>
      </c>
      <c r="N152" s="58"/>
      <c r="R152" s="28" t="s">
        <v>736</v>
      </c>
      <c r="S152" s="29"/>
      <c r="T152" s="29"/>
      <c r="U152" s="30">
        <v>100</v>
      </c>
      <c r="V152" s="30">
        <v>0</v>
      </c>
      <c r="Z152" s="30" t="s">
        <v>506</v>
      </c>
    </row>
    <row r="153" spans="1:26" ht="13.15" customHeight="1" x14ac:dyDescent="0.2">
      <c r="A153" s="30">
        <v>188</v>
      </c>
      <c r="B153" s="30" t="s">
        <v>95</v>
      </c>
      <c r="C153" s="30" t="s">
        <v>727</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727</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727</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872</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873</v>
      </c>
    </row>
    <row r="158" spans="1:26" ht="13.15" customHeight="1" x14ac:dyDescent="0.2">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719</v>
      </c>
      <c r="D160" s="30" t="s">
        <v>752</v>
      </c>
      <c r="E160" s="30" t="s">
        <v>753</v>
      </c>
      <c r="F160" s="27">
        <v>12</v>
      </c>
      <c r="H160" s="28" t="s">
        <v>111</v>
      </c>
      <c r="K160" s="27" t="s">
        <v>968</v>
      </c>
      <c r="U160" s="30">
        <v>50</v>
      </c>
      <c r="V160" s="30">
        <v>0</v>
      </c>
      <c r="Z160" s="30" t="s">
        <v>763</v>
      </c>
    </row>
    <row r="161" spans="1:26" ht="13.15" customHeight="1" x14ac:dyDescent="0.2">
      <c r="A161" s="30">
        <v>198</v>
      </c>
      <c r="B161" s="30" t="s">
        <v>28</v>
      </c>
      <c r="C161" s="30" t="s">
        <v>719</v>
      </c>
      <c r="D161" s="30" t="s">
        <v>752</v>
      </c>
      <c r="E161" s="30" t="s">
        <v>754</v>
      </c>
      <c r="F161" s="27">
        <v>12</v>
      </c>
      <c r="H161" s="28" t="s">
        <v>111</v>
      </c>
      <c r="K161" s="27" t="s">
        <v>968</v>
      </c>
      <c r="U161" s="30">
        <v>50</v>
      </c>
      <c r="V161" s="30">
        <v>0</v>
      </c>
      <c r="Z161" s="30" t="s">
        <v>764</v>
      </c>
    </row>
    <row r="162" spans="1:26" ht="13.15" customHeight="1" x14ac:dyDescent="0.2">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766</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874</v>
      </c>
    </row>
    <row r="164" spans="1:26" ht="13.15" customHeight="1" x14ac:dyDescent="0.2">
      <c r="A164" s="30">
        <v>201</v>
      </c>
      <c r="B164" s="30" t="s">
        <v>28</v>
      </c>
      <c r="C164" s="30" t="s">
        <v>648</v>
      </c>
      <c r="D164" s="30" t="s">
        <v>955</v>
      </c>
      <c r="E164" s="33" t="s">
        <v>957</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749</v>
      </c>
    </row>
    <row r="165" spans="1:26" ht="13.15" customHeight="1" x14ac:dyDescent="0.2">
      <c r="A165" s="30">
        <v>202</v>
      </c>
      <c r="B165" s="30" t="s">
        <v>28</v>
      </c>
      <c r="C165" s="30" t="s">
        <v>648</v>
      </c>
      <c r="D165" s="30" t="s">
        <v>956</v>
      </c>
      <c r="E165" s="30" t="s">
        <v>958</v>
      </c>
      <c r="F165" s="27">
        <v>8</v>
      </c>
      <c r="H165" s="28" t="s">
        <v>111</v>
      </c>
      <c r="K165" s="61" t="s">
        <v>444</v>
      </c>
      <c r="U165" s="30">
        <v>50</v>
      </c>
      <c r="V165" s="30">
        <v>0</v>
      </c>
      <c r="W165" s="30">
        <v>12350</v>
      </c>
      <c r="Y165" s="30" t="s">
        <v>750</v>
      </c>
    </row>
    <row r="166" spans="1:26" ht="13.15" customHeight="1" x14ac:dyDescent="0.2">
      <c r="A166" s="30">
        <v>203</v>
      </c>
      <c r="B166" s="30" t="s">
        <v>28</v>
      </c>
      <c r="C166" s="30" t="s">
        <v>648</v>
      </c>
      <c r="D166" s="30" t="s">
        <v>543</v>
      </c>
      <c r="E166" s="30" t="s">
        <v>755</v>
      </c>
      <c r="F166" s="27">
        <v>8</v>
      </c>
      <c r="H166" s="28" t="s">
        <v>111</v>
      </c>
      <c r="K166" s="27" t="s">
        <v>756</v>
      </c>
      <c r="U166" s="30">
        <v>50</v>
      </c>
      <c r="V166" s="30">
        <v>0</v>
      </c>
      <c r="Z166" s="30" t="s">
        <v>765</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861</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861</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861</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861</v>
      </c>
    </row>
    <row r="171" spans="1:26" ht="13.15" customHeight="1" x14ac:dyDescent="0.2">
      <c r="A171" s="30">
        <v>208</v>
      </c>
      <c r="B171" s="30" t="s">
        <v>13</v>
      </c>
      <c r="C171" s="30" t="s">
        <v>41</v>
      </c>
      <c r="D171" s="30" t="s">
        <v>991</v>
      </c>
      <c r="E171" s="33" t="s">
        <v>412</v>
      </c>
      <c r="F171" s="28" t="s">
        <v>216</v>
      </c>
      <c r="G171" s="28" t="s">
        <v>126</v>
      </c>
      <c r="H171" s="28"/>
      <c r="I171" s="28"/>
      <c r="J171" s="28"/>
      <c r="K171" s="27" t="s">
        <v>941</v>
      </c>
      <c r="L171" s="55">
        <f ca="1">VLOOKUP($A171, Stat!$A$1:$C$1000, 2,0)</f>
        <v>1</v>
      </c>
      <c r="M171" s="55">
        <f ca="1">VLOOKUP($A171, Stat!$A$1:$C$1000, 3,0)</f>
        <v>1</v>
      </c>
      <c r="N171" s="27">
        <v>1</v>
      </c>
      <c r="R171" s="29"/>
      <c r="S171" s="29"/>
      <c r="T171" s="29"/>
      <c r="U171" s="30">
        <v>100</v>
      </c>
      <c r="V171" s="30">
        <v>0</v>
      </c>
      <c r="Z171" s="30" t="s">
        <v>918</v>
      </c>
    </row>
    <row r="172" spans="1:26" ht="13.15" customHeight="1" x14ac:dyDescent="0.2">
      <c r="A172" s="30">
        <v>209</v>
      </c>
      <c r="B172" s="30" t="s">
        <v>13</v>
      </c>
      <c r="C172" s="30" t="s">
        <v>41</v>
      </c>
      <c r="D172" s="30" t="s">
        <v>993</v>
      </c>
      <c r="E172" s="33" t="s">
        <v>412</v>
      </c>
      <c r="F172" s="28" t="s">
        <v>216</v>
      </c>
      <c r="G172" s="28" t="s">
        <v>126</v>
      </c>
      <c r="H172" s="28"/>
      <c r="I172" s="28"/>
      <c r="J172" s="28"/>
      <c r="K172" s="27" t="s">
        <v>941</v>
      </c>
      <c r="L172" s="55">
        <f ca="1">VLOOKUP($A172, Stat!$A$1:$C$1000, 2,0)</f>
        <v>26</v>
      </c>
      <c r="M172" s="55">
        <f ca="1">VLOOKUP($A172, Stat!$A$1:$C$1000, 3,0)</f>
        <v>3</v>
      </c>
      <c r="N172" s="27">
        <v>1</v>
      </c>
      <c r="R172" s="29"/>
      <c r="S172" s="29"/>
      <c r="T172" s="29"/>
      <c r="U172" s="30">
        <v>0</v>
      </c>
      <c r="V172" s="30">
        <v>1</v>
      </c>
      <c r="Z172" s="30" t="s">
        <v>919</v>
      </c>
    </row>
    <row r="173" spans="1:26" ht="13.15" customHeight="1" x14ac:dyDescent="0.2">
      <c r="A173" s="30">
        <v>210</v>
      </c>
      <c r="B173" s="30" t="s">
        <v>13</v>
      </c>
      <c r="C173" s="30" t="s">
        <v>41</v>
      </c>
      <c r="D173" s="30" t="s">
        <v>991</v>
      </c>
      <c r="E173" s="33" t="s">
        <v>853</v>
      </c>
      <c r="F173" s="28" t="s">
        <v>216</v>
      </c>
      <c r="G173" s="28" t="s">
        <v>126</v>
      </c>
      <c r="H173" s="28"/>
      <c r="I173" s="28"/>
      <c r="J173" s="28"/>
      <c r="K173" s="27" t="s">
        <v>941</v>
      </c>
      <c r="L173" s="55">
        <f ca="1">VLOOKUP($A173, Stat!$A$1:$C$1000, 2,0)</f>
        <v>19</v>
      </c>
      <c r="M173" s="55">
        <f ca="1">VLOOKUP($A173, Stat!$A$1:$C$1000, 3,0)</f>
        <v>9</v>
      </c>
      <c r="N173" s="27">
        <v>1</v>
      </c>
      <c r="R173" s="29"/>
      <c r="S173" s="29"/>
      <c r="T173" s="29"/>
      <c r="U173" s="30">
        <v>100</v>
      </c>
      <c r="V173" s="30">
        <v>0</v>
      </c>
      <c r="Z173" s="30" t="s">
        <v>851</v>
      </c>
    </row>
    <row r="174" spans="1:26" ht="13.15" customHeight="1" x14ac:dyDescent="0.2">
      <c r="A174" s="30">
        <v>211</v>
      </c>
      <c r="B174" s="30" t="s">
        <v>13</v>
      </c>
      <c r="C174" s="30" t="s">
        <v>41</v>
      </c>
      <c r="D174" s="30" t="s">
        <v>993</v>
      </c>
      <c r="E174" s="33" t="s">
        <v>853</v>
      </c>
      <c r="F174" s="28" t="s">
        <v>216</v>
      </c>
      <c r="G174" s="28" t="s">
        <v>126</v>
      </c>
      <c r="H174" s="28"/>
      <c r="I174" s="28"/>
      <c r="J174" s="28"/>
      <c r="K174" s="27" t="s">
        <v>941</v>
      </c>
      <c r="L174" s="55">
        <f ca="1">VLOOKUP($A174, Stat!$A$1:$C$1000, 2,0)</f>
        <v>8</v>
      </c>
      <c r="M174" s="55">
        <f ca="1">VLOOKUP($A174, Stat!$A$1:$C$1000, 3,0)</f>
        <v>4</v>
      </c>
      <c r="N174" s="27">
        <v>1</v>
      </c>
      <c r="R174" s="29"/>
      <c r="S174" s="29"/>
      <c r="T174" s="29"/>
      <c r="U174" s="30">
        <v>100</v>
      </c>
      <c r="V174" s="30">
        <v>0</v>
      </c>
      <c r="Z174" s="30" t="s">
        <v>852</v>
      </c>
    </row>
    <row r="175" spans="1:26" ht="13.15" customHeight="1" x14ac:dyDescent="0.2">
      <c r="A175" s="30">
        <v>212</v>
      </c>
      <c r="B175" s="30" t="s">
        <v>13</v>
      </c>
      <c r="C175" s="30" t="s">
        <v>41</v>
      </c>
      <c r="D175" s="30" t="s">
        <v>991</v>
      </c>
      <c r="E175" s="33" t="s">
        <v>413</v>
      </c>
      <c r="F175" s="28" t="s">
        <v>216</v>
      </c>
      <c r="G175" s="28" t="s">
        <v>126</v>
      </c>
      <c r="H175" s="28"/>
      <c r="I175" s="28"/>
      <c r="J175" s="28"/>
      <c r="K175" s="27" t="s">
        <v>941</v>
      </c>
      <c r="L175" s="55">
        <f ca="1">VLOOKUP($A175, Stat!$A$1:$C$1000, 2,0)</f>
        <v>5</v>
      </c>
      <c r="M175" s="55">
        <f ca="1">VLOOKUP($A175, Stat!$A$1:$C$1000, 3,0)</f>
        <v>1</v>
      </c>
      <c r="N175" s="27">
        <v>1</v>
      </c>
      <c r="R175" s="29"/>
      <c r="S175" s="29"/>
      <c r="T175" s="29"/>
      <c r="U175" s="30">
        <v>100</v>
      </c>
      <c r="V175" s="30">
        <v>0</v>
      </c>
      <c r="Z175" s="30" t="s">
        <v>920</v>
      </c>
    </row>
    <row r="176" spans="1:26" ht="13.15" customHeight="1" x14ac:dyDescent="0.2">
      <c r="A176" s="30">
        <v>213</v>
      </c>
      <c r="B176" s="30" t="s">
        <v>13</v>
      </c>
      <c r="C176" s="30" t="s">
        <v>41</v>
      </c>
      <c r="D176" s="30" t="s">
        <v>993</v>
      </c>
      <c r="E176" s="33" t="s">
        <v>413</v>
      </c>
      <c r="F176" s="28" t="s">
        <v>216</v>
      </c>
      <c r="G176" s="28" t="s">
        <v>126</v>
      </c>
      <c r="H176" s="28"/>
      <c r="I176" s="28"/>
      <c r="J176" s="28"/>
      <c r="K176" s="27" t="s">
        <v>941</v>
      </c>
      <c r="L176" s="55">
        <f ca="1">VLOOKUP($A176, Stat!$A$1:$C$1000, 2,0)</f>
        <v>23</v>
      </c>
      <c r="M176" s="55">
        <f ca="1">VLOOKUP($A176, Stat!$A$1:$C$1000, 3,0)</f>
        <v>8</v>
      </c>
      <c r="N176" s="27">
        <v>1</v>
      </c>
      <c r="R176" s="29"/>
      <c r="S176" s="29"/>
      <c r="T176" s="29"/>
      <c r="U176" s="30">
        <v>50</v>
      </c>
      <c r="V176" s="30">
        <v>0</v>
      </c>
      <c r="Z176" s="30" t="s">
        <v>921</v>
      </c>
    </row>
    <row r="177" spans="1:26" ht="13.15" customHeight="1" x14ac:dyDescent="0.2">
      <c r="A177" s="30">
        <v>216</v>
      </c>
      <c r="B177" s="30" t="s">
        <v>13</v>
      </c>
      <c r="C177" s="30" t="s">
        <v>93</v>
      </c>
      <c r="D177" s="30" t="s">
        <v>767</v>
      </c>
      <c r="E177" s="33" t="s">
        <v>768</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771</v>
      </c>
    </row>
    <row r="178" spans="1:26" ht="13.15" customHeight="1" x14ac:dyDescent="0.2">
      <c r="A178" s="30">
        <v>217</v>
      </c>
      <c r="B178" s="30" t="s">
        <v>13</v>
      </c>
      <c r="C178" s="30" t="s">
        <v>93</v>
      </c>
      <c r="D178" s="30" t="s">
        <v>767</v>
      </c>
      <c r="E178" s="33" t="s">
        <v>769</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937</v>
      </c>
    </row>
    <row r="179" spans="1:26" ht="13.15" customHeight="1" x14ac:dyDescent="0.2">
      <c r="A179" s="30">
        <v>218</v>
      </c>
      <c r="B179" s="30" t="s">
        <v>13</v>
      </c>
      <c r="C179" s="30" t="s">
        <v>93</v>
      </c>
      <c r="D179" s="30" t="s">
        <v>767</v>
      </c>
      <c r="E179" s="33" t="s">
        <v>770</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772</v>
      </c>
    </row>
    <row r="180" spans="1:26" ht="13.15" customHeight="1" x14ac:dyDescent="0.2">
      <c r="A180" s="30">
        <v>219</v>
      </c>
      <c r="B180" s="30" t="s">
        <v>13</v>
      </c>
      <c r="C180" s="30" t="s">
        <v>93</v>
      </c>
      <c r="D180" s="30" t="s">
        <v>487</v>
      </c>
      <c r="E180" s="33" t="s">
        <v>490</v>
      </c>
      <c r="F180" s="69" t="s">
        <v>220</v>
      </c>
      <c r="G180" s="28"/>
      <c r="H180" s="28" t="s">
        <v>111</v>
      </c>
      <c r="I180" s="29"/>
      <c r="J180" s="29"/>
      <c r="K180" s="28" t="s">
        <v>967</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967</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967</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785</v>
      </c>
      <c r="E183" s="30" t="s">
        <v>898</v>
      </c>
      <c r="H183" s="28" t="s">
        <v>111</v>
      </c>
      <c r="U183" s="30">
        <v>50</v>
      </c>
      <c r="V183" s="30">
        <v>0</v>
      </c>
      <c r="Z183" s="30" t="s">
        <v>757</v>
      </c>
    </row>
    <row r="184" spans="1:26" x14ac:dyDescent="0.2">
      <c r="A184" s="30">
        <v>223</v>
      </c>
      <c r="B184" s="30" t="s">
        <v>13</v>
      </c>
      <c r="C184" s="30" t="s">
        <v>495</v>
      </c>
      <c r="D184" s="30" t="s">
        <v>960</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759</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760</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758</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774</v>
      </c>
    </row>
    <row r="199" spans="1:26" x14ac:dyDescent="0.2">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480</v>
      </c>
      <c r="E200" s="33" t="s">
        <v>969</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886</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856</v>
      </c>
      <c r="E202" s="33" t="s">
        <v>98</v>
      </c>
      <c r="F202" s="28" t="s">
        <v>216</v>
      </c>
      <c r="G202" s="28" t="s">
        <v>111</v>
      </c>
      <c r="H202" s="28"/>
      <c r="I202" s="28"/>
      <c r="J202" s="28"/>
      <c r="K202" s="27" t="s">
        <v>941</v>
      </c>
      <c r="L202" s="55">
        <f ca="1">VLOOKUP($A202, Stat!$A$1:$C$1000, 2,0)</f>
        <v>9</v>
      </c>
      <c r="M202" s="55">
        <f ca="1">VLOOKUP($A202, Stat!$A$1:$C$1000, 3,0)</f>
        <v>1</v>
      </c>
      <c r="N202" s="27">
        <v>1</v>
      </c>
      <c r="R202" s="29"/>
      <c r="S202" s="29"/>
      <c r="T202" s="29"/>
      <c r="U202" s="30">
        <v>0</v>
      </c>
      <c r="V202" s="30">
        <v>1</v>
      </c>
      <c r="X202" s="30" t="s">
        <v>693</v>
      </c>
      <c r="Y202" s="30" t="s">
        <v>858</v>
      </c>
      <c r="Z202" s="30" t="s">
        <v>778</v>
      </c>
    </row>
    <row r="203" spans="1:26" ht="13.15" customHeight="1" x14ac:dyDescent="0.2">
      <c r="A203" s="30">
        <v>249</v>
      </c>
      <c r="B203" s="30" t="s">
        <v>13</v>
      </c>
      <c r="C203" s="30" t="s">
        <v>41</v>
      </c>
      <c r="D203" s="30" t="s">
        <v>856</v>
      </c>
      <c r="E203" s="33" t="s">
        <v>777</v>
      </c>
      <c r="F203" s="28" t="s">
        <v>216</v>
      </c>
      <c r="G203" s="28" t="s">
        <v>111</v>
      </c>
      <c r="H203" s="28"/>
      <c r="I203" s="28"/>
      <c r="J203" s="28"/>
      <c r="K203" s="27" t="s">
        <v>941</v>
      </c>
      <c r="L203" s="55">
        <f ca="1">VLOOKUP($A203, Stat!$A$1:$C$1000, 2,0)</f>
        <v>72</v>
      </c>
      <c r="M203" s="55">
        <f ca="1">VLOOKUP($A203, Stat!$A$1:$C$1000, 3,0)</f>
        <v>9</v>
      </c>
      <c r="N203" s="27">
        <v>1</v>
      </c>
      <c r="R203" s="32"/>
      <c r="S203" s="29"/>
      <c r="T203" s="29"/>
      <c r="U203" s="30">
        <v>0</v>
      </c>
      <c r="V203" s="30">
        <v>1</v>
      </c>
      <c r="X203" s="30" t="s">
        <v>693</v>
      </c>
      <c r="Y203" s="30" t="s">
        <v>858</v>
      </c>
      <c r="Z203" s="30" t="s">
        <v>781</v>
      </c>
    </row>
    <row r="204" spans="1:26" x14ac:dyDescent="0.2">
      <c r="A204" s="30">
        <v>250</v>
      </c>
      <c r="B204" s="30" t="s">
        <v>13</v>
      </c>
      <c r="C204" s="30" t="s">
        <v>41</v>
      </c>
      <c r="D204" s="30" t="s">
        <v>856</v>
      </c>
      <c r="E204" s="33" t="s">
        <v>776</v>
      </c>
      <c r="F204" s="28" t="s">
        <v>216</v>
      </c>
      <c r="G204" s="28" t="s">
        <v>111</v>
      </c>
      <c r="H204" s="28"/>
      <c r="I204" s="28"/>
      <c r="J204" s="28"/>
      <c r="K204" s="27" t="s">
        <v>941</v>
      </c>
      <c r="L204" s="55">
        <f ca="1">VLOOKUP($A204, Stat!$A$1:$C$1000, 2,0)</f>
        <v>18</v>
      </c>
      <c r="M204" s="55">
        <f ca="1">VLOOKUP($A204, Stat!$A$1:$C$1000, 3,0)</f>
        <v>5</v>
      </c>
      <c r="N204" s="27">
        <v>1</v>
      </c>
      <c r="R204" s="28" t="s">
        <v>113</v>
      </c>
      <c r="S204" s="29"/>
      <c r="T204" s="29"/>
      <c r="U204" s="30">
        <v>0</v>
      </c>
      <c r="V204" s="30">
        <v>1</v>
      </c>
      <c r="X204" s="30" t="s">
        <v>693</v>
      </c>
      <c r="Y204" s="30" t="s">
        <v>858</v>
      </c>
      <c r="Z204" s="30" t="s">
        <v>779</v>
      </c>
    </row>
    <row r="205" spans="1:26" ht="13.15" customHeight="1" x14ac:dyDescent="0.2">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905</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860</v>
      </c>
      <c r="E207" s="30" t="s">
        <v>905</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980</v>
      </c>
      <c r="E208" s="33" t="s">
        <v>979</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479</v>
      </c>
      <c r="E209" s="33" t="s">
        <v>836</v>
      </c>
      <c r="H209" s="28" t="s">
        <v>111</v>
      </c>
      <c r="L209" s="55">
        <f ca="1">VLOOKUP($A209, Stat!$A$1:$C$1000, 2,0)</f>
        <v>5</v>
      </c>
      <c r="M209" s="55">
        <f ca="1">VLOOKUP($A209, Stat!$A$1:$C$1000, 3,0)</f>
        <v>5</v>
      </c>
      <c r="N209" s="27">
        <v>1</v>
      </c>
      <c r="U209" s="30">
        <v>100</v>
      </c>
      <c r="V209" s="30">
        <v>0</v>
      </c>
      <c r="Y209" s="30" t="s">
        <v>774</v>
      </c>
      <c r="Z209" s="30" t="s">
        <v>782</v>
      </c>
    </row>
    <row r="210" spans="1:26" x14ac:dyDescent="0.2">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15" customHeight="1" x14ac:dyDescent="0.2">
      <c r="A211" s="30">
        <v>276</v>
      </c>
      <c r="B211" s="30" t="s">
        <v>13</v>
      </c>
      <c r="C211" s="30" t="s">
        <v>495</v>
      </c>
      <c r="D211" s="30" t="s">
        <v>990</v>
      </c>
      <c r="E211" s="33" t="s">
        <v>739</v>
      </c>
      <c r="F211" s="27">
        <v>7</v>
      </c>
      <c r="G211" s="27">
        <v>3</v>
      </c>
      <c r="H211" s="28"/>
      <c r="K211" s="27" t="s">
        <v>941</v>
      </c>
      <c r="L211" s="55">
        <f ca="1">VLOOKUP($A211, Stat!$A$1:$C$1000, 2,0)</f>
        <v>6</v>
      </c>
      <c r="M211" s="55">
        <f ca="1">VLOOKUP($A211, Stat!$A$1:$C$1000, 3,0)</f>
        <v>3</v>
      </c>
      <c r="N211" s="27">
        <v>1</v>
      </c>
      <c r="U211" s="30">
        <v>50</v>
      </c>
      <c r="V211" s="30">
        <v>0</v>
      </c>
      <c r="Z211" s="30" t="s">
        <v>743</v>
      </c>
    </row>
    <row r="212" spans="1:26" x14ac:dyDescent="0.2">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15" customHeight="1" x14ac:dyDescent="0.2">
      <c r="A213" s="30">
        <v>282</v>
      </c>
      <c r="B213" s="30" t="s">
        <v>13</v>
      </c>
      <c r="C213" s="30" t="s">
        <v>107</v>
      </c>
      <c r="D213" s="30" t="s">
        <v>1004</v>
      </c>
      <c r="E213" s="30" t="s">
        <v>905</v>
      </c>
      <c r="H213" s="28" t="s">
        <v>111</v>
      </c>
      <c r="L213" s="55">
        <f ca="1">VLOOKUP($A213, Stat!$A$1:$C$1000, 2,0)</f>
        <v>50</v>
      </c>
      <c r="M213" s="55">
        <f ca="1">VLOOKUP($A213, Stat!$A$1:$C$1000, 3,0)</f>
        <v>1</v>
      </c>
      <c r="S213" s="27">
        <v>1</v>
      </c>
      <c r="U213" s="30">
        <v>50</v>
      </c>
      <c r="V213" s="30">
        <v>0</v>
      </c>
      <c r="Y213" s="30" t="s">
        <v>144</v>
      </c>
      <c r="Z213" s="30" t="s">
        <v>997</v>
      </c>
    </row>
    <row r="214" spans="1:26" ht="13.15" customHeight="1" x14ac:dyDescent="0.2">
      <c r="A214" s="30">
        <v>286</v>
      </c>
      <c r="B214" s="30" t="s">
        <v>13</v>
      </c>
      <c r="C214" s="30" t="s">
        <v>93</v>
      </c>
      <c r="D214" s="30" t="s">
        <v>487</v>
      </c>
      <c r="E214" s="30" t="s">
        <v>838</v>
      </c>
      <c r="F214" s="70">
        <v>12</v>
      </c>
      <c r="H214" s="28" t="s">
        <v>111</v>
      </c>
      <c r="K214" s="28" t="s">
        <v>967</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905</v>
      </c>
      <c r="H215" s="28" t="s">
        <v>111</v>
      </c>
      <c r="L215" s="55">
        <f ca="1">VLOOKUP($A215, Stat!$A$1:$C$1000, 2,0)</f>
        <v>52</v>
      </c>
      <c r="M215" s="55">
        <f ca="1">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967</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967</v>
      </c>
      <c r="L217" s="55">
        <f ca="1">VLOOKUP($A217, Stat!$A$1:$C$1000, 2,0)</f>
        <v>1</v>
      </c>
      <c r="M217" s="55">
        <f ca="1">VLOOKUP($A217, Stat!$A$1:$C$1000, 3,0)</f>
        <v>1</v>
      </c>
      <c r="N217" s="27">
        <v>1</v>
      </c>
      <c r="U217" s="30">
        <v>50</v>
      </c>
      <c r="V217" s="30">
        <v>0</v>
      </c>
      <c r="Z217" s="30" t="s">
        <v>504</v>
      </c>
    </row>
    <row r="218" spans="1:26" x14ac:dyDescent="0.2">
      <c r="A218" s="30">
        <v>295</v>
      </c>
      <c r="B218" s="30" t="s">
        <v>13</v>
      </c>
      <c r="C218" s="30" t="s">
        <v>93</v>
      </c>
      <c r="D218" s="30" t="s">
        <v>493</v>
      </c>
      <c r="E218" s="30" t="s">
        <v>735</v>
      </c>
      <c r="F218" s="70">
        <v>12</v>
      </c>
      <c r="H218" s="28" t="s">
        <v>111</v>
      </c>
      <c r="K218" s="28" t="s">
        <v>967</v>
      </c>
      <c r="L218" s="55">
        <f ca="1">VLOOKUP($A218, Stat!$A$1:$C$1000, 2,0)</f>
        <v>0</v>
      </c>
      <c r="M218" s="55">
        <f ca="1">VLOOKUP($A218, Stat!$A$1:$C$1000, 3,0)</f>
        <v>0</v>
      </c>
      <c r="N218" s="27">
        <v>1</v>
      </c>
      <c r="U218" s="30">
        <v>50</v>
      </c>
      <c r="V218" s="30">
        <v>0</v>
      </c>
      <c r="Z218" s="30" t="s">
        <v>983</v>
      </c>
    </row>
    <row r="219" spans="1:26" x14ac:dyDescent="0.2">
      <c r="A219" s="30">
        <v>296</v>
      </c>
      <c r="B219" s="30" t="s">
        <v>13</v>
      </c>
      <c r="C219" s="30" t="s">
        <v>93</v>
      </c>
      <c r="D219" s="30" t="s">
        <v>493</v>
      </c>
      <c r="E219" s="30" t="s">
        <v>734</v>
      </c>
      <c r="F219" s="70">
        <v>12</v>
      </c>
      <c r="H219" s="28" t="s">
        <v>111</v>
      </c>
      <c r="K219" s="28" t="s">
        <v>967</v>
      </c>
      <c r="L219" s="55">
        <f ca="1">VLOOKUP($A219, Stat!$A$1:$C$1000, 2,0)</f>
        <v>0</v>
      </c>
      <c r="M219" s="55">
        <f ca="1">VLOOKUP($A219, Stat!$A$1:$C$1000, 3,0)</f>
        <v>0</v>
      </c>
      <c r="N219" s="27">
        <v>1</v>
      </c>
      <c r="U219" s="30">
        <v>50</v>
      </c>
      <c r="V219" s="30">
        <v>0</v>
      </c>
      <c r="Z219" s="30" t="s">
        <v>984</v>
      </c>
    </row>
    <row r="220" spans="1:26" x14ac:dyDescent="0.2">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875</v>
      </c>
    </row>
    <row r="222" spans="1:26" x14ac:dyDescent="0.2">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876</v>
      </c>
    </row>
    <row r="223" spans="1:26" x14ac:dyDescent="0.2">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845</v>
      </c>
      <c r="E224" s="30" t="s">
        <v>846</v>
      </c>
      <c r="F224" s="27">
        <v>1</v>
      </c>
      <c r="H224" s="28" t="s">
        <v>111</v>
      </c>
      <c r="L224" s="55">
        <f ca="1">VLOOKUP($A224, Stat!$A$1:$C$1000, 2,0)</f>
        <v>2</v>
      </c>
      <c r="M224" s="57">
        <f ca="1">VLOOKUP($A224, Stat!$A$1:$C$1000, 3,0)</f>
        <v>1</v>
      </c>
      <c r="N224" s="27">
        <v>1</v>
      </c>
      <c r="U224" s="30">
        <v>50</v>
      </c>
      <c r="V224" s="30">
        <v>0</v>
      </c>
      <c r="Z224" s="30" t="s">
        <v>847</v>
      </c>
    </row>
    <row r="225" spans="1:26" x14ac:dyDescent="0.2">
      <c r="A225" s="30">
        <v>309</v>
      </c>
      <c r="B225" s="30" t="s">
        <v>13</v>
      </c>
      <c r="C225" s="30" t="s">
        <v>13</v>
      </c>
      <c r="D225" s="30" t="s">
        <v>845</v>
      </c>
      <c r="E225" s="30" t="s">
        <v>844</v>
      </c>
      <c r="F225" s="27">
        <v>1</v>
      </c>
      <c r="H225" s="28" t="s">
        <v>111</v>
      </c>
      <c r="L225" s="55">
        <f ca="1">VLOOKUP($A225, Stat!$A$1:$C$1000, 2,0)</f>
        <v>2</v>
      </c>
      <c r="M225" s="55">
        <f ca="1">VLOOKUP($A225, Stat!$A$1:$C$1000, 3,0)</f>
        <v>1</v>
      </c>
      <c r="N225" s="27">
        <v>1</v>
      </c>
      <c r="U225" s="30">
        <v>50</v>
      </c>
      <c r="V225" s="30">
        <v>0</v>
      </c>
      <c r="Z225" s="30" t="s">
        <v>848</v>
      </c>
    </row>
    <row r="226" spans="1:26" x14ac:dyDescent="0.2">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877</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856</v>
      </c>
      <c r="E231" s="30" t="s">
        <v>39</v>
      </c>
      <c r="F231" s="27">
        <v>7</v>
      </c>
      <c r="G231" s="27">
        <v>1</v>
      </c>
      <c r="H231" s="28"/>
      <c r="K231" s="27" t="s">
        <v>941</v>
      </c>
      <c r="L231" s="55">
        <f ca="1">VLOOKUP($A231, Stat!$A$1:$C$1000, 2,0)</f>
        <v>19</v>
      </c>
      <c r="M231" s="55">
        <f ca="1">VLOOKUP($A231, Stat!$A$1:$C$1000, 3,0)</f>
        <v>5</v>
      </c>
      <c r="N231" s="27">
        <v>1</v>
      </c>
      <c r="U231" s="30">
        <v>100</v>
      </c>
      <c r="V231" s="30">
        <v>0</v>
      </c>
      <c r="X231" s="30" t="s">
        <v>693</v>
      </c>
      <c r="Y231" s="30" t="s">
        <v>858</v>
      </c>
      <c r="Z231" s="30" t="s">
        <v>780</v>
      </c>
    </row>
    <row r="232" spans="1:26" x14ac:dyDescent="0.2">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906</v>
      </c>
      <c r="Z232" s="30" t="s">
        <v>368</v>
      </c>
    </row>
    <row r="233" spans="1:26" x14ac:dyDescent="0.2">
      <c r="A233" s="30">
        <v>324</v>
      </c>
      <c r="B233" s="30" t="s">
        <v>13</v>
      </c>
      <c r="C233" s="30" t="s">
        <v>41</v>
      </c>
      <c r="D233" s="30" t="s">
        <v>485</v>
      </c>
      <c r="E233" s="30" t="s">
        <v>899</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
      <c r="A234" s="30">
        <v>325</v>
      </c>
      <c r="B234" s="30" t="s">
        <v>13</v>
      </c>
      <c r="C234" s="30" t="s">
        <v>41</v>
      </c>
      <c r="D234" s="30" t="s">
        <v>484</v>
      </c>
      <c r="E234" s="30" t="s">
        <v>900</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514</v>
      </c>
      <c r="E235" s="30" t="s">
        <v>900</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495</v>
      </c>
      <c r="D236" s="30" t="s">
        <v>910</v>
      </c>
      <c r="E236" s="30" t="s">
        <v>944</v>
      </c>
      <c r="H236" s="28" t="s">
        <v>111</v>
      </c>
      <c r="L236" s="57">
        <f ca="1">VLOOKUP($A236, Stat!$A$1:$C$1000, 2,0)</f>
        <v>0</v>
      </c>
      <c r="M236" s="57">
        <f ca="1">VLOOKUP($A236, Stat!$A$1:$C$1000, 3,0)</f>
        <v>0</v>
      </c>
      <c r="N236" s="27">
        <v>1</v>
      </c>
      <c r="U236" s="30">
        <v>50</v>
      </c>
      <c r="V236" s="30">
        <v>0</v>
      </c>
      <c r="Z236" s="30" t="s">
        <v>913</v>
      </c>
    </row>
    <row r="237" spans="1:26" x14ac:dyDescent="0.2">
      <c r="A237" s="30">
        <v>335</v>
      </c>
      <c r="B237" s="30" t="s">
        <v>13</v>
      </c>
      <c r="C237" s="30" t="s">
        <v>719</v>
      </c>
      <c r="D237" s="30" t="s">
        <v>762</v>
      </c>
      <c r="E237" s="30" t="s">
        <v>761</v>
      </c>
      <c r="F237" s="27">
        <v>1</v>
      </c>
      <c r="H237" s="28" t="s">
        <v>111</v>
      </c>
      <c r="L237" s="55">
        <f ca="1">VLOOKUP($A237, Stat!$A$1:$C$1000, 2,0)</f>
        <v>146</v>
      </c>
      <c r="M237" s="55">
        <f ca="1">VLOOKUP($A237, Stat!$A$1:$C$1000, 3,0)</f>
        <v>1</v>
      </c>
      <c r="N237" s="58"/>
      <c r="U237" s="30">
        <v>50</v>
      </c>
      <c r="V237" s="30">
        <v>0</v>
      </c>
      <c r="Z237" s="30" t="s">
        <v>505</v>
      </c>
    </row>
    <row r="238" spans="1:26" x14ac:dyDescent="0.2">
      <c r="A238" s="30">
        <v>341</v>
      </c>
      <c r="B238" s="30" t="s">
        <v>95</v>
      </c>
      <c r="C238" s="30" t="s">
        <v>95</v>
      </c>
      <c r="D238" s="30" t="s">
        <v>722</v>
      </c>
      <c r="E238" s="30" t="s">
        <v>180</v>
      </c>
      <c r="H238" s="28" t="s">
        <v>111</v>
      </c>
      <c r="L238" s="55">
        <f ca="1">VLOOKUP($A238, Stat!$A$1:$C$1000, 2,0)</f>
        <v>43</v>
      </c>
      <c r="M238" s="55">
        <f ca="1">VLOOKUP($A238, Stat!$A$1:$C$1000, 3,0)</f>
        <v>0</v>
      </c>
      <c r="N238" s="58"/>
      <c r="O238" s="27">
        <v>1</v>
      </c>
      <c r="S238" s="27">
        <v>1</v>
      </c>
      <c r="U238" s="30">
        <v>0</v>
      </c>
      <c r="V238" s="30">
        <v>0</v>
      </c>
      <c r="Z238" s="30" t="s">
        <v>878</v>
      </c>
    </row>
    <row r="239" spans="1:26" x14ac:dyDescent="0.2">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802</v>
      </c>
      <c r="F241" s="70">
        <v>9</v>
      </c>
      <c r="H241" s="28" t="s">
        <v>111</v>
      </c>
      <c r="K241" s="28" t="s">
        <v>226</v>
      </c>
      <c r="L241" s="55">
        <f ca="1">VLOOKUP($A241, Stat!$A$1:$C$1000, 2,0)</f>
        <v>17</v>
      </c>
      <c r="M241" s="55">
        <f ca="1">VLOOKUP($A241, Stat!$A$1:$C$1000, 3,0)</f>
        <v>0</v>
      </c>
      <c r="N241" s="58"/>
      <c r="U241" s="30">
        <v>0</v>
      </c>
      <c r="V241" s="30">
        <v>0</v>
      </c>
      <c r="Z241" s="30" t="s">
        <v>879</v>
      </c>
    </row>
    <row r="242" spans="1:26" x14ac:dyDescent="0.2">
      <c r="A242" s="30">
        <v>345</v>
      </c>
      <c r="B242" s="30" t="s">
        <v>28</v>
      </c>
      <c r="C242" s="30" t="s">
        <v>566</v>
      </c>
      <c r="D242" s="30" t="s">
        <v>182</v>
      </c>
      <c r="E242" s="30" t="s">
        <v>803</v>
      </c>
      <c r="F242" s="70">
        <v>9</v>
      </c>
      <c r="H242" s="28" t="s">
        <v>111</v>
      </c>
      <c r="K242" s="28" t="s">
        <v>226</v>
      </c>
      <c r="L242" s="55">
        <f ca="1">VLOOKUP($A242, Stat!$A$1:$C$1000, 2,0)</f>
        <v>27</v>
      </c>
      <c r="M242" s="55">
        <f ca="1">VLOOKUP($A242, Stat!$A$1:$C$1000, 3,0)</f>
        <v>0</v>
      </c>
      <c r="N242" s="58"/>
      <c r="U242" s="30">
        <v>0</v>
      </c>
      <c r="V242" s="30">
        <v>0</v>
      </c>
      <c r="Z242" s="30" t="s">
        <v>879</v>
      </c>
    </row>
    <row r="243" spans="1:26" x14ac:dyDescent="0.2">
      <c r="A243" s="30">
        <v>346</v>
      </c>
      <c r="B243" s="30" t="s">
        <v>28</v>
      </c>
      <c r="C243" s="30" t="s">
        <v>566</v>
      </c>
      <c r="D243" s="30" t="s">
        <v>182</v>
      </c>
      <c r="E243" s="30" t="s">
        <v>804</v>
      </c>
      <c r="F243" s="70">
        <v>9</v>
      </c>
      <c r="H243" s="28" t="s">
        <v>111</v>
      </c>
      <c r="K243" s="28" t="s">
        <v>226</v>
      </c>
      <c r="L243" s="55">
        <f ca="1">VLOOKUP($A243, Stat!$A$1:$C$1000, 2,0)</f>
        <v>3</v>
      </c>
      <c r="M243" s="55">
        <f ca="1">VLOOKUP($A243, Stat!$A$1:$C$1000, 3,0)</f>
        <v>0</v>
      </c>
      <c r="N243" s="58"/>
      <c r="U243" s="30">
        <v>0</v>
      </c>
      <c r="V243" s="30">
        <v>0</v>
      </c>
      <c r="Z243" s="30" t="s">
        <v>879</v>
      </c>
    </row>
    <row r="244" spans="1:26" x14ac:dyDescent="0.2">
      <c r="A244" s="30">
        <v>348</v>
      </c>
      <c r="B244" s="30" t="s">
        <v>28</v>
      </c>
      <c r="C244" s="30" t="s">
        <v>566</v>
      </c>
      <c r="D244" s="30" t="s">
        <v>559</v>
      </c>
      <c r="E244" s="30" t="s">
        <v>891</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880</v>
      </c>
    </row>
    <row r="246" spans="1:26" x14ac:dyDescent="0.2">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881</v>
      </c>
    </row>
    <row r="247" spans="1:26" x14ac:dyDescent="0.2">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724</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856</v>
      </c>
      <c r="E256" s="30" t="s">
        <v>199</v>
      </c>
      <c r="F256" s="27">
        <v>7</v>
      </c>
      <c r="G256" s="27">
        <v>1</v>
      </c>
      <c r="H256" s="28"/>
      <c r="K256" s="27" t="s">
        <v>941</v>
      </c>
      <c r="L256" s="55">
        <f ca="1">VLOOKUP($A256, Stat!$A$1:$C$1000, 2,0)</f>
        <v>0</v>
      </c>
      <c r="M256" s="55">
        <f ca="1">VLOOKUP($A256, Stat!$A$1:$C$1000, 3,0)</f>
        <v>0</v>
      </c>
      <c r="N256" s="27">
        <v>1</v>
      </c>
      <c r="U256" s="30">
        <v>0</v>
      </c>
      <c r="V256" s="30">
        <v>1</v>
      </c>
      <c r="X256" s="30" t="s">
        <v>693</v>
      </c>
      <c r="Y256" s="30" t="s">
        <v>858</v>
      </c>
      <c r="Z256" s="30" t="s">
        <v>198</v>
      </c>
    </row>
    <row r="257" spans="1:26" x14ac:dyDescent="0.2">
      <c r="A257" s="30">
        <v>377</v>
      </c>
      <c r="B257" s="30" t="s">
        <v>13</v>
      </c>
      <c r="C257" s="30" t="s">
        <v>648</v>
      </c>
      <c r="D257" s="30" t="s">
        <v>783</v>
      </c>
      <c r="E257" s="30" t="s">
        <v>56</v>
      </c>
      <c r="F257" s="27">
        <v>1</v>
      </c>
      <c r="H257" s="28"/>
      <c r="L257" s="55">
        <f ca="1">VLOOKUP($A257, Stat!$A$1:$C$1000, 2,0)</f>
        <v>6</v>
      </c>
      <c r="M257" s="59">
        <f ca="1">VLOOKUP($A257, Stat!$A$1:$C$1000, 3,0)</f>
        <v>1</v>
      </c>
      <c r="U257" s="30">
        <v>100</v>
      </c>
      <c r="V257" s="30">
        <v>0</v>
      </c>
      <c r="Y257" s="30" t="s">
        <v>731</v>
      </c>
    </row>
    <row r="258" spans="1:26" x14ac:dyDescent="0.2">
      <c r="A258" s="30">
        <v>378</v>
      </c>
      <c r="B258" s="30" t="s">
        <v>13</v>
      </c>
      <c r="C258" s="30" t="s">
        <v>648</v>
      </c>
      <c r="D258" s="30" t="s">
        <v>783</v>
      </c>
      <c r="E258" s="30" t="s">
        <v>57</v>
      </c>
      <c r="F258" s="27">
        <v>1</v>
      </c>
      <c r="H258" s="28"/>
      <c r="L258" s="55">
        <f ca="1">VLOOKUP($A258, Stat!$A$1:$C$1000, 2,0)</f>
        <v>7</v>
      </c>
      <c r="M258" s="59">
        <f ca="1">VLOOKUP($A258, Stat!$A$1:$C$1000, 3,0)</f>
        <v>0</v>
      </c>
      <c r="N258" s="27">
        <v>1</v>
      </c>
      <c r="U258" s="30">
        <v>100</v>
      </c>
      <c r="V258" s="30">
        <v>0</v>
      </c>
      <c r="Y258" s="30" t="s">
        <v>731</v>
      </c>
    </row>
    <row r="259" spans="1:26" x14ac:dyDescent="0.2">
      <c r="A259" s="30">
        <v>379</v>
      </c>
      <c r="B259" s="30" t="s">
        <v>13</v>
      </c>
      <c r="C259" s="30" t="s">
        <v>495</v>
      </c>
      <c r="D259" s="30" t="s">
        <v>732</v>
      </c>
      <c r="E259" s="30" t="s">
        <v>902</v>
      </c>
      <c r="F259" s="27">
        <v>12</v>
      </c>
      <c r="H259" s="28" t="s">
        <v>129</v>
      </c>
      <c r="K259" s="28" t="s">
        <v>970</v>
      </c>
      <c r="L259" s="55">
        <f ca="1">VLOOKUP($A259, Stat!$A$1:$C$1000, 2,0)</f>
        <v>21</v>
      </c>
      <c r="M259" s="55">
        <f ca="1">VLOOKUP($A259, Stat!$A$1:$C$1000, 3,0)</f>
        <v>4</v>
      </c>
      <c r="U259" s="30">
        <v>50</v>
      </c>
      <c r="V259" s="30">
        <v>0</v>
      </c>
    </row>
    <row r="260" spans="1:26" x14ac:dyDescent="0.2">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856</v>
      </c>
      <c r="E261" s="30" t="s">
        <v>981</v>
      </c>
      <c r="F261" s="27">
        <v>7</v>
      </c>
      <c r="G261" s="27">
        <v>1</v>
      </c>
      <c r="H261" s="28"/>
      <c r="K261" s="27" t="s">
        <v>941</v>
      </c>
      <c r="L261" s="27">
        <f ca="1">VLOOKUP($A261, Stat!$A$1:$C$1000, 2,0)</f>
        <v>22</v>
      </c>
      <c r="M261" s="27">
        <f ca="1">VLOOKUP($A261, Stat!$A$1:$C$1000, 3,0)</f>
        <v>2</v>
      </c>
      <c r="N261" s="27">
        <v>1</v>
      </c>
      <c r="U261" s="30">
        <v>50</v>
      </c>
      <c r="V261" s="30">
        <v>0</v>
      </c>
      <c r="X261" s="30" t="s">
        <v>693</v>
      </c>
      <c r="Y261" s="30" t="s">
        <v>858</v>
      </c>
      <c r="Z261" s="30" t="s">
        <v>982</v>
      </c>
    </row>
    <row r="262" spans="1:26" x14ac:dyDescent="0.2">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494</v>
      </c>
      <c r="E263" s="30" t="s">
        <v>840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494</v>
      </c>
      <c r="E264" s="30" t="s">
        <v>839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566</v>
      </c>
      <c r="D273" s="30" t="s">
        <v>746</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566</v>
      </c>
      <c r="D274" s="30" t="s">
        <v>746</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566</v>
      </c>
      <c r="D275" s="30" t="s">
        <v>746</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747</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
      <c r="A281" s="30">
        <v>412</v>
      </c>
      <c r="B281" s="30" t="s">
        <v>28</v>
      </c>
      <c r="C281" s="30" t="s">
        <v>566</v>
      </c>
      <c r="D281" s="30" t="s">
        <v>747</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
      <c r="A282" s="30">
        <v>413</v>
      </c>
      <c r="B282" s="30" t="s">
        <v>28</v>
      </c>
      <c r="C282" s="30" t="s">
        <v>566</v>
      </c>
      <c r="D282" s="30" t="s">
        <v>747</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
      <c r="A283" s="30">
        <v>414</v>
      </c>
      <c r="B283" s="30" t="s">
        <v>28</v>
      </c>
      <c r="C283" s="30" t="s">
        <v>594</v>
      </c>
      <c r="D283" s="30" t="s">
        <v>791</v>
      </c>
      <c r="E283" s="30" t="s">
        <v>2</v>
      </c>
      <c r="F283" s="27">
        <v>5</v>
      </c>
      <c r="H283" s="28" t="s">
        <v>111</v>
      </c>
      <c r="L283" s="27">
        <f ca="1">VLOOKUP($A283, Stat!$A$1:$C$1000, 2,0)</f>
        <v>72</v>
      </c>
      <c r="M283" s="27">
        <f ca="1">VLOOKUP($A283, Stat!$A$1:$C$1000, 3,0)</f>
        <v>5</v>
      </c>
      <c r="R283" s="27">
        <v>506</v>
      </c>
      <c r="U283" s="30">
        <v>0</v>
      </c>
      <c r="V283" s="30">
        <v>1</v>
      </c>
      <c r="W283" s="30">
        <v>35</v>
      </c>
      <c r="Y283" s="30" t="s">
        <v>794</v>
      </c>
    </row>
    <row r="284" spans="1:26" x14ac:dyDescent="0.2">
      <c r="A284" s="30">
        <v>415</v>
      </c>
      <c r="B284" s="30" t="s">
        <v>28</v>
      </c>
      <c r="C284" s="30" t="s">
        <v>594</v>
      </c>
      <c r="D284" s="30" t="s">
        <v>791</v>
      </c>
      <c r="E284" s="30" t="s">
        <v>3</v>
      </c>
      <c r="F284" s="27">
        <v>5</v>
      </c>
      <c r="H284" s="28" t="s">
        <v>111</v>
      </c>
      <c r="L284" s="27">
        <f ca="1">VLOOKUP($A284, Stat!$A$1:$C$1000, 2,0)</f>
        <v>35</v>
      </c>
      <c r="M284" s="27">
        <f ca="1">VLOOKUP($A284, Stat!$A$1:$C$1000, 3,0)</f>
        <v>0</v>
      </c>
      <c r="R284" s="27">
        <v>507</v>
      </c>
      <c r="U284" s="30">
        <v>0</v>
      </c>
      <c r="V284" s="30">
        <v>1</v>
      </c>
      <c r="W284" s="30">
        <v>35</v>
      </c>
      <c r="Y284" s="30" t="s">
        <v>794</v>
      </c>
    </row>
    <row r="285" spans="1:26" x14ac:dyDescent="0.2">
      <c r="A285" s="30">
        <v>416</v>
      </c>
      <c r="B285" s="30" t="s">
        <v>28</v>
      </c>
      <c r="C285" s="30" t="s">
        <v>594</v>
      </c>
      <c r="D285" s="30" t="s">
        <v>791</v>
      </c>
      <c r="E285" s="30" t="s">
        <v>4</v>
      </c>
      <c r="F285" s="27">
        <v>5</v>
      </c>
      <c r="H285" s="28" t="s">
        <v>111</v>
      </c>
      <c r="L285" s="27">
        <f ca="1">VLOOKUP($A285, Stat!$A$1:$C$1000, 2,0)</f>
        <v>23</v>
      </c>
      <c r="M285" s="27">
        <f ca="1">VLOOKUP($A285, Stat!$A$1:$C$1000, 3,0)</f>
        <v>0</v>
      </c>
      <c r="R285" s="27">
        <v>508</v>
      </c>
      <c r="U285" s="30">
        <v>0</v>
      </c>
      <c r="V285" s="30">
        <v>1</v>
      </c>
      <c r="W285" s="30">
        <v>35</v>
      </c>
      <c r="Y285" s="30" t="s">
        <v>794</v>
      </c>
    </row>
    <row r="286" spans="1:26" x14ac:dyDescent="0.2">
      <c r="A286" s="30">
        <v>417</v>
      </c>
      <c r="B286" s="30" t="s">
        <v>28</v>
      </c>
      <c r="C286" s="30" t="s">
        <v>594</v>
      </c>
      <c r="D286" s="30" t="s">
        <v>791</v>
      </c>
      <c r="E286" s="30" t="s">
        <v>34</v>
      </c>
      <c r="F286" s="27">
        <v>5</v>
      </c>
      <c r="H286" s="28" t="s">
        <v>111</v>
      </c>
      <c r="L286" s="27">
        <f ca="1">VLOOKUP($A286, Stat!$A$1:$C$1000, 2,0)</f>
        <v>11</v>
      </c>
      <c r="M286" s="27">
        <f ca="1">VLOOKUP($A286, Stat!$A$1:$C$1000, 3,0)</f>
        <v>4</v>
      </c>
      <c r="R286" s="27">
        <v>509</v>
      </c>
      <c r="U286" s="30">
        <v>0</v>
      </c>
      <c r="V286" s="30">
        <v>1</v>
      </c>
      <c r="W286" s="30">
        <v>35</v>
      </c>
      <c r="Y286" s="30" t="s">
        <v>794</v>
      </c>
    </row>
    <row r="287" spans="1:26" x14ac:dyDescent="0.2">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906</v>
      </c>
      <c r="Z287" s="30" t="s">
        <v>319</v>
      </c>
    </row>
    <row r="288" spans="1:26" x14ac:dyDescent="0.2">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479</v>
      </c>
      <c r="E290" s="30" t="s">
        <v>773</v>
      </c>
      <c r="H290" s="28" t="s">
        <v>111</v>
      </c>
      <c r="L290" s="27">
        <f ca="1">VLOOKUP($A290, Stat!$A$1:$C$1000, 2,0)</f>
        <v>24</v>
      </c>
      <c r="M290" s="27">
        <f ca="1">VLOOKUP($A290, Stat!$A$1:$C$1000, 3,0)</f>
        <v>0</v>
      </c>
      <c r="N290" s="27">
        <v>1</v>
      </c>
      <c r="U290" s="30">
        <v>100</v>
      </c>
      <c r="V290" s="30">
        <v>0</v>
      </c>
      <c r="Y290" s="30" t="s">
        <v>774</v>
      </c>
      <c r="Z290" s="30" t="s">
        <v>775</v>
      </c>
    </row>
    <row r="291" spans="1:26" x14ac:dyDescent="0.2">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866</v>
      </c>
    </row>
    <row r="292" spans="1:26" x14ac:dyDescent="0.2">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866</v>
      </c>
    </row>
    <row r="293" spans="1:26" x14ac:dyDescent="0.2">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867</v>
      </c>
    </row>
    <row r="294" spans="1:26" x14ac:dyDescent="0.2">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867</v>
      </c>
    </row>
    <row r="295" spans="1:26" x14ac:dyDescent="0.2">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748</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883</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884</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884</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884</v>
      </c>
    </row>
    <row r="301" spans="1:26" x14ac:dyDescent="0.2">
      <c r="A301" s="30">
        <v>458</v>
      </c>
      <c r="B301" s="30" t="s">
        <v>13</v>
      </c>
      <c r="C301" s="30" t="s">
        <v>93</v>
      </c>
      <c r="D301" s="30" t="s">
        <v>959</v>
      </c>
      <c r="E301" s="30" t="s">
        <v>901</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941</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941</v>
      </c>
      <c r="L323" s="27">
        <f ca="1">VLOOKUP($A323, Stat!$A$1:$C$1000, 2,0)</f>
        <v>9</v>
      </c>
      <c r="M323" s="27">
        <f ca="1">VLOOKUP($A323, Stat!$A$1:$C$1000, 3,0)</f>
        <v>4</v>
      </c>
      <c r="N323" s="27">
        <v>1</v>
      </c>
      <c r="U323" s="30">
        <v>50</v>
      </c>
      <c r="V323" s="30">
        <v>0</v>
      </c>
      <c r="X323" s="30" t="s">
        <v>623</v>
      </c>
      <c r="Z323" s="30" t="s">
        <v>176</v>
      </c>
    </row>
    <row r="324" spans="1:26" x14ac:dyDescent="0.2">
      <c r="A324" s="30">
        <v>484</v>
      </c>
      <c r="B324" s="30" t="s">
        <v>13</v>
      </c>
      <c r="C324" s="30" t="s">
        <v>41</v>
      </c>
      <c r="D324" s="30" t="s">
        <v>857</v>
      </c>
      <c r="E324" s="30" t="s">
        <v>98</v>
      </c>
      <c r="F324" s="27">
        <v>7</v>
      </c>
      <c r="G324" s="27">
        <v>1</v>
      </c>
      <c r="H324" s="28"/>
      <c r="K324" s="27" t="s">
        <v>941</v>
      </c>
      <c r="L324" s="27">
        <f ca="1">VLOOKUP($A324, Stat!$A$1:$C$1000, 2,0)</f>
        <v>22</v>
      </c>
      <c r="M324" s="27">
        <f ca="1">VLOOKUP($A324, Stat!$A$1:$C$1000, 3,0)</f>
        <v>3</v>
      </c>
      <c r="N324" s="27">
        <v>1</v>
      </c>
      <c r="U324" s="30">
        <v>0</v>
      </c>
      <c r="V324" s="30">
        <v>1</v>
      </c>
      <c r="X324" s="30" t="s">
        <v>693</v>
      </c>
      <c r="Y324" s="30" t="s">
        <v>859</v>
      </c>
      <c r="Z324" s="30" t="s">
        <v>778</v>
      </c>
    </row>
    <row r="325" spans="1:26" x14ac:dyDescent="0.2">
      <c r="A325" s="30">
        <v>485</v>
      </c>
      <c r="B325" s="30" t="s">
        <v>13</v>
      </c>
      <c r="C325" s="30" t="s">
        <v>41</v>
      </c>
      <c r="D325" s="30" t="s">
        <v>857</v>
      </c>
      <c r="E325" s="30" t="s">
        <v>199</v>
      </c>
      <c r="F325" s="27">
        <v>7</v>
      </c>
      <c r="G325" s="27">
        <v>1</v>
      </c>
      <c r="H325" s="28"/>
      <c r="K325" s="27" t="s">
        <v>941</v>
      </c>
      <c r="L325" s="27">
        <f ca="1">VLOOKUP($A325, Stat!$A$1:$C$1000, 2,0)</f>
        <v>8</v>
      </c>
      <c r="M325" s="27">
        <f ca="1">VLOOKUP($A325, Stat!$A$1:$C$1000, 3,0)</f>
        <v>4</v>
      </c>
      <c r="N325" s="27">
        <v>1</v>
      </c>
      <c r="U325" s="30">
        <v>0</v>
      </c>
      <c r="V325" s="30">
        <v>1</v>
      </c>
      <c r="X325" s="30" t="s">
        <v>693</v>
      </c>
      <c r="Y325" s="30" t="s">
        <v>859</v>
      </c>
      <c r="Z325" s="30" t="s">
        <v>198</v>
      </c>
    </row>
    <row r="326" spans="1:26" x14ac:dyDescent="0.2">
      <c r="A326" s="30">
        <v>488</v>
      </c>
      <c r="B326" s="30" t="s">
        <v>13</v>
      </c>
      <c r="C326" s="30" t="s">
        <v>41</v>
      </c>
      <c r="D326" s="30" t="s">
        <v>857</v>
      </c>
      <c r="E326" s="30" t="s">
        <v>777</v>
      </c>
      <c r="F326" s="27">
        <v>7</v>
      </c>
      <c r="G326" s="27">
        <v>1</v>
      </c>
      <c r="H326" s="28"/>
      <c r="K326" s="27" t="s">
        <v>941</v>
      </c>
      <c r="L326" s="27">
        <f ca="1">VLOOKUP($A326, Stat!$A$1:$C$1000, 2,0)</f>
        <v>81</v>
      </c>
      <c r="M326" s="27">
        <f ca="1">VLOOKUP($A326, Stat!$A$1:$C$1000, 3,0)</f>
        <v>28</v>
      </c>
      <c r="N326" s="27">
        <v>1</v>
      </c>
      <c r="U326" s="30">
        <v>0</v>
      </c>
      <c r="V326" s="30">
        <v>1</v>
      </c>
      <c r="X326" s="30" t="s">
        <v>693</v>
      </c>
      <c r="Y326" s="30" t="s">
        <v>859</v>
      </c>
      <c r="Z326" s="30" t="s">
        <v>781</v>
      </c>
    </row>
    <row r="327" spans="1:26" x14ac:dyDescent="0.2">
      <c r="A327" s="30">
        <v>490</v>
      </c>
      <c r="B327" s="30" t="s">
        <v>13</v>
      </c>
      <c r="C327" s="30" t="s">
        <v>41</v>
      </c>
      <c r="D327" s="30" t="s">
        <v>857</v>
      </c>
      <c r="E327" s="30" t="s">
        <v>39</v>
      </c>
      <c r="F327" s="27">
        <v>7</v>
      </c>
      <c r="G327" s="27">
        <v>1</v>
      </c>
      <c r="H327" s="28"/>
      <c r="K327" s="27" t="s">
        <v>941</v>
      </c>
      <c r="L327" s="27">
        <f ca="1">VLOOKUP($A327, Stat!$A$1:$C$1000, 2,0)</f>
        <v>42</v>
      </c>
      <c r="M327" s="27">
        <f ca="1">VLOOKUP($A327, Stat!$A$1:$C$1000, 3,0)</f>
        <v>12</v>
      </c>
      <c r="N327" s="27">
        <v>1</v>
      </c>
      <c r="U327" s="30">
        <v>100</v>
      </c>
      <c r="V327" s="30">
        <v>0</v>
      </c>
      <c r="X327" s="30" t="s">
        <v>693</v>
      </c>
      <c r="Y327" s="30" t="s">
        <v>859</v>
      </c>
      <c r="Z327" s="30" t="s">
        <v>780</v>
      </c>
    </row>
    <row r="328" spans="1:26" x14ac:dyDescent="0.2">
      <c r="A328" s="30">
        <v>491</v>
      </c>
      <c r="B328" s="30" t="s">
        <v>13</v>
      </c>
      <c r="C328" s="30" t="s">
        <v>41</v>
      </c>
      <c r="D328" s="30" t="s">
        <v>857</v>
      </c>
      <c r="E328" s="30" t="s">
        <v>981</v>
      </c>
      <c r="F328" s="27">
        <v>7</v>
      </c>
      <c r="G328" s="27">
        <v>1</v>
      </c>
      <c r="H328" s="28"/>
      <c r="K328" s="27" t="s">
        <v>941</v>
      </c>
      <c r="L328" s="27">
        <f ca="1">VLOOKUP($A328, Stat!$A$1:$C$1000, 2,0)</f>
        <v>4</v>
      </c>
      <c r="M328" s="27">
        <f ca="1">VLOOKUP($A328, Stat!$A$1:$C$1000, 3,0)</f>
        <v>2</v>
      </c>
      <c r="N328" s="27">
        <v>1</v>
      </c>
      <c r="U328" s="30">
        <v>50</v>
      </c>
      <c r="V328" s="30">
        <v>0</v>
      </c>
      <c r="X328" s="30" t="s">
        <v>693</v>
      </c>
      <c r="Y328" s="30" t="s">
        <v>859</v>
      </c>
      <c r="Z328" s="30" t="s">
        <v>982</v>
      </c>
    </row>
    <row r="329" spans="1:26" x14ac:dyDescent="0.2">
      <c r="A329" s="30">
        <v>492</v>
      </c>
      <c r="B329" s="30" t="s">
        <v>13</v>
      </c>
      <c r="C329" s="30" t="s">
        <v>41</v>
      </c>
      <c r="D329" s="30" t="s">
        <v>857</v>
      </c>
      <c r="E329" s="30" t="s">
        <v>776</v>
      </c>
      <c r="F329" s="27">
        <v>7</v>
      </c>
      <c r="G329" s="27">
        <v>1</v>
      </c>
      <c r="H329" s="28"/>
      <c r="K329" s="27" t="s">
        <v>941</v>
      </c>
      <c r="L329" s="27">
        <f ca="1">VLOOKUP($A329, Stat!$A$1:$C$1000, 2,0)</f>
        <v>43</v>
      </c>
      <c r="M329" s="27">
        <f ca="1">VLOOKUP($A329, Stat!$A$1:$C$1000, 3,0)</f>
        <v>12</v>
      </c>
      <c r="N329" s="27">
        <v>1</v>
      </c>
      <c r="R329" s="27">
        <v>488</v>
      </c>
      <c r="U329" s="30">
        <v>0</v>
      </c>
      <c r="V329" s="30">
        <v>1</v>
      </c>
      <c r="X329" s="30" t="s">
        <v>693</v>
      </c>
      <c r="Y329" s="30" t="s">
        <v>859</v>
      </c>
      <c r="Z329" s="30" t="s">
        <v>779</v>
      </c>
    </row>
    <row r="330" spans="1:26" x14ac:dyDescent="0.2">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882</v>
      </c>
    </row>
    <row r="332" spans="1:26" x14ac:dyDescent="0.2">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882</v>
      </c>
    </row>
    <row r="334" spans="1:26" x14ac:dyDescent="0.2">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882</v>
      </c>
    </row>
    <row r="336" spans="1:26" x14ac:dyDescent="0.2">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882</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972</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973</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974</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594</v>
      </c>
      <c r="D343" s="30" t="s">
        <v>790</v>
      </c>
      <c r="E343" s="30" t="s">
        <v>2</v>
      </c>
      <c r="F343" s="27">
        <v>5</v>
      </c>
      <c r="H343" s="28" t="s">
        <v>111</v>
      </c>
      <c r="N343" s="27">
        <v>1</v>
      </c>
      <c r="U343" s="30">
        <v>0</v>
      </c>
      <c r="V343" s="30">
        <v>1</v>
      </c>
      <c r="W343" s="30">
        <v>35</v>
      </c>
      <c r="Y343" s="30" t="s">
        <v>793</v>
      </c>
    </row>
    <row r="344" spans="1:26" x14ac:dyDescent="0.2">
      <c r="A344" s="30">
        <v>507</v>
      </c>
      <c r="B344" s="30" t="s">
        <v>28</v>
      </c>
      <c r="C344" s="30" t="s">
        <v>594</v>
      </c>
      <c r="D344" s="30" t="s">
        <v>790</v>
      </c>
      <c r="E344" s="30" t="s">
        <v>3</v>
      </c>
      <c r="F344" s="27">
        <v>5</v>
      </c>
      <c r="H344" s="28" t="s">
        <v>111</v>
      </c>
      <c r="N344" s="27">
        <v>1</v>
      </c>
      <c r="U344" s="30">
        <v>0</v>
      </c>
      <c r="V344" s="30">
        <v>1</v>
      </c>
      <c r="W344" s="30">
        <v>35</v>
      </c>
      <c r="Y344" s="30" t="s">
        <v>793</v>
      </c>
    </row>
    <row r="345" spans="1:26" x14ac:dyDescent="0.2">
      <c r="A345" s="30">
        <v>508</v>
      </c>
      <c r="B345" s="30" t="s">
        <v>28</v>
      </c>
      <c r="C345" s="30" t="s">
        <v>594</v>
      </c>
      <c r="D345" s="30" t="s">
        <v>790</v>
      </c>
      <c r="E345" s="30" t="s">
        <v>4</v>
      </c>
      <c r="F345" s="27">
        <v>5</v>
      </c>
      <c r="H345" s="28" t="s">
        <v>111</v>
      </c>
      <c r="N345" s="27">
        <v>1</v>
      </c>
      <c r="U345" s="30">
        <v>0</v>
      </c>
      <c r="V345" s="30">
        <v>1</v>
      </c>
      <c r="W345" s="30">
        <v>35</v>
      </c>
      <c r="Y345" s="30" t="s">
        <v>793</v>
      </c>
    </row>
    <row r="346" spans="1:26" x14ac:dyDescent="0.2">
      <c r="A346" s="30">
        <v>509</v>
      </c>
      <c r="B346" s="30" t="s">
        <v>28</v>
      </c>
      <c r="C346" s="30" t="s">
        <v>594</v>
      </c>
      <c r="D346" s="30" t="s">
        <v>790</v>
      </c>
      <c r="E346" s="30" t="s">
        <v>34</v>
      </c>
      <c r="F346" s="27">
        <v>5</v>
      </c>
      <c r="H346" s="28" t="s">
        <v>111</v>
      </c>
      <c r="N346" s="27">
        <v>1</v>
      </c>
      <c r="U346" s="30">
        <v>0</v>
      </c>
      <c r="V346" s="30">
        <v>1</v>
      </c>
      <c r="W346" s="30">
        <v>35</v>
      </c>
      <c r="Y346" s="30" t="s">
        <v>793</v>
      </c>
    </row>
    <row r="347" spans="1:26" x14ac:dyDescent="0.2">
      <c r="A347" s="30">
        <v>510</v>
      </c>
      <c r="B347" s="30" t="s">
        <v>28</v>
      </c>
      <c r="C347" s="30" t="s">
        <v>594</v>
      </c>
      <c r="D347" s="30" t="s">
        <v>789</v>
      </c>
      <c r="E347" s="30" t="s">
        <v>2</v>
      </c>
      <c r="F347" s="27">
        <v>5</v>
      </c>
      <c r="H347" s="28" t="s">
        <v>111</v>
      </c>
      <c r="N347" s="27">
        <v>1</v>
      </c>
      <c r="U347" s="30">
        <v>0</v>
      </c>
      <c r="V347" s="30">
        <v>1</v>
      </c>
      <c r="W347" s="30">
        <v>35</v>
      </c>
      <c r="Y347" s="30" t="s">
        <v>792</v>
      </c>
    </row>
    <row r="348" spans="1:26" x14ac:dyDescent="0.2">
      <c r="A348" s="30">
        <v>511</v>
      </c>
      <c r="B348" s="30" t="s">
        <v>28</v>
      </c>
      <c r="C348" s="30" t="s">
        <v>594</v>
      </c>
      <c r="D348" s="30" t="s">
        <v>789</v>
      </c>
      <c r="E348" s="30" t="s">
        <v>3</v>
      </c>
      <c r="F348" s="27">
        <v>5</v>
      </c>
      <c r="H348" s="28" t="s">
        <v>111</v>
      </c>
      <c r="N348" s="27">
        <v>1</v>
      </c>
      <c r="U348" s="30">
        <v>0</v>
      </c>
      <c r="V348" s="30">
        <v>1</v>
      </c>
      <c r="W348" s="30">
        <v>35</v>
      </c>
      <c r="Y348" s="30" t="s">
        <v>792</v>
      </c>
    </row>
    <row r="349" spans="1:26" x14ac:dyDescent="0.2">
      <c r="A349" s="30">
        <v>512</v>
      </c>
      <c r="B349" s="30" t="s">
        <v>28</v>
      </c>
      <c r="C349" s="30" t="s">
        <v>594</v>
      </c>
      <c r="D349" s="30" t="s">
        <v>789</v>
      </c>
      <c r="E349" s="30" t="s">
        <v>4</v>
      </c>
      <c r="F349" s="27">
        <v>5</v>
      </c>
      <c r="H349" s="28" t="s">
        <v>111</v>
      </c>
      <c r="N349" s="27">
        <v>1</v>
      </c>
      <c r="U349" s="30">
        <v>0</v>
      </c>
      <c r="V349" s="30">
        <v>1</v>
      </c>
      <c r="W349" s="30">
        <v>35</v>
      </c>
      <c r="Y349" s="30" t="s">
        <v>792</v>
      </c>
    </row>
    <row r="350" spans="1:26" x14ac:dyDescent="0.2">
      <c r="A350" s="30">
        <v>513</v>
      </c>
      <c r="B350" s="30" t="s">
        <v>28</v>
      </c>
      <c r="C350" s="30" t="s">
        <v>594</v>
      </c>
      <c r="D350" s="30" t="s">
        <v>789</v>
      </c>
      <c r="E350" s="30" t="s">
        <v>34</v>
      </c>
      <c r="F350" s="27">
        <v>5</v>
      </c>
      <c r="H350" s="28" t="s">
        <v>111</v>
      </c>
      <c r="N350" s="27">
        <v>1</v>
      </c>
      <c r="U350" s="30">
        <v>0</v>
      </c>
      <c r="V350" s="30">
        <v>1</v>
      </c>
      <c r="W350" s="30">
        <v>35</v>
      </c>
      <c r="Y350" s="30" t="s">
        <v>792</v>
      </c>
    </row>
    <row r="351" spans="1:26" x14ac:dyDescent="0.2">
      <c r="A351" s="30">
        <v>514</v>
      </c>
      <c r="B351" s="30" t="s">
        <v>95</v>
      </c>
      <c r="C351" s="30" t="s">
        <v>95</v>
      </c>
      <c r="D351" s="30" t="s">
        <v>478</v>
      </c>
      <c r="E351" s="30" t="s">
        <v>887</v>
      </c>
      <c r="H351" s="28" t="s">
        <v>111</v>
      </c>
      <c r="U351" s="30">
        <v>50</v>
      </c>
      <c r="V351" s="30">
        <v>0</v>
      </c>
      <c r="Y351" s="30" t="s">
        <v>179</v>
      </c>
    </row>
    <row r="352" spans="1:26" x14ac:dyDescent="0.2">
      <c r="A352" s="30">
        <v>515</v>
      </c>
      <c r="B352" s="30" t="s">
        <v>95</v>
      </c>
      <c r="C352" s="30" t="s">
        <v>95</v>
      </c>
      <c r="D352" s="30" t="s">
        <v>952</v>
      </c>
      <c r="E352" s="30" t="s">
        <v>889</v>
      </c>
      <c r="H352" s="28" t="s">
        <v>111</v>
      </c>
      <c r="U352" s="30">
        <v>50</v>
      </c>
      <c r="V352" s="30">
        <v>0</v>
      </c>
    </row>
    <row r="353" spans="1:26" x14ac:dyDescent="0.2">
      <c r="A353" s="30">
        <v>516</v>
      </c>
      <c r="B353" s="30" t="s">
        <v>95</v>
      </c>
      <c r="C353" s="30" t="s">
        <v>727</v>
      </c>
      <c r="D353" s="30" t="s">
        <v>641</v>
      </c>
      <c r="E353" s="30" t="s">
        <v>642</v>
      </c>
      <c r="H353" s="28" t="s">
        <v>111</v>
      </c>
      <c r="U353" s="30">
        <v>50</v>
      </c>
      <c r="V353" s="30">
        <v>0</v>
      </c>
    </row>
    <row r="354" spans="1:26" x14ac:dyDescent="0.2">
      <c r="A354" s="30">
        <v>517</v>
      </c>
      <c r="B354" s="30" t="s">
        <v>95</v>
      </c>
      <c r="C354" s="30" t="s">
        <v>95</v>
      </c>
      <c r="D354" s="30" t="s">
        <v>946</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971</v>
      </c>
      <c r="U355" s="30">
        <v>0</v>
      </c>
      <c r="V355" s="30">
        <v>0</v>
      </c>
      <c r="X355" s="30" t="s">
        <v>693</v>
      </c>
    </row>
    <row r="356" spans="1:26" x14ac:dyDescent="0.2">
      <c r="A356" s="30">
        <v>519</v>
      </c>
      <c r="B356" s="30" t="s">
        <v>13</v>
      </c>
      <c r="C356" s="30" t="s">
        <v>502</v>
      </c>
      <c r="D356" s="30" t="s">
        <v>643</v>
      </c>
      <c r="E356" s="30" t="s">
        <v>645</v>
      </c>
      <c r="F356" s="27">
        <v>12</v>
      </c>
      <c r="H356" s="28" t="s">
        <v>111</v>
      </c>
      <c r="K356" s="70" t="s">
        <v>971</v>
      </c>
      <c r="U356" s="30">
        <v>50</v>
      </c>
      <c r="V356" s="30">
        <v>0</v>
      </c>
      <c r="X356" s="30" t="s">
        <v>693</v>
      </c>
    </row>
    <row r="357" spans="1:26" x14ac:dyDescent="0.2">
      <c r="A357" s="30">
        <v>520</v>
      </c>
      <c r="B357" s="30" t="s">
        <v>13</v>
      </c>
      <c r="C357" s="30" t="s">
        <v>502</v>
      </c>
      <c r="D357" s="30" t="s">
        <v>647</v>
      </c>
      <c r="E357" s="30" t="s">
        <v>904</v>
      </c>
      <c r="F357" s="27">
        <v>12</v>
      </c>
      <c r="H357" s="28" t="s">
        <v>111</v>
      </c>
      <c r="K357" s="70" t="s">
        <v>971</v>
      </c>
      <c r="U357" s="30">
        <v>100</v>
      </c>
      <c r="V357" s="30">
        <v>0</v>
      </c>
    </row>
    <row r="358" spans="1:26" x14ac:dyDescent="0.2">
      <c r="A358" s="30">
        <v>521</v>
      </c>
      <c r="B358" s="30" t="s">
        <v>28</v>
      </c>
      <c r="C358" s="30" t="s">
        <v>648</v>
      </c>
      <c r="D358" s="30" t="s">
        <v>676</v>
      </c>
      <c r="E358" s="30" t="s">
        <v>894</v>
      </c>
      <c r="H358" s="28" t="s">
        <v>111</v>
      </c>
      <c r="U358" s="30">
        <v>100</v>
      </c>
      <c r="V358" s="30">
        <v>0</v>
      </c>
      <c r="Z358" s="30" t="s">
        <v>649</v>
      </c>
    </row>
    <row r="359" spans="1:26" x14ac:dyDescent="0.2">
      <c r="A359" s="30">
        <v>522</v>
      </c>
      <c r="B359" s="30" t="s">
        <v>28</v>
      </c>
      <c r="C359" s="30" t="s">
        <v>12</v>
      </c>
      <c r="D359" s="30" t="s">
        <v>653</v>
      </c>
      <c r="E359" s="30" t="s">
        <v>892</v>
      </c>
      <c r="F359" s="27">
        <v>12</v>
      </c>
      <c r="H359" s="28" t="s">
        <v>111</v>
      </c>
      <c r="K359" s="70" t="s">
        <v>975</v>
      </c>
      <c r="U359" s="30">
        <v>50</v>
      </c>
      <c r="V359" s="30">
        <v>0</v>
      </c>
      <c r="Z359" s="30" t="s">
        <v>654</v>
      </c>
    </row>
    <row r="360" spans="1:26" x14ac:dyDescent="0.2">
      <c r="A360" s="30">
        <v>523</v>
      </c>
      <c r="B360" s="30" t="s">
        <v>28</v>
      </c>
      <c r="C360" s="30" t="s">
        <v>12</v>
      </c>
      <c r="D360" s="30" t="s">
        <v>954</v>
      </c>
      <c r="E360" s="30" t="s">
        <v>893</v>
      </c>
      <c r="H360" s="28" t="s">
        <v>111</v>
      </c>
      <c r="U360" s="30">
        <v>50</v>
      </c>
      <c r="V360" s="30">
        <v>0</v>
      </c>
      <c r="Z360" s="30" t="s">
        <v>650</v>
      </c>
    </row>
    <row r="361" spans="1:26" x14ac:dyDescent="0.2">
      <c r="A361" s="30">
        <v>524</v>
      </c>
      <c r="B361" s="30" t="s">
        <v>28</v>
      </c>
      <c r="C361" s="30" t="s">
        <v>12</v>
      </c>
      <c r="D361" s="152" t="s">
        <v>986</v>
      </c>
      <c r="E361" s="30" t="s">
        <v>675</v>
      </c>
      <c r="F361" s="27">
        <v>12</v>
      </c>
      <c r="H361" s="28" t="s">
        <v>111</v>
      </c>
      <c r="K361" s="70" t="s">
        <v>985</v>
      </c>
      <c r="U361" s="30">
        <v>50</v>
      </c>
      <c r="V361" s="30">
        <v>0</v>
      </c>
      <c r="Y361" s="30" t="s">
        <v>865</v>
      </c>
    </row>
    <row r="362" spans="1:26" x14ac:dyDescent="0.2">
      <c r="A362" s="30">
        <v>525</v>
      </c>
      <c r="B362" s="30" t="s">
        <v>95</v>
      </c>
      <c r="C362" s="30" t="s">
        <v>95</v>
      </c>
      <c r="D362" s="30" t="s">
        <v>951</v>
      </c>
      <c r="E362" s="30" t="s">
        <v>888</v>
      </c>
      <c r="H362" s="28" t="s">
        <v>111</v>
      </c>
      <c r="U362" s="30">
        <v>50</v>
      </c>
      <c r="V362" s="30">
        <v>0</v>
      </c>
    </row>
    <row r="363" spans="1:26" x14ac:dyDescent="0.2">
      <c r="A363" s="30">
        <v>526</v>
      </c>
      <c r="B363" s="30" t="s">
        <v>28</v>
      </c>
      <c r="C363" s="30" t="s">
        <v>12</v>
      </c>
      <c r="D363" s="152" t="s">
        <v>986</v>
      </c>
      <c r="E363" s="30" t="s">
        <v>674</v>
      </c>
      <c r="F363" s="27">
        <v>12</v>
      </c>
      <c r="H363" s="28" t="s">
        <v>111</v>
      </c>
      <c r="K363" s="70" t="s">
        <v>985</v>
      </c>
      <c r="U363" s="30">
        <v>100</v>
      </c>
      <c r="V363" s="30">
        <v>0</v>
      </c>
      <c r="Y363" s="30" t="s">
        <v>865</v>
      </c>
    </row>
    <row r="364" spans="1:26" x14ac:dyDescent="0.2">
      <c r="A364" s="30">
        <v>527</v>
      </c>
      <c r="B364" s="30" t="s">
        <v>95</v>
      </c>
      <c r="C364" s="30" t="s">
        <v>95</v>
      </c>
      <c r="D364" s="30" t="s">
        <v>946</v>
      </c>
      <c r="E364" s="30" t="s">
        <v>679</v>
      </c>
      <c r="H364" s="28" t="s">
        <v>111</v>
      </c>
      <c r="U364" s="30">
        <v>50</v>
      </c>
      <c r="V364" s="30">
        <v>0</v>
      </c>
      <c r="Z364" s="30" t="s">
        <v>681</v>
      </c>
    </row>
    <row r="365" spans="1:26" x14ac:dyDescent="0.2">
      <c r="A365" s="30">
        <v>530</v>
      </c>
      <c r="B365" s="30" t="s">
        <v>95</v>
      </c>
      <c r="C365" s="30" t="s">
        <v>95</v>
      </c>
      <c r="D365" s="30" t="s">
        <v>948</v>
      </c>
      <c r="E365" s="30" t="s">
        <v>885</v>
      </c>
      <c r="H365" s="28" t="s">
        <v>111</v>
      </c>
      <c r="U365" s="30">
        <v>50</v>
      </c>
      <c r="V365" s="30">
        <v>0</v>
      </c>
    </row>
    <row r="366" spans="1:26" x14ac:dyDescent="0.2">
      <c r="A366" s="30">
        <v>531</v>
      </c>
      <c r="B366" s="30" t="s">
        <v>13</v>
      </c>
      <c r="C366" s="30" t="s">
        <v>719</v>
      </c>
      <c r="D366" s="30" t="s">
        <v>683</v>
      </c>
      <c r="E366" s="30" t="s">
        <v>636</v>
      </c>
      <c r="F366" s="27">
        <v>1</v>
      </c>
      <c r="H366" s="28" t="s">
        <v>111</v>
      </c>
      <c r="U366" s="30">
        <v>50</v>
      </c>
      <c r="V366" s="30">
        <v>0</v>
      </c>
      <c r="Z366" s="30" t="s">
        <v>638</v>
      </c>
    </row>
    <row r="367" spans="1:26" x14ac:dyDescent="0.2">
      <c r="A367" s="30">
        <v>532</v>
      </c>
      <c r="B367" s="30" t="s">
        <v>13</v>
      </c>
      <c r="C367" s="30" t="s">
        <v>719</v>
      </c>
      <c r="D367" s="30" t="s">
        <v>684</v>
      </c>
      <c r="E367" s="30" t="s">
        <v>686</v>
      </c>
      <c r="H367" s="28" t="s">
        <v>111</v>
      </c>
      <c r="U367" s="30">
        <v>0</v>
      </c>
      <c r="V367" s="30">
        <v>-1</v>
      </c>
    </row>
    <row r="368" spans="1:26" x14ac:dyDescent="0.2">
      <c r="A368" s="30">
        <v>533</v>
      </c>
      <c r="B368" s="30" t="s">
        <v>13</v>
      </c>
      <c r="C368" s="30" t="s">
        <v>719</v>
      </c>
      <c r="D368" s="30" t="s">
        <v>684</v>
      </c>
      <c r="E368" s="30" t="s">
        <v>688</v>
      </c>
      <c r="H368" s="28" t="s">
        <v>111</v>
      </c>
      <c r="U368" s="30">
        <v>0</v>
      </c>
      <c r="V368" s="30">
        <v>-1</v>
      </c>
    </row>
    <row r="369" spans="1:26" x14ac:dyDescent="0.2">
      <c r="A369" s="30">
        <v>534</v>
      </c>
      <c r="B369" s="30" t="s">
        <v>13</v>
      </c>
      <c r="C369" s="30" t="s">
        <v>719</v>
      </c>
      <c r="D369" s="30" t="s">
        <v>684</v>
      </c>
      <c r="E369" s="30" t="s">
        <v>687</v>
      </c>
      <c r="H369" s="28" t="s">
        <v>111</v>
      </c>
      <c r="U369" s="30">
        <v>0</v>
      </c>
      <c r="V369" s="30">
        <v>0</v>
      </c>
    </row>
    <row r="370" spans="1:26" x14ac:dyDescent="0.2">
      <c r="A370" s="30">
        <v>535</v>
      </c>
      <c r="B370" s="30" t="s">
        <v>13</v>
      </c>
      <c r="C370" s="30" t="s">
        <v>719</v>
      </c>
      <c r="D370" s="30" t="s">
        <v>684</v>
      </c>
      <c r="E370" s="30" t="s">
        <v>125</v>
      </c>
      <c r="H370" s="28" t="s">
        <v>111</v>
      </c>
      <c r="U370" s="30">
        <v>0</v>
      </c>
      <c r="V370" s="30">
        <v>0</v>
      </c>
    </row>
    <row r="371" spans="1:26" x14ac:dyDescent="0.2">
      <c r="A371" s="30">
        <v>536</v>
      </c>
      <c r="B371" s="30" t="s">
        <v>13</v>
      </c>
      <c r="C371" s="30" t="s">
        <v>719</v>
      </c>
      <c r="D371" s="30" t="s">
        <v>685</v>
      </c>
      <c r="E371" s="30" t="s">
        <v>686</v>
      </c>
      <c r="H371" s="28" t="s">
        <v>111</v>
      </c>
      <c r="U371" s="30">
        <v>0</v>
      </c>
      <c r="V371" s="30">
        <v>-1</v>
      </c>
      <c r="X371" s="30" t="s">
        <v>633</v>
      </c>
      <c r="Y371" s="30" t="s">
        <v>945</v>
      </c>
    </row>
    <row r="372" spans="1:26" x14ac:dyDescent="0.2">
      <c r="A372" s="30">
        <v>537</v>
      </c>
      <c r="B372" s="30" t="s">
        <v>13</v>
      </c>
      <c r="C372" s="30" t="s">
        <v>719</v>
      </c>
      <c r="D372" s="30" t="s">
        <v>685</v>
      </c>
      <c r="E372" s="30" t="s">
        <v>687</v>
      </c>
      <c r="H372" s="28" t="s">
        <v>111</v>
      </c>
      <c r="U372" s="30">
        <v>0</v>
      </c>
      <c r="V372" s="30">
        <v>1</v>
      </c>
      <c r="X372" s="30" t="s">
        <v>633</v>
      </c>
      <c r="Y372" s="30" t="s">
        <v>945</v>
      </c>
    </row>
    <row r="373" spans="1:26" x14ac:dyDescent="0.2">
      <c r="A373" s="30">
        <v>538</v>
      </c>
      <c r="B373" s="30" t="s">
        <v>13</v>
      </c>
      <c r="C373" s="30" t="s">
        <v>719</v>
      </c>
      <c r="D373" s="30" t="s">
        <v>685</v>
      </c>
      <c r="E373" s="30" t="s">
        <v>125</v>
      </c>
      <c r="H373" s="28" t="s">
        <v>111</v>
      </c>
      <c r="U373" s="30">
        <v>0</v>
      </c>
      <c r="V373" s="30">
        <v>0</v>
      </c>
      <c r="X373" s="30" t="s">
        <v>633</v>
      </c>
      <c r="Y373" s="30" t="s">
        <v>945</v>
      </c>
    </row>
    <row r="374" spans="1:26" x14ac:dyDescent="0.2">
      <c r="A374" s="30">
        <v>541</v>
      </c>
      <c r="B374" s="30" t="s">
        <v>13</v>
      </c>
      <c r="C374" s="30" t="s">
        <v>502</v>
      </c>
      <c r="D374" s="30" t="s">
        <v>690</v>
      </c>
      <c r="E374" s="30" t="s">
        <v>691</v>
      </c>
      <c r="F374" s="27">
        <v>12</v>
      </c>
      <c r="H374" s="28" t="s">
        <v>111</v>
      </c>
      <c r="K374" s="70" t="s">
        <v>971</v>
      </c>
      <c r="U374" s="30">
        <v>0</v>
      </c>
      <c r="V374" s="30">
        <v>0</v>
      </c>
      <c r="X374" s="30" t="s">
        <v>693</v>
      </c>
    </row>
    <row r="375" spans="1:26" x14ac:dyDescent="0.2">
      <c r="A375" s="30">
        <v>542</v>
      </c>
      <c r="B375" s="30" t="s">
        <v>13</v>
      </c>
      <c r="C375" s="30" t="s">
        <v>502</v>
      </c>
      <c r="D375" s="30" t="s">
        <v>690</v>
      </c>
      <c r="E375" s="30" t="s">
        <v>692</v>
      </c>
      <c r="F375" s="27">
        <v>12</v>
      </c>
      <c r="H375" s="28" t="s">
        <v>111</v>
      </c>
      <c r="K375" s="70" t="s">
        <v>971</v>
      </c>
      <c r="U375" s="30">
        <v>0</v>
      </c>
      <c r="V375" s="30">
        <v>1</v>
      </c>
      <c r="X375" s="30" t="s">
        <v>693</v>
      </c>
    </row>
    <row r="376" spans="1:26" x14ac:dyDescent="0.2">
      <c r="A376" s="30">
        <v>543</v>
      </c>
      <c r="B376" s="30" t="s">
        <v>13</v>
      </c>
      <c r="C376" s="30" t="s">
        <v>502</v>
      </c>
      <c r="D376" s="30" t="s">
        <v>690</v>
      </c>
      <c r="E376" s="30" t="s">
        <v>130</v>
      </c>
      <c r="F376" s="27">
        <v>12</v>
      </c>
      <c r="H376" s="28" t="s">
        <v>111</v>
      </c>
      <c r="K376" s="70" t="s">
        <v>971</v>
      </c>
      <c r="U376" s="30">
        <v>100</v>
      </c>
      <c r="V376" s="30">
        <v>0</v>
      </c>
      <c r="X376" s="30" t="s">
        <v>689</v>
      </c>
    </row>
    <row r="377" spans="1:26" x14ac:dyDescent="0.2">
      <c r="A377" s="30">
        <v>544</v>
      </c>
      <c r="B377" s="30" t="s">
        <v>13</v>
      </c>
      <c r="C377" s="30" t="s">
        <v>502</v>
      </c>
      <c r="D377" s="30" t="s">
        <v>996</v>
      </c>
      <c r="E377" s="30" t="s">
        <v>998</v>
      </c>
      <c r="H377" s="28" t="s">
        <v>111</v>
      </c>
      <c r="K377" s="70"/>
      <c r="U377" s="30">
        <v>0</v>
      </c>
      <c r="V377" s="30">
        <v>0</v>
      </c>
      <c r="Z377" s="30" t="s">
        <v>694</v>
      </c>
    </row>
    <row r="378" spans="1:26" x14ac:dyDescent="0.2">
      <c r="A378" s="30">
        <v>545</v>
      </c>
      <c r="B378" s="30" t="s">
        <v>13</v>
      </c>
      <c r="C378" s="30" t="s">
        <v>502</v>
      </c>
      <c r="D378" s="30" t="s">
        <v>987</v>
      </c>
      <c r="E378" s="30" t="s">
        <v>999</v>
      </c>
      <c r="F378" s="27">
        <v>12</v>
      </c>
      <c r="H378" s="28" t="s">
        <v>111</v>
      </c>
      <c r="K378" s="70" t="s">
        <v>1000</v>
      </c>
      <c r="U378" s="30">
        <v>50</v>
      </c>
      <c r="V378" s="30">
        <v>0</v>
      </c>
      <c r="Y378" s="30" t="s">
        <v>988</v>
      </c>
      <c r="Z378" s="30" t="s">
        <v>695</v>
      </c>
    </row>
    <row r="379" spans="1:26" x14ac:dyDescent="0.2">
      <c r="A379" s="30">
        <v>546</v>
      </c>
      <c r="B379" s="30" t="s">
        <v>13</v>
      </c>
      <c r="C379" s="30" t="s">
        <v>502</v>
      </c>
      <c r="D379" s="30" t="s">
        <v>994</v>
      </c>
      <c r="E379" s="152" t="s">
        <v>1001</v>
      </c>
      <c r="F379" s="27">
        <v>12</v>
      </c>
      <c r="H379" s="28" t="s">
        <v>111</v>
      </c>
      <c r="K379" s="70" t="s">
        <v>971</v>
      </c>
      <c r="U379" s="30">
        <v>0</v>
      </c>
      <c r="V379" s="30">
        <v>0</v>
      </c>
      <c r="Z379" s="30" t="s">
        <v>696</v>
      </c>
    </row>
    <row r="380" spans="1:26" x14ac:dyDescent="0.2">
      <c r="A380" s="30">
        <v>547</v>
      </c>
      <c r="B380" s="30" t="s">
        <v>13</v>
      </c>
      <c r="C380" s="30" t="s">
        <v>502</v>
      </c>
      <c r="D380" s="30" t="s">
        <v>994</v>
      </c>
      <c r="E380" s="30" t="s">
        <v>995</v>
      </c>
      <c r="F380" s="27">
        <v>12</v>
      </c>
      <c r="H380" s="28" t="s">
        <v>111</v>
      </c>
      <c r="K380" s="70" t="s">
        <v>971</v>
      </c>
      <c r="U380" s="30">
        <v>50</v>
      </c>
      <c r="V380" s="30">
        <v>0</v>
      </c>
      <c r="Z380" s="30" t="s">
        <v>697</v>
      </c>
    </row>
    <row r="381" spans="1:26" x14ac:dyDescent="0.2">
      <c r="A381" s="30">
        <v>548</v>
      </c>
      <c r="B381" s="30" t="s">
        <v>13</v>
      </c>
      <c r="C381" s="30" t="s">
        <v>502</v>
      </c>
      <c r="D381" s="30" t="s">
        <v>795</v>
      </c>
      <c r="E381" s="30" t="s">
        <v>646</v>
      </c>
      <c r="F381" s="27">
        <v>10</v>
      </c>
      <c r="H381" s="28" t="s">
        <v>111</v>
      </c>
      <c r="K381" s="69" t="s">
        <v>966</v>
      </c>
      <c r="U381" s="30">
        <v>100</v>
      </c>
      <c r="V381" s="30">
        <v>0</v>
      </c>
      <c r="X381" s="30" t="s">
        <v>693</v>
      </c>
    </row>
    <row r="382" spans="1:26" x14ac:dyDescent="0.2">
      <c r="A382" s="30">
        <v>549</v>
      </c>
      <c r="B382" s="30" t="s">
        <v>95</v>
      </c>
      <c r="C382" s="30" t="s">
        <v>95</v>
      </c>
      <c r="D382" s="30" t="s">
        <v>950</v>
      </c>
      <c r="E382" s="30" t="s">
        <v>886</v>
      </c>
      <c r="F382" s="27">
        <v>12</v>
      </c>
      <c r="H382" s="28" t="s">
        <v>111</v>
      </c>
      <c r="K382" s="70" t="s">
        <v>721</v>
      </c>
      <c r="U382" s="30">
        <v>0</v>
      </c>
      <c r="V382" s="30">
        <v>1</v>
      </c>
      <c r="Z382" s="30" t="s">
        <v>720</v>
      </c>
    </row>
    <row r="383" spans="1:26" x14ac:dyDescent="0.2">
      <c r="A383" s="30">
        <v>550</v>
      </c>
      <c r="B383" s="30" t="s">
        <v>13</v>
      </c>
      <c r="C383" s="30" t="s">
        <v>502</v>
      </c>
      <c r="D383" s="30" t="s">
        <v>963</v>
      </c>
      <c r="E383" s="30" t="s">
        <v>726</v>
      </c>
      <c r="F383" s="27">
        <v>10</v>
      </c>
      <c r="H383" s="28"/>
      <c r="K383" s="70" t="s">
        <v>1002</v>
      </c>
      <c r="U383" s="30">
        <v>50</v>
      </c>
      <c r="V383" s="30">
        <v>0</v>
      </c>
      <c r="X383" s="30" t="s">
        <v>35</v>
      </c>
    </row>
    <row r="384" spans="1:26" x14ac:dyDescent="0.2">
      <c r="A384" s="30">
        <v>551</v>
      </c>
      <c r="B384" s="30" t="s">
        <v>13</v>
      </c>
      <c r="C384" s="30" t="s">
        <v>495</v>
      </c>
      <c r="D384" s="30" t="s">
        <v>960</v>
      </c>
      <c r="E384" s="30" t="s">
        <v>723</v>
      </c>
      <c r="H384" s="28" t="s">
        <v>111</v>
      </c>
      <c r="U384" s="30">
        <v>100</v>
      </c>
      <c r="V384" s="30">
        <v>0</v>
      </c>
    </row>
    <row r="385" spans="1:26" x14ac:dyDescent="0.2">
      <c r="A385" s="30">
        <v>555</v>
      </c>
      <c r="B385" s="30" t="s">
        <v>13</v>
      </c>
      <c r="C385" s="30" t="s">
        <v>13</v>
      </c>
      <c r="D385" s="30" t="s">
        <v>725</v>
      </c>
      <c r="E385" s="30" t="s">
        <v>895</v>
      </c>
      <c r="F385" s="27">
        <v>1</v>
      </c>
      <c r="H385" s="28" t="s">
        <v>111</v>
      </c>
      <c r="U385" s="30">
        <v>100</v>
      </c>
      <c r="V385" s="30">
        <v>0</v>
      </c>
      <c r="Y385" s="30" t="s">
        <v>729</v>
      </c>
    </row>
    <row r="386" spans="1:26" x14ac:dyDescent="0.2">
      <c r="A386" s="30">
        <v>557</v>
      </c>
      <c r="B386" s="30" t="s">
        <v>95</v>
      </c>
      <c r="C386" s="30" t="s">
        <v>727</v>
      </c>
      <c r="D386" s="30" t="s">
        <v>953</v>
      </c>
      <c r="E386" s="30" t="s">
        <v>890</v>
      </c>
      <c r="H386" s="28" t="s">
        <v>111</v>
      </c>
      <c r="U386" s="30">
        <v>50</v>
      </c>
      <c r="V386" s="30">
        <v>0</v>
      </c>
    </row>
    <row r="387" spans="1:26" x14ac:dyDescent="0.2">
      <c r="A387" s="30">
        <v>558</v>
      </c>
      <c r="B387" s="30" t="s">
        <v>13</v>
      </c>
      <c r="C387" s="30" t="s">
        <v>13</v>
      </c>
      <c r="D387" s="30" t="s">
        <v>730</v>
      </c>
      <c r="E387" s="30" t="s">
        <v>896</v>
      </c>
      <c r="F387" s="27">
        <v>1</v>
      </c>
      <c r="H387" s="28" t="s">
        <v>111</v>
      </c>
      <c r="U387" s="30">
        <v>100</v>
      </c>
      <c r="V387" s="30">
        <v>0</v>
      </c>
      <c r="Y387" s="30" t="s">
        <v>786</v>
      </c>
    </row>
    <row r="388" spans="1:26" x14ac:dyDescent="0.2">
      <c r="A388" s="30">
        <v>559</v>
      </c>
      <c r="B388" s="30" t="s">
        <v>13</v>
      </c>
      <c r="C388" s="30" t="s">
        <v>13</v>
      </c>
      <c r="D388" s="30" t="s">
        <v>728</v>
      </c>
      <c r="E388" s="30" t="s">
        <v>930</v>
      </c>
      <c r="F388" s="27">
        <v>1</v>
      </c>
      <c r="H388" s="28" t="s">
        <v>111</v>
      </c>
      <c r="U388" s="30">
        <v>50</v>
      </c>
      <c r="V388" s="30">
        <v>0</v>
      </c>
      <c r="Z388" s="30" t="s">
        <v>934</v>
      </c>
    </row>
    <row r="389" spans="1:26" x14ac:dyDescent="0.2">
      <c r="A389" s="30">
        <v>139</v>
      </c>
      <c r="B389" s="30" t="s">
        <v>13</v>
      </c>
      <c r="C389" s="30" t="s">
        <v>13</v>
      </c>
      <c r="D389" s="30" t="s">
        <v>845</v>
      </c>
      <c r="E389" s="30" t="s">
        <v>843</v>
      </c>
      <c r="F389" s="27">
        <v>1</v>
      </c>
      <c r="H389" s="28" t="s">
        <v>111</v>
      </c>
      <c r="U389" s="30">
        <v>50</v>
      </c>
      <c r="V389" s="30">
        <v>0</v>
      </c>
      <c r="Z389" s="30" t="s">
        <v>849</v>
      </c>
    </row>
    <row r="390" spans="1:26" x14ac:dyDescent="0.2">
      <c r="A390" s="30">
        <v>161</v>
      </c>
      <c r="B390" s="30" t="s">
        <v>13</v>
      </c>
      <c r="C390" s="30" t="s">
        <v>495</v>
      </c>
      <c r="D390" s="30" t="s">
        <v>989</v>
      </c>
      <c r="E390" s="30" t="s">
        <v>733</v>
      </c>
      <c r="F390" s="27">
        <v>7</v>
      </c>
      <c r="G390" s="27">
        <v>3</v>
      </c>
      <c r="H390" s="28"/>
      <c r="K390" s="27" t="s">
        <v>941</v>
      </c>
      <c r="U390" s="30">
        <v>0</v>
      </c>
      <c r="V390" s="30">
        <v>0</v>
      </c>
      <c r="Z390" s="30" t="s">
        <v>798</v>
      </c>
    </row>
    <row r="391" spans="1:26" x14ac:dyDescent="0.2">
      <c r="A391" s="30">
        <v>162</v>
      </c>
      <c r="B391" s="30" t="s">
        <v>13</v>
      </c>
      <c r="C391" s="30" t="s">
        <v>495</v>
      </c>
      <c r="D391" s="30" t="s">
        <v>797</v>
      </c>
      <c r="E391" s="30" t="s">
        <v>40</v>
      </c>
      <c r="F391" s="27">
        <v>7</v>
      </c>
      <c r="G391" s="27">
        <v>1</v>
      </c>
      <c r="H391" s="28"/>
      <c r="K391" s="27" t="s">
        <v>941</v>
      </c>
      <c r="U391" s="30">
        <v>0</v>
      </c>
      <c r="V391" s="30">
        <v>0</v>
      </c>
    </row>
    <row r="392" spans="1:26" x14ac:dyDescent="0.2">
      <c r="A392" s="30">
        <v>163</v>
      </c>
      <c r="B392" s="30" t="s">
        <v>13</v>
      </c>
      <c r="C392" s="30" t="s">
        <v>495</v>
      </c>
      <c r="D392" s="30" t="s">
        <v>797</v>
      </c>
      <c r="E392" s="30" t="s">
        <v>175</v>
      </c>
      <c r="F392" s="27">
        <v>7</v>
      </c>
      <c r="G392" s="27">
        <v>1</v>
      </c>
      <c r="H392" s="28"/>
      <c r="K392" s="27" t="s">
        <v>941</v>
      </c>
      <c r="U392" s="30">
        <v>0</v>
      </c>
      <c r="V392" s="30">
        <v>0</v>
      </c>
      <c r="X392" s="30" t="s">
        <v>623</v>
      </c>
    </row>
    <row r="393" spans="1:26" x14ac:dyDescent="0.2">
      <c r="A393" s="30">
        <v>166</v>
      </c>
      <c r="B393" s="30" t="s">
        <v>13</v>
      </c>
      <c r="C393" s="30" t="s">
        <v>41</v>
      </c>
      <c r="D393" s="30" t="s">
        <v>991</v>
      </c>
      <c r="E393" s="30" t="s">
        <v>854</v>
      </c>
      <c r="F393" s="28" t="s">
        <v>216</v>
      </c>
      <c r="G393" s="28" t="s">
        <v>126</v>
      </c>
      <c r="K393" s="27" t="s">
        <v>941</v>
      </c>
      <c r="U393" s="30">
        <v>50</v>
      </c>
      <c r="V393" s="30">
        <v>0</v>
      </c>
      <c r="Z393" s="30" t="s">
        <v>851</v>
      </c>
    </row>
    <row r="394" spans="1:26" x14ac:dyDescent="0.2">
      <c r="A394" s="30">
        <v>167</v>
      </c>
      <c r="B394" s="30" t="s">
        <v>13</v>
      </c>
      <c r="C394" s="30" t="s">
        <v>41</v>
      </c>
      <c r="D394" s="30" t="s">
        <v>992</v>
      </c>
      <c r="E394" s="30" t="s">
        <v>854</v>
      </c>
      <c r="F394" s="28" t="s">
        <v>216</v>
      </c>
      <c r="G394" s="28" t="s">
        <v>126</v>
      </c>
      <c r="K394" s="27" t="s">
        <v>941</v>
      </c>
      <c r="U394" s="30">
        <v>50</v>
      </c>
      <c r="V394" s="30">
        <v>0</v>
      </c>
      <c r="Z394" s="30" t="s">
        <v>850</v>
      </c>
    </row>
    <row r="395" spans="1:26" x14ac:dyDescent="0.2">
      <c r="A395" s="30">
        <v>168</v>
      </c>
      <c r="B395" s="30" t="s">
        <v>13</v>
      </c>
      <c r="C395" s="30" t="s">
        <v>41</v>
      </c>
      <c r="D395" s="30" t="s">
        <v>993</v>
      </c>
      <c r="E395" s="30" t="s">
        <v>854</v>
      </c>
      <c r="F395" s="28" t="s">
        <v>216</v>
      </c>
      <c r="G395" s="28" t="s">
        <v>126</v>
      </c>
      <c r="K395" s="27" t="s">
        <v>941</v>
      </c>
      <c r="U395" s="30">
        <v>50</v>
      </c>
      <c r="V395" s="30">
        <v>0</v>
      </c>
      <c r="Z395" s="30" t="s">
        <v>852</v>
      </c>
    </row>
    <row r="396" spans="1:26" x14ac:dyDescent="0.2">
      <c r="A396" s="30">
        <v>194</v>
      </c>
      <c r="B396" s="30" t="s">
        <v>13</v>
      </c>
      <c r="C396" s="30" t="s">
        <v>13</v>
      </c>
      <c r="D396" s="30" t="s">
        <v>855</v>
      </c>
      <c r="E396" s="30" t="s">
        <v>897</v>
      </c>
      <c r="F396" s="27">
        <v>1</v>
      </c>
      <c r="U396" s="30">
        <v>50</v>
      </c>
      <c r="V396" s="30">
        <v>0</v>
      </c>
      <c r="X396" s="30" t="s">
        <v>35</v>
      </c>
    </row>
    <row r="397" spans="1:26" x14ac:dyDescent="0.2">
      <c r="A397" s="30">
        <v>237</v>
      </c>
      <c r="B397" s="30" t="s">
        <v>95</v>
      </c>
      <c r="C397" s="30" t="s">
        <v>95</v>
      </c>
      <c r="D397" s="30" t="s">
        <v>947</v>
      </c>
      <c r="E397" s="30" t="s">
        <v>909</v>
      </c>
      <c r="U397" s="30">
        <v>50</v>
      </c>
      <c r="V397" s="30">
        <v>0</v>
      </c>
      <c r="Z397" s="30" t="s">
        <v>908</v>
      </c>
    </row>
    <row r="398" spans="1:26" x14ac:dyDescent="0.2">
      <c r="A398" s="30">
        <v>195</v>
      </c>
      <c r="B398" s="30" t="s">
        <v>13</v>
      </c>
      <c r="C398" s="30" t="s">
        <v>495</v>
      </c>
      <c r="D398" s="30" t="s">
        <v>910</v>
      </c>
      <c r="E398" s="30" t="s">
        <v>911</v>
      </c>
      <c r="H398" s="27">
        <v>1</v>
      </c>
      <c r="U398" s="30">
        <v>50</v>
      </c>
      <c r="V398" s="30">
        <v>0</v>
      </c>
      <c r="Z398" s="30" t="s">
        <v>914</v>
      </c>
    </row>
    <row r="399" spans="1:26" x14ac:dyDescent="0.2">
      <c r="A399" s="30">
        <v>214</v>
      </c>
      <c r="B399" s="30" t="s">
        <v>13</v>
      </c>
      <c r="C399" s="30" t="s">
        <v>502</v>
      </c>
      <c r="D399" s="30" t="s">
        <v>962</v>
      </c>
      <c r="E399" s="30" t="s">
        <v>923</v>
      </c>
      <c r="F399" s="27">
        <v>10</v>
      </c>
      <c r="K399" s="70" t="s">
        <v>1003</v>
      </c>
      <c r="U399" s="30">
        <v>50</v>
      </c>
      <c r="V399" s="30">
        <v>0</v>
      </c>
      <c r="X399" s="30" t="s">
        <v>35</v>
      </c>
    </row>
    <row r="400" spans="1:26" x14ac:dyDescent="0.2">
      <c r="A400" s="30">
        <v>215</v>
      </c>
      <c r="B400" s="30" t="s">
        <v>95</v>
      </c>
      <c r="C400" s="30" t="s">
        <v>95</v>
      </c>
      <c r="D400" s="30" t="s">
        <v>949</v>
      </c>
      <c r="E400" s="30" t="s">
        <v>886</v>
      </c>
      <c r="U400" s="30">
        <v>50</v>
      </c>
      <c r="V400" s="30">
        <v>0</v>
      </c>
      <c r="Y400" s="30" t="s">
        <v>924</v>
      </c>
      <c r="Z400" s="30" t="s">
        <v>925</v>
      </c>
    </row>
    <row r="401" spans="1:26" x14ac:dyDescent="0.2">
      <c r="A401" s="30">
        <v>238</v>
      </c>
      <c r="B401" s="30" t="s">
        <v>13</v>
      </c>
      <c r="C401" s="30" t="s">
        <v>928</v>
      </c>
      <c r="D401" s="30" t="s">
        <v>926</v>
      </c>
      <c r="E401" s="30" t="s">
        <v>414</v>
      </c>
      <c r="F401" s="27">
        <v>9</v>
      </c>
      <c r="G401" s="27">
        <v>1</v>
      </c>
      <c r="H401" s="27">
        <v>1</v>
      </c>
      <c r="K401" s="70" t="s">
        <v>929</v>
      </c>
      <c r="U401" s="30">
        <v>50</v>
      </c>
      <c r="V401" s="30">
        <v>0</v>
      </c>
      <c r="Y401" s="30" t="s">
        <v>927</v>
      </c>
    </row>
    <row r="402" spans="1:26" x14ac:dyDescent="0.2">
      <c r="A402" s="30">
        <v>251</v>
      </c>
      <c r="B402" s="30" t="s">
        <v>13</v>
      </c>
      <c r="C402" s="30" t="s">
        <v>13</v>
      </c>
      <c r="D402" s="30" t="s">
        <v>931</v>
      </c>
      <c r="E402" s="30" t="s">
        <v>932</v>
      </c>
      <c r="F402" s="27">
        <v>1</v>
      </c>
      <c r="H402" s="27">
        <v>1</v>
      </c>
      <c r="U402" s="30">
        <v>50</v>
      </c>
      <c r="V402" s="30">
        <v>0</v>
      </c>
      <c r="X402" s="30" t="s">
        <v>35</v>
      </c>
      <c r="Z402" s="30" t="s">
        <v>935</v>
      </c>
    </row>
    <row r="403" spans="1:26" x14ac:dyDescent="0.2">
      <c r="A403" s="30">
        <v>241</v>
      </c>
      <c r="B403" s="30" t="s">
        <v>13</v>
      </c>
      <c r="C403" s="30" t="s">
        <v>719</v>
      </c>
      <c r="D403" s="30" t="s">
        <v>976</v>
      </c>
      <c r="E403" s="30" t="s">
        <v>978</v>
      </c>
      <c r="U403" s="30">
        <v>0</v>
      </c>
      <c r="V403" s="30">
        <v>1</v>
      </c>
    </row>
    <row r="404" spans="1:26" x14ac:dyDescent="0.2">
      <c r="A404" s="30">
        <v>242</v>
      </c>
      <c r="B404" s="30" t="s">
        <v>13</v>
      </c>
      <c r="C404" s="30" t="s">
        <v>719</v>
      </c>
      <c r="D404" s="30" t="s">
        <v>976</v>
      </c>
      <c r="E404" s="30" t="s">
        <v>738</v>
      </c>
      <c r="U404" s="30">
        <v>0</v>
      </c>
      <c r="V404" s="30">
        <v>1</v>
      </c>
    </row>
    <row r="405" spans="1:26" x14ac:dyDescent="0.2">
      <c r="A405" s="30">
        <v>243</v>
      </c>
      <c r="B405" s="30" t="s">
        <v>13</v>
      </c>
      <c r="C405" s="30" t="s">
        <v>719</v>
      </c>
      <c r="D405" s="30" t="s">
        <v>976</v>
      </c>
      <c r="E405" s="30" t="s">
        <v>741</v>
      </c>
      <c r="U405" s="30">
        <v>0</v>
      </c>
      <c r="V405" s="30">
        <v>1</v>
      </c>
    </row>
    <row r="406" spans="1:26" x14ac:dyDescent="0.2">
      <c r="A406" s="30">
        <v>252</v>
      </c>
      <c r="B406" s="30" t="s">
        <v>13</v>
      </c>
      <c r="C406" s="30" t="s">
        <v>719</v>
      </c>
      <c r="D406" s="30" t="s">
        <v>976</v>
      </c>
      <c r="E406" s="30" t="s">
        <v>977</v>
      </c>
      <c r="U406" s="30">
        <v>50</v>
      </c>
      <c r="V406" s="30">
        <v>0</v>
      </c>
    </row>
    <row r="407" spans="1:26" x14ac:dyDescent="0.2">
      <c r="A407" s="30">
        <v>253</v>
      </c>
      <c r="B407" s="30" t="s">
        <v>13</v>
      </c>
      <c r="C407" s="30" t="s">
        <v>719</v>
      </c>
      <c r="D407" s="30" t="s">
        <v>976</v>
      </c>
      <c r="E407" s="30" t="s">
        <v>739</v>
      </c>
      <c r="U407" s="30">
        <v>50</v>
      </c>
      <c r="V407" s="30">
        <v>0</v>
      </c>
    </row>
    <row r="408" spans="1:26" x14ac:dyDescent="0.2">
      <c r="A408" s="30">
        <v>254</v>
      </c>
      <c r="B408" s="30" t="s">
        <v>13</v>
      </c>
      <c r="C408" s="30" t="s">
        <v>719</v>
      </c>
      <c r="D408" s="30" t="s">
        <v>976</v>
      </c>
      <c r="E408" s="30" t="s">
        <v>740</v>
      </c>
      <c r="U408" s="30">
        <v>50</v>
      </c>
      <c r="V408" s="30">
        <v>0</v>
      </c>
    </row>
    <row r="409" spans="1:26" x14ac:dyDescent="0.2">
      <c r="A409" s="30">
        <v>257</v>
      </c>
      <c r="B409" s="30" t="s">
        <v>13</v>
      </c>
      <c r="C409" s="30" t="s">
        <v>107</v>
      </c>
      <c r="D409" s="30" t="s">
        <v>1005</v>
      </c>
      <c r="E409" s="30" t="s">
        <v>1006</v>
      </c>
      <c r="U409" s="30">
        <v>0</v>
      </c>
      <c r="V409" s="30">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943</v>
      </c>
    </row>
    <row r="2" spans="1:2" x14ac:dyDescent="0.2">
      <c r="A2" s="2" t="s">
        <v>938</v>
      </c>
      <c r="B2" s="2" t="s">
        <v>939</v>
      </c>
    </row>
    <row r="3" spans="1:2" x14ac:dyDescent="0.2">
      <c r="A3" s="2" t="s">
        <v>656</v>
      </c>
      <c r="B3" s="2" t="s">
        <v>940</v>
      </c>
    </row>
    <row r="4" spans="1:2" x14ac:dyDescent="0.2">
      <c r="A4" s="2" t="s">
        <v>657</v>
      </c>
      <c r="B4" s="2" t="s">
        <v>940</v>
      </c>
    </row>
    <row r="5" spans="1:2" x14ac:dyDescent="0.2">
      <c r="A5" s="2" t="s">
        <v>658</v>
      </c>
      <c r="B5" s="128" t="s">
        <v>940</v>
      </c>
    </row>
    <row r="6" spans="1:2" x14ac:dyDescent="0.2">
      <c r="A6" s="2" t="s">
        <v>659</v>
      </c>
      <c r="B6" t="s">
        <v>939</v>
      </c>
    </row>
    <row r="7" spans="1:2" x14ac:dyDescent="0.2">
      <c r="A7" s="2" t="s">
        <v>660</v>
      </c>
      <c r="B7" s="128" t="s">
        <v>940</v>
      </c>
    </row>
    <row r="8" spans="1:2" x14ac:dyDescent="0.2">
      <c r="A8" s="2" t="s">
        <v>661</v>
      </c>
      <c r="B8" s="128" t="s">
        <v>940</v>
      </c>
    </row>
    <row r="9" spans="1:2" x14ac:dyDescent="0.2">
      <c r="A9" s="2" t="s">
        <v>662</v>
      </c>
      <c r="B9" t="s">
        <v>942</v>
      </c>
    </row>
    <row r="10" spans="1:2" x14ac:dyDescent="0.2">
      <c r="A10" s="2" t="s">
        <v>663</v>
      </c>
      <c r="B10" t="s">
        <v>939</v>
      </c>
    </row>
    <row r="11" spans="1:2" x14ac:dyDescent="0.2">
      <c r="A11" s="2" t="s">
        <v>664</v>
      </c>
      <c r="B11" t="s">
        <v>939</v>
      </c>
    </row>
    <row r="12" spans="1:2" x14ac:dyDescent="0.2">
      <c r="A12" s="2" t="s">
        <v>665</v>
      </c>
      <c r="B12" t="s">
        <v>939</v>
      </c>
    </row>
    <row r="13" spans="1:2" x14ac:dyDescent="0.2">
      <c r="A13" s="2" t="s">
        <v>667</v>
      </c>
      <c r="B13" t="s">
        <v>939</v>
      </c>
    </row>
    <row r="14" spans="1:2" x14ac:dyDescent="0.2">
      <c r="A14" s="2" t="s">
        <v>666</v>
      </c>
      <c r="B14" t="s">
        <v>939</v>
      </c>
    </row>
    <row r="15" spans="1:2" x14ac:dyDescent="0.2">
      <c r="A15" s="2" t="s">
        <v>655</v>
      </c>
      <c r="B15" s="2" t="s">
        <v>940</v>
      </c>
    </row>
    <row r="16" spans="1:2" x14ac:dyDescent="0.2">
      <c r="A16" s="2" t="s">
        <v>668</v>
      </c>
    </row>
    <row r="17" spans="1:2" x14ac:dyDescent="0.2">
      <c r="A17" s="2" t="s">
        <v>669</v>
      </c>
    </row>
    <row r="18" spans="1:2" x14ac:dyDescent="0.2">
      <c r="A18" s="2" t="s">
        <v>670</v>
      </c>
      <c r="B18" t="s">
        <v>940</v>
      </c>
    </row>
    <row r="19" spans="1:2" x14ac:dyDescent="0.2">
      <c r="A19" s="2" t="s">
        <v>673</v>
      </c>
    </row>
    <row r="20" spans="1:2" x14ac:dyDescent="0.2">
      <c r="A20" s="2" t="s">
        <v>671</v>
      </c>
    </row>
    <row r="21" spans="1:2" x14ac:dyDescent="0.2">
      <c r="A21" s="2" t="s">
        <v>672</v>
      </c>
      <c r="B21" t="s">
        <v>940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717</v>
      </c>
      <c r="B1" s="144" t="s">
        <v>714</v>
      </c>
      <c r="C1" s="144"/>
      <c r="D1" s="144"/>
      <c r="E1" s="144"/>
      <c r="F1" s="144" t="s">
        <v>715</v>
      </c>
      <c r="G1" s="144"/>
      <c r="H1" s="144"/>
      <c r="I1" s="144"/>
      <c r="J1" s="144" t="s">
        <v>716</v>
      </c>
      <c r="K1" s="144"/>
      <c r="L1" s="144"/>
      <c r="M1" s="144"/>
    </row>
    <row r="2" spans="1:13" x14ac:dyDescent="0.2">
      <c r="A2" s="101"/>
      <c r="B2" s="102" t="s">
        <v>710</v>
      </c>
      <c r="C2" s="102" t="s">
        <v>711</v>
      </c>
      <c r="D2" s="102" t="s">
        <v>712</v>
      </c>
      <c r="E2" s="102" t="s">
        <v>713</v>
      </c>
      <c r="F2" s="102" t="s">
        <v>710</v>
      </c>
      <c r="G2" s="102" t="s">
        <v>711</v>
      </c>
      <c r="H2" s="102" t="s">
        <v>712</v>
      </c>
      <c r="I2" s="102" t="s">
        <v>713</v>
      </c>
      <c r="J2" s="102" t="s">
        <v>710</v>
      </c>
      <c r="K2" s="102" t="s">
        <v>711</v>
      </c>
      <c r="L2" s="102" t="s">
        <v>712</v>
      </c>
      <c r="M2" s="102" t="s">
        <v>713</v>
      </c>
    </row>
    <row r="3" spans="1:13" x14ac:dyDescent="0.2">
      <c r="A3" s="14" t="s">
        <v>700</v>
      </c>
      <c r="B3" s="87"/>
      <c r="C3" s="85"/>
      <c r="D3" s="85"/>
      <c r="E3" s="85"/>
      <c r="F3" s="87"/>
      <c r="G3" s="85"/>
      <c r="H3" s="85"/>
      <c r="I3" s="85"/>
      <c r="J3" s="103"/>
      <c r="K3" s="85"/>
      <c r="L3" s="85"/>
      <c r="M3" s="85"/>
    </row>
    <row r="4" spans="1:13" x14ac:dyDescent="0.2">
      <c r="A4" s="14" t="s">
        <v>701</v>
      </c>
      <c r="B4" s="87"/>
      <c r="C4" s="85"/>
      <c r="D4" s="85"/>
      <c r="E4" s="85"/>
      <c r="F4" s="87"/>
      <c r="G4" s="85"/>
      <c r="H4" s="85"/>
      <c r="I4" s="85"/>
      <c r="J4" s="103"/>
      <c r="K4" s="85"/>
      <c r="L4" s="85"/>
      <c r="M4" s="85"/>
    </row>
    <row r="5" spans="1:13" ht="13.5" thickBot="1" x14ac:dyDescent="0.25">
      <c r="A5" s="88" t="s">
        <v>702</v>
      </c>
      <c r="B5" s="87"/>
      <c r="C5" s="89"/>
      <c r="D5" s="89"/>
      <c r="E5" s="89"/>
      <c r="F5" s="90"/>
      <c r="G5" s="89"/>
      <c r="H5" s="89"/>
      <c r="I5" s="89"/>
      <c r="J5" s="104"/>
      <c r="K5" s="89"/>
      <c r="L5" s="89"/>
      <c r="M5" s="89"/>
    </row>
    <row r="6" spans="1:13" x14ac:dyDescent="0.2">
      <c r="A6" s="93" t="s">
        <v>703</v>
      </c>
      <c r="B6" s="86"/>
      <c r="C6" s="94"/>
      <c r="D6" s="94"/>
      <c r="E6" s="94"/>
      <c r="F6" s="86"/>
      <c r="G6" s="94"/>
      <c r="H6" s="94"/>
      <c r="I6" s="94"/>
      <c r="J6" s="86"/>
      <c r="K6" s="94"/>
      <c r="L6" s="94"/>
      <c r="M6" s="95"/>
    </row>
    <row r="7" spans="1:13" x14ac:dyDescent="0.2">
      <c r="A7" s="96" t="s">
        <v>704</v>
      </c>
      <c r="B7" s="86"/>
      <c r="C7" s="85"/>
      <c r="D7" s="85"/>
      <c r="E7" s="85"/>
      <c r="F7" s="86"/>
      <c r="G7" s="85"/>
      <c r="H7" s="85"/>
      <c r="I7" s="85"/>
      <c r="J7" s="86"/>
      <c r="K7" s="85"/>
      <c r="L7" s="85"/>
      <c r="M7" s="97"/>
    </row>
    <row r="8" spans="1:13" x14ac:dyDescent="0.2">
      <c r="A8" s="96" t="s">
        <v>705</v>
      </c>
      <c r="B8" s="86"/>
      <c r="C8" s="85"/>
      <c r="D8" s="85"/>
      <c r="E8" s="85"/>
      <c r="F8" s="86"/>
      <c r="G8" s="85"/>
      <c r="H8" s="85"/>
      <c r="I8" s="85"/>
      <c r="J8" s="86"/>
      <c r="K8" s="85"/>
      <c r="L8" s="85"/>
      <c r="M8" s="97"/>
    </row>
    <row r="9" spans="1:13" ht="13.5" thickBot="1" x14ac:dyDescent="0.25">
      <c r="A9" s="98" t="s">
        <v>706</v>
      </c>
      <c r="B9" s="86"/>
      <c r="C9" s="99"/>
      <c r="D9" s="99"/>
      <c r="E9" s="99"/>
      <c r="F9" s="86"/>
      <c r="G9" s="99"/>
      <c r="H9" s="99"/>
      <c r="I9" s="99"/>
      <c r="J9" s="86"/>
      <c r="K9" s="99"/>
      <c r="L9" s="99"/>
      <c r="M9" s="100"/>
    </row>
    <row r="10" spans="1:13" x14ac:dyDescent="0.2">
      <c r="A10" s="91" t="s">
        <v>707</v>
      </c>
      <c r="B10" s="86"/>
      <c r="C10" s="92"/>
      <c r="D10" s="92"/>
      <c r="E10" s="92"/>
      <c r="F10" s="86"/>
      <c r="G10" s="92"/>
      <c r="H10" s="92"/>
      <c r="I10" s="92"/>
      <c r="J10" s="86"/>
      <c r="K10" s="92"/>
      <c r="L10" s="92"/>
      <c r="M10" s="92"/>
    </row>
    <row r="11" spans="1:13" x14ac:dyDescent="0.2">
      <c r="A11" s="14" t="s">
        <v>708</v>
      </c>
      <c r="B11" s="86"/>
      <c r="C11" s="85"/>
      <c r="D11" s="85"/>
      <c r="E11" s="85"/>
      <c r="F11" s="86"/>
      <c r="G11" s="85"/>
      <c r="H11" s="85"/>
      <c r="I11" s="85"/>
      <c r="J11" s="86"/>
      <c r="K11" s="85"/>
      <c r="L11" s="85"/>
      <c r="M11" s="85"/>
    </row>
    <row r="12" spans="1:13" x14ac:dyDescent="0.2">
      <c r="A12" s="14" t="s">
        <v>709</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826</v>
      </c>
      <c r="B1" s="124" t="s">
        <v>827</v>
      </c>
      <c r="C1" s="124" t="s">
        <v>828</v>
      </c>
      <c r="D1" s="124">
        <v>9</v>
      </c>
      <c r="E1" s="124">
        <v>11</v>
      </c>
      <c r="F1" s="124">
        <v>0</v>
      </c>
      <c r="G1" s="124">
        <v>2</v>
      </c>
      <c r="H1" s="124">
        <v>4</v>
      </c>
      <c r="I1" s="124">
        <v>5</v>
      </c>
      <c r="J1" s="125">
        <v>6</v>
      </c>
      <c r="K1" s="124">
        <v>7</v>
      </c>
      <c r="L1" s="126">
        <v>8</v>
      </c>
    </row>
    <row r="2" spans="1:12" x14ac:dyDescent="0.2">
      <c r="A2" s="145" t="s">
        <v>811</v>
      </c>
      <c r="B2" s="145"/>
      <c r="C2" s="145"/>
      <c r="D2" s="145" t="s">
        <v>810</v>
      </c>
      <c r="E2" s="145"/>
      <c r="F2" s="145"/>
      <c r="G2" s="145"/>
      <c r="H2" s="145"/>
      <c r="I2" s="145"/>
      <c r="J2" s="145"/>
      <c r="K2" s="145"/>
      <c r="L2" s="145"/>
    </row>
    <row r="3" spans="1:12" x14ac:dyDescent="0.2">
      <c r="A3" s="146"/>
      <c r="B3" s="147"/>
      <c r="C3" s="148"/>
      <c r="D3" s="121" t="s">
        <v>805</v>
      </c>
      <c r="E3" s="121" t="s">
        <v>806</v>
      </c>
      <c r="F3" s="121" t="s">
        <v>687</v>
      </c>
      <c r="G3" s="121" t="s">
        <v>807</v>
      </c>
      <c r="H3" s="121" t="s">
        <v>686</v>
      </c>
      <c r="I3" s="121" t="s">
        <v>213</v>
      </c>
      <c r="J3" s="122" t="s">
        <v>442</v>
      </c>
      <c r="K3" s="121" t="s">
        <v>808</v>
      </c>
      <c r="L3" s="123" t="s">
        <v>809</v>
      </c>
    </row>
    <row r="4" spans="1:12" x14ac:dyDescent="0.2">
      <c r="A4" s="149"/>
      <c r="B4" s="150"/>
      <c r="C4" s="151"/>
      <c r="D4" s="121" t="s">
        <v>812</v>
      </c>
      <c r="E4" s="121" t="s">
        <v>632</v>
      </c>
      <c r="F4" s="121" t="s">
        <v>813</v>
      </c>
      <c r="G4" s="121" t="s">
        <v>814</v>
      </c>
      <c r="H4" s="121" t="s">
        <v>631</v>
      </c>
      <c r="I4" s="121" t="s">
        <v>815</v>
      </c>
      <c r="J4" s="122" t="s">
        <v>816</v>
      </c>
      <c r="K4" s="121" t="s">
        <v>817</v>
      </c>
      <c r="L4" s="123" t="s">
        <v>818</v>
      </c>
    </row>
    <row r="5" spans="1:12" x14ac:dyDescent="0.2">
      <c r="A5" s="124">
        <v>9</v>
      </c>
      <c r="B5" s="121" t="s">
        <v>805</v>
      </c>
      <c r="C5" s="121" t="s">
        <v>812</v>
      </c>
      <c r="D5" s="116" t="s">
        <v>834</v>
      </c>
      <c r="E5" s="116" t="s">
        <v>832</v>
      </c>
      <c r="F5" s="116" t="s">
        <v>819</v>
      </c>
      <c r="G5" s="116" t="s">
        <v>682</v>
      </c>
      <c r="H5" s="116" t="s">
        <v>127</v>
      </c>
      <c r="I5" s="116" t="s">
        <v>820</v>
      </c>
      <c r="J5" s="117" t="s">
        <v>821</v>
      </c>
      <c r="K5" s="116" t="s">
        <v>738</v>
      </c>
      <c r="L5" s="118" t="s">
        <v>739</v>
      </c>
    </row>
    <row r="6" spans="1:12" x14ac:dyDescent="0.2">
      <c r="A6" s="124">
        <v>11</v>
      </c>
      <c r="B6" s="121" t="s">
        <v>806</v>
      </c>
      <c r="C6" s="121" t="s">
        <v>632</v>
      </c>
      <c r="D6" s="116" t="s">
        <v>738</v>
      </c>
      <c r="E6" s="116" t="s">
        <v>834</v>
      </c>
      <c r="F6" s="116" t="s">
        <v>833</v>
      </c>
      <c r="G6" s="116" t="s">
        <v>819</v>
      </c>
      <c r="H6" s="116" t="s">
        <v>682</v>
      </c>
      <c r="I6" s="116" t="s">
        <v>823</v>
      </c>
      <c r="J6" s="117" t="s">
        <v>127</v>
      </c>
      <c r="K6" s="116" t="s">
        <v>820</v>
      </c>
      <c r="L6" s="118" t="s">
        <v>821</v>
      </c>
    </row>
    <row r="7" spans="1:12" x14ac:dyDescent="0.2">
      <c r="A7" s="124">
        <v>0</v>
      </c>
      <c r="B7" s="121" t="s">
        <v>687</v>
      </c>
      <c r="C7" s="121" t="s">
        <v>813</v>
      </c>
      <c r="D7" s="116" t="s">
        <v>821</v>
      </c>
      <c r="E7" s="116" t="s">
        <v>739</v>
      </c>
      <c r="F7" s="116" t="s">
        <v>834</v>
      </c>
      <c r="G7" s="116" t="s">
        <v>832</v>
      </c>
      <c r="H7" s="116" t="s">
        <v>819</v>
      </c>
      <c r="I7" s="116" t="s">
        <v>682</v>
      </c>
      <c r="J7" s="120" t="s">
        <v>825</v>
      </c>
      <c r="K7" s="116" t="s">
        <v>127</v>
      </c>
      <c r="L7" s="119" t="s">
        <v>822</v>
      </c>
    </row>
    <row r="8" spans="1:12" x14ac:dyDescent="0.2">
      <c r="A8" s="124">
        <v>2</v>
      </c>
      <c r="B8" s="121" t="s">
        <v>807</v>
      </c>
      <c r="C8" s="121" t="s">
        <v>814</v>
      </c>
      <c r="D8" s="116" t="s">
        <v>127</v>
      </c>
      <c r="E8" s="116" t="s">
        <v>821</v>
      </c>
      <c r="F8" s="116" t="s">
        <v>738</v>
      </c>
      <c r="G8" s="116" t="s">
        <v>834</v>
      </c>
      <c r="H8" s="116" t="s">
        <v>832</v>
      </c>
      <c r="I8" s="116" t="s">
        <v>819</v>
      </c>
      <c r="J8" s="120" t="s">
        <v>824</v>
      </c>
      <c r="K8" s="116" t="s">
        <v>682</v>
      </c>
      <c r="L8" s="119" t="s">
        <v>825</v>
      </c>
    </row>
    <row r="9" spans="1:12" x14ac:dyDescent="0.2">
      <c r="A9" s="124">
        <v>4</v>
      </c>
      <c r="B9" s="121" t="s">
        <v>686</v>
      </c>
      <c r="C9" s="121" t="s">
        <v>631</v>
      </c>
      <c r="D9" s="116" t="s">
        <v>682</v>
      </c>
      <c r="E9" s="116" t="s">
        <v>127</v>
      </c>
      <c r="F9" s="116" t="s">
        <v>820</v>
      </c>
      <c r="G9" s="116" t="s">
        <v>738</v>
      </c>
      <c r="H9" s="116" t="s">
        <v>834</v>
      </c>
      <c r="I9" s="116" t="s">
        <v>833</v>
      </c>
      <c r="J9" s="117" t="s">
        <v>832</v>
      </c>
      <c r="K9" s="116" t="s">
        <v>819</v>
      </c>
      <c r="L9" s="118" t="s">
        <v>824</v>
      </c>
    </row>
    <row r="10" spans="1:12" x14ac:dyDescent="0.2">
      <c r="A10" s="124">
        <v>5</v>
      </c>
      <c r="B10" s="121" t="s">
        <v>213</v>
      </c>
      <c r="C10" s="121" t="s">
        <v>815</v>
      </c>
      <c r="D10" s="116" t="s">
        <v>824</v>
      </c>
      <c r="E10" s="127" t="s">
        <v>825</v>
      </c>
      <c r="F10" s="116" t="s">
        <v>127</v>
      </c>
      <c r="G10" s="116" t="s">
        <v>821</v>
      </c>
      <c r="H10" s="116" t="s">
        <v>739</v>
      </c>
      <c r="I10" s="116" t="s">
        <v>834</v>
      </c>
      <c r="J10" s="120" t="s">
        <v>842</v>
      </c>
      <c r="K10" s="116" t="s">
        <v>832</v>
      </c>
      <c r="L10" s="119" t="s">
        <v>835</v>
      </c>
    </row>
    <row r="11" spans="1:12" x14ac:dyDescent="0.2">
      <c r="A11" s="125">
        <v>6</v>
      </c>
      <c r="B11" s="122" t="s">
        <v>442</v>
      </c>
      <c r="C11" s="122" t="s">
        <v>816</v>
      </c>
      <c r="D11" s="117" t="s">
        <v>819</v>
      </c>
      <c r="E11" s="117" t="s">
        <v>682</v>
      </c>
      <c r="F11" s="120" t="s">
        <v>823</v>
      </c>
      <c r="G11" s="117" t="s">
        <v>820</v>
      </c>
      <c r="H11" s="117" t="s">
        <v>738</v>
      </c>
      <c r="I11" s="117" t="s">
        <v>739</v>
      </c>
      <c r="J11" s="117" t="s">
        <v>834</v>
      </c>
      <c r="K11" s="117" t="s">
        <v>833</v>
      </c>
      <c r="L11" s="118" t="s">
        <v>832</v>
      </c>
    </row>
    <row r="12" spans="1:12" x14ac:dyDescent="0.2">
      <c r="A12" s="124">
        <v>7</v>
      </c>
      <c r="B12" s="121" t="s">
        <v>808</v>
      </c>
      <c r="C12" s="121" t="s">
        <v>817</v>
      </c>
      <c r="D12" s="116" t="s">
        <v>832</v>
      </c>
      <c r="E12" s="116" t="s">
        <v>824</v>
      </c>
      <c r="F12" s="116" t="s">
        <v>682</v>
      </c>
      <c r="G12" s="116" t="s">
        <v>127</v>
      </c>
      <c r="H12" s="116" t="s">
        <v>821</v>
      </c>
      <c r="I12" s="116" t="s">
        <v>738</v>
      </c>
      <c r="J12" s="117" t="s">
        <v>739</v>
      </c>
      <c r="K12" s="116" t="s">
        <v>834</v>
      </c>
      <c r="L12" s="119" t="s">
        <v>842</v>
      </c>
    </row>
    <row r="13" spans="1:12" x14ac:dyDescent="0.2">
      <c r="A13" s="126">
        <v>8</v>
      </c>
      <c r="B13" s="123" t="s">
        <v>809</v>
      </c>
      <c r="C13" s="123" t="s">
        <v>818</v>
      </c>
      <c r="D13" s="118" t="s">
        <v>833</v>
      </c>
      <c r="E13" s="118" t="s">
        <v>819</v>
      </c>
      <c r="F13" s="119" t="s">
        <v>829</v>
      </c>
      <c r="G13" s="118" t="s">
        <v>823</v>
      </c>
      <c r="H13" s="118" t="s">
        <v>820</v>
      </c>
      <c r="I13" s="119" t="s">
        <v>830</v>
      </c>
      <c r="J13" s="118" t="s">
        <v>738</v>
      </c>
      <c r="K13" s="119" t="s">
        <v>831</v>
      </c>
      <c r="L13" s="118" t="s">
        <v>834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2019-02-23T20:38:19Z</dcterms:modified>
</cp:coreProperties>
</file>