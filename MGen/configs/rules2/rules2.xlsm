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2B135921-12BC-4442-A48B-7AE101B3328E}" xr6:coauthVersionLast="40" xr6:coauthVersionMax="40" xr10:uidLastSave="{00000000-0000-0000-0000-000000000000}"/>
  <bookViews>
    <workbookView xWindow="-120" yWindow="-120" windowWidth="38640" windowHeight="1584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Data!$A$1:$Z$409</definedName>
    <definedName name="_xlnm._FilterDatabase" localSheetId="4" hidden="1">viz!$A$1:$C$59</definedName>
  </definedNames>
  <calcPr calcId="191029" calcMode="manual"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formed by harmonic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6" authorId="0" shapeId="0" xr:uid="{9BBE3300-3459-4F7D-9987-B1B7E319FEC9}">
      <text>
        <r>
          <rPr>
            <sz val="9"/>
            <color indexed="81"/>
            <rFont val="Tahoma"/>
            <family val="2"/>
          </rPr>
          <t>Contrary movement to last interval in counterpoint</t>
        </r>
      </text>
    </comment>
    <comment ref="H156"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B8E56F1B-DCF2-4300-8CB1-41ACEFAD7624}">
      <text>
        <r>
          <rPr>
            <sz val="9"/>
            <color indexed="81"/>
            <rFont val="Tahoma"/>
            <family val="2"/>
          </rPr>
          <t>Second interval is on downbeat</t>
        </r>
      </text>
    </comment>
    <comment ref="J156" authorId="0" shapeId="0" xr:uid="{9A305771-FD5B-421F-9C29-684A1A60D3A3}">
      <text>
        <r>
          <rPr>
            <sz val="9"/>
            <color indexed="81"/>
            <rFont val="Tahoma"/>
            <family val="2"/>
          </rPr>
          <t>Second interval is formed by harmonic suspension on downbeat</t>
        </r>
      </text>
    </comment>
    <comment ref="K156" authorId="0" shapeId="0" xr:uid="{5EBE1E97-86E3-4E37-9E69-3C3ACF871225}">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F42F7775-6D56-499F-9E24-84341BE3450F}">
      <text>
        <r>
          <rPr>
            <sz val="9"/>
            <color indexed="81"/>
            <rFont val="Tahoma"/>
            <family val="2"/>
          </rPr>
          <t>Second interval is formed by harmonic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58" authorId="0" shapeId="0" xr:uid="{0A1E4F84-10A9-436A-A12E-2E769DDB40CE}">
      <text>
        <r>
          <rPr>
            <sz val="9"/>
            <color indexed="81"/>
            <rFont val="Tahoma"/>
            <family val="2"/>
          </rPr>
          <t>Contrary movement to last interval in counterpoint</t>
        </r>
      </text>
    </comment>
    <comment ref="H158"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11747E84-7904-4C02-A1CC-E26A823C6C8B}">
      <text>
        <r>
          <rPr>
            <sz val="9"/>
            <color indexed="81"/>
            <rFont val="Tahoma"/>
            <family val="2"/>
          </rPr>
          <t>Second interval is on downbeat</t>
        </r>
      </text>
    </comment>
    <comment ref="J158" authorId="0" shapeId="0" xr:uid="{84687E32-F7F3-470A-BAD3-832AA2DF968F}">
      <text>
        <r>
          <rPr>
            <sz val="9"/>
            <color indexed="81"/>
            <rFont val="Tahoma"/>
            <family val="2"/>
          </rPr>
          <t>Second interval is formed by harmonic suspension on downbeat</t>
        </r>
      </text>
    </comment>
    <comment ref="K158" authorId="0" shapeId="0" xr:uid="{5D5F5B4E-B37B-4E9F-8133-80B6B80AE947}">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8va</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8ve</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G182" authorId="1" shapeId="0" xr:uid="{00000000-0006-0000-0000-0000E3000000}">
      <text>
        <r>
          <rPr>
            <sz val="9"/>
            <color indexed="81"/>
            <rFont val="Tahoma"/>
            <family val="2"/>
            <charset val="204"/>
          </rPr>
          <t>Dissonance is longer than previous note</t>
        </r>
      </text>
    </comment>
    <comment ref="F184" authorId="1" shapeId="0" xr:uid="{E9096F3F-9A07-4F1B-999B-EDF9E46E90A3}">
      <text>
        <r>
          <rPr>
            <sz val="9"/>
            <color indexed="81"/>
            <rFont val="Tahoma"/>
            <family val="2"/>
            <charset val="204"/>
          </rPr>
          <t>4th interval is prohibited between two chord tones with bass</t>
        </r>
      </text>
    </comment>
    <comment ref="F185" authorId="1" shapeId="0" xr:uid="{00000000-0006-0000-0000-0000E4000000}">
      <text>
        <r>
          <rPr>
            <sz val="9"/>
            <color indexed="81"/>
            <rFont val="Tahoma"/>
            <family val="2"/>
            <charset val="204"/>
          </rPr>
          <t>Tritone is prohibited between two chord tones with bass in major and melodic minor.</t>
        </r>
      </text>
    </comment>
    <comment ref="G185" authorId="2" shapeId="0" xr:uid="{880CCA10-CB22-4AE2-A815-A92DCBFD0C1D}">
      <text>
        <r>
          <rPr>
            <sz val="9"/>
            <color indexed="81"/>
            <rFont val="Tahoma"/>
            <family val="2"/>
            <charset val="204"/>
          </rPr>
          <t>In ancient modes, tritone is prohibited between any voices</t>
        </r>
      </text>
    </comment>
    <comment ref="F186" authorId="1" shapeId="0" xr:uid="{00000000-0006-0000-0000-0000E7000000}">
      <text>
        <r>
          <rPr>
            <sz val="9"/>
            <color indexed="81"/>
            <rFont val="Tahoma"/>
            <family val="2"/>
            <charset val="204"/>
          </rPr>
          <t>Leap to harmonic upbeat dissonance</t>
        </r>
      </text>
    </comment>
    <comment ref="F187" authorId="1" shapeId="0" xr:uid="{00000000-0006-0000-0000-0000E8000000}">
      <text>
        <r>
          <rPr>
            <sz val="9"/>
            <color indexed="81"/>
            <rFont val="Tahoma"/>
            <family val="2"/>
            <charset val="204"/>
          </rPr>
          <t>Leap from harmonic upbeat dissonance</t>
        </r>
      </text>
    </comment>
    <comment ref="F188" authorId="1" shapeId="0" xr:uid="{7735385E-5122-4B62-8F26-BB5554651FDC}">
      <text>
        <r>
          <rPr>
            <sz val="9"/>
            <color indexed="81"/>
            <rFont val="Tahoma"/>
            <family val="2"/>
            <charset val="204"/>
          </rPr>
          <t>Direct movement to tritone</t>
        </r>
      </text>
    </comment>
    <comment ref="F189" authorId="1" shapeId="0" xr:uid="{00000000-0006-0000-0000-0000E9000000}">
      <text>
        <r>
          <rPr>
            <sz val="9"/>
            <color indexed="81"/>
            <rFont val="Tahoma"/>
            <family val="2"/>
            <charset val="204"/>
          </rPr>
          <t>Minor 7th</t>
        </r>
      </text>
    </comment>
    <comment ref="G189" authorId="1" shapeId="0" xr:uid="{00000000-0006-0000-0000-0000EA000000}">
      <text>
        <r>
          <rPr>
            <sz val="9"/>
            <color indexed="81"/>
            <rFont val="Tahoma"/>
            <family val="2"/>
            <charset val="204"/>
          </rPr>
          <t>Major 7th</t>
        </r>
      </text>
    </comment>
    <comment ref="H189" authorId="1" shapeId="0" xr:uid="{00000000-0006-0000-0000-0000EB000000}">
      <text>
        <r>
          <rPr>
            <sz val="9"/>
            <color indexed="81"/>
            <rFont val="Tahoma"/>
            <family val="2"/>
            <charset val="204"/>
          </rPr>
          <t>Minor 9th</t>
        </r>
      </text>
    </comment>
    <comment ref="I189" authorId="1" shapeId="0" xr:uid="{00000000-0006-0000-0000-0000EC000000}">
      <text>
        <r>
          <rPr>
            <sz val="9"/>
            <color indexed="81"/>
            <rFont val="Tahoma"/>
            <family val="2"/>
            <charset val="204"/>
          </rPr>
          <t>Major 9th</t>
        </r>
      </text>
    </comment>
    <comment ref="H190" authorId="2" shapeId="0" xr:uid="{DD9BE1FF-FFB1-4919-80D8-710DDEA11B5F}">
      <text>
        <r>
          <rPr>
            <sz val="9"/>
            <color indexed="81"/>
            <rFont val="Tahoma"/>
            <family val="2"/>
            <charset val="204"/>
          </rPr>
          <t>Similar movement to harmonic second interval</t>
        </r>
      </text>
    </comment>
    <comment ref="H191" authorId="2" shapeId="0" xr:uid="{65D2D1C0-8700-4724-BCE2-0BDB82D55F38}">
      <text>
        <r>
          <rPr>
            <sz val="9"/>
            <color indexed="81"/>
            <rFont val="Tahoma"/>
            <family val="2"/>
            <charset val="204"/>
          </rPr>
          <t>Similar movement to harmonic second interval</t>
        </r>
      </text>
    </comment>
    <comment ref="F198" authorId="1" shapeId="0" xr:uid="{00000000-0006-0000-0000-0000ED000000}">
      <text>
        <r>
          <rPr>
            <sz val="9"/>
            <color indexed="81"/>
            <rFont val="Tahoma"/>
            <family val="2"/>
            <charset val="204"/>
          </rPr>
          <t>Second interval at crossing</t>
        </r>
      </text>
    </comment>
    <comment ref="F199" authorId="1" shapeId="0" xr:uid="{CE7F1098-9FE2-4550-9135-7498683E217A}">
      <text>
        <r>
          <rPr>
            <sz val="9"/>
            <color indexed="81"/>
            <rFont val="Tahoma"/>
            <family val="2"/>
            <charset val="204"/>
          </rPr>
          <t>Direct motion to crossing if one of voices leaps</t>
        </r>
      </text>
    </comment>
    <comment ref="G199" authorId="1" shapeId="0" xr:uid="{0F9994B5-C90A-4580-BD79-BC450DCD1937}">
      <text>
        <r>
          <rPr>
            <sz val="9"/>
            <color indexed="81"/>
            <rFont val="Tahoma"/>
            <family val="2"/>
            <charset val="204"/>
          </rPr>
          <t>Direct motion to crossing if both voices leap</t>
        </r>
      </text>
    </comment>
    <comment ref="F200" authorId="1" shapeId="0" xr:uid="{00000000-0006-0000-0000-0000EE000000}">
      <text>
        <r>
          <rPr>
            <sz val="9"/>
            <color indexed="81"/>
            <rFont val="Tahoma"/>
            <family val="2"/>
            <charset val="204"/>
          </rPr>
          <t>Second interval before and at crossing</t>
        </r>
      </text>
    </comment>
    <comment ref="F203" authorId="1" shapeId="0" xr:uid="{00000000-0006-0000-0000-0000F1000000}">
      <text>
        <r>
          <rPr>
            <sz val="9"/>
            <color indexed="81"/>
            <rFont val="Tahoma"/>
            <family val="2"/>
            <charset val="204"/>
          </rPr>
          <t>Prohibit this rule to prevent detection of any cambiata, thus processing as usual notes</t>
        </r>
      </text>
    </comment>
    <comment ref="F204" authorId="1" shapeId="0" xr:uid="{00000000-0006-0000-0000-0000FA000000}">
      <text>
        <r>
          <rPr>
            <sz val="9"/>
            <color indexed="81"/>
            <rFont val="Tahoma"/>
            <family val="2"/>
            <charset val="204"/>
          </rPr>
          <t>Prohibit this rule to prevent detection of any double-neighbour tone</t>
        </r>
      </text>
    </comment>
    <comment ref="G204" authorId="1" shapeId="0" xr:uid="{6DF5B5DC-E362-435A-B18B-B078E27B95A6}">
      <text>
        <r>
          <rPr>
            <sz val="9"/>
            <color indexed="81"/>
            <rFont val="Tahoma"/>
            <family val="2"/>
            <charset val="204"/>
          </rPr>
          <t>There is a leap before first note of double-neighbour tone group</t>
        </r>
      </text>
    </comment>
    <comment ref="H204" authorId="1" shapeId="0" xr:uid="{13ADE4C6-9AE5-4499-AC7D-D05F44FF684B}">
      <text>
        <r>
          <rPr>
            <sz val="9"/>
            <color indexed="81"/>
            <rFont val="Tahoma"/>
            <family val="2"/>
            <charset val="204"/>
          </rPr>
          <t>There is a leap after last note of double-neighbour tone</t>
        </r>
      </text>
    </comment>
    <comment ref="F205"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07"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<sst xmlns="http://schemas.openxmlformats.org/spreadsheetml/2006/main" count="4285" uniqueCount="1008">
  <si>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</si>
  <si>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</si>
  <si>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</si>
  <si>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</si>
  <si>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</si>
  <si>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</si>
  <si>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</si>
  <si>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</si>
  <si>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</si>
  <si>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</si>
  <si>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</si>
  <si>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</si>
  <si>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</si>
  <si>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</si>
  <si>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</si>
  <si>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</si>
  <si>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</si>
  <si>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</si>
  <si>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</si>
  <si>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</si>
  <si>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</si>
  <si>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</si>
  <si>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</si>
  <si>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</si>
  <si>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</si>
  <si>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</si>
  <si>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</si>
  <si>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</si>
  <si>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</si>
  <si>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</si>
  <si>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</si>
  <si>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</si>
  <si>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</si>
  <si>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</si>
  <si>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</si>
  <si>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</si>
  <si>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</si>
  <si>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</si>
  <si>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</si>
  <si>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</si>
  <si>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</si>
  <si>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</si>
  <si>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</si>
  <si>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</si>
  <si>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</si>
  <si>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</si>
  <si>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</si>
  <si>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</si>
  <si>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</si>
  <si>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</si>
  <si>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</si>
  <si>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</si>
  <si>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</si>
  <si>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</si>
  <si>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</si>
  <si>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</si>
  <si>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</si>
  <si>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</si>
  <si>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</si>
  <si>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</si>
  <si>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</si>
  <si>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</si>
  <si>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</si>
  <si>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</si>
  <si>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</si>
  <si>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</si>
  <si>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</si>
  <si>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</si>
  <si>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</si>
  <si>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</si>
  <si>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</si>
  <si>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</si>
  <si>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</si>
  <si>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</si>
  <si>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</si>
  <si>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</si>
  <si>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</si>
  <si>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</si>
  <si>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</si>
  <si>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</si>
  <si>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</si>
  <si>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</si>
  <si>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</si>
  <si>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</si>
  <si>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</si>
  <si>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</si>
  <si>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</si>
  <si>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</si>
  <si>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</si>
  <si>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</si>
  <si>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</si>
  <si>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</si>
  <si>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</si>
  <si>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</si>
  <si>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</si>
  <si>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</si>
  <si>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</si>
  <si>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</si>
  <si>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</si>
  <si>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</si>
  <si>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</si>
  <si>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</si>
  <si>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</si>
  <si>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</si>
  <si>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</si>
  <si>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</si>
  <si>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</si>
  <si>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</si>
  <si>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</si>
  <si>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</si>
  <si>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</si>
  <si>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</si>
  <si>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</si>
  <si>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</si>
  <si>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</si>
  <si>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</si>
  <si>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</si>
  <si>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</si>
  <si>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</si>
  <si>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</si>
  <si>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</si>
  <si>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</si>
  <si>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</si>
  <si>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</si>
  <si>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</si>
  <si>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</si>
  <si>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</si>
  <si>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</si>
  <si>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</si>
  <si>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</si>
  <si>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</si>
  <si>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</si>
  <si>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</si>
  <si>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</si>
  <si>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</si>
  <si>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</si>
  <si>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</si>
  <si>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</si>
  <si>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</si>
  <si>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</si>
  <si>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</si>
  <si>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</si>
  <si>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</si>
  <si>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</si>
  <si>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</si>
  <si>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</si>
  <si>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</si>
  <si>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</si>
  <si>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</si>
  <si>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</si>
  <si>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</si>
  <si>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</si>
  <si>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</si>
  <si>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</si>
  <si>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</si>
  <si>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</si>
  <si>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</si>
  <si>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</si>
  <si>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</si>
  <si>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</si>
  <si>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</si>
  <si>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</si>
  <si>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</si>
  <si>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</si>
  <si>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</si>
  <si>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</si>
  <si>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</si>
  <si>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</si>
  <si>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</si>
  <si>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</si>
  <si>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</si>
  <si>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</si>
  <si>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</si>
  <si>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</si>
  <si>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</si>
  <si>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</si>
  <si>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</si>
  <si>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</si>
  <si>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</si>
  <si>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</si>
  <si>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</si>
  <si>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</si>
  <si>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</si>
  <si>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</si>
  <si>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</si>
  <si>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</si>
  <si>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</si>
  <si>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</si>
  <si>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</si>
  <si>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</si>
  <si>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</si>
  <si>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</si>
  <si>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</si>
  <si>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</si>
  <si>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</si>
  <si>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</si>
  <si>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</si>
  <si>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</si>
  <si>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</si>
  <si>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</si>
  <si>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</si>
  <si>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</si>
  <si>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</si>
  <si>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</si>
  <si>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</si>
  <si>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</si>
  <si>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</si>
  <si>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</si>
  <si>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</si>
  <si>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</si>
  <si>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</si>
  <si>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</si>
  <si>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</si>
  <si>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</si>
  <si>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</si>
  <si>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</si>
  <si>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</si>
  <si>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</si>
  <si>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</si>
  <si>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</si>
  <si>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</si>
  <si>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</si>
  <si>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</si>
  <si>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</si>
  <si>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</si>
  <si>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</si>
  <si>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</si>
  <si>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</si>
  <si>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</si>
  <si>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</si>
  <si>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</si>
  <si>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</si>
  <si>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</si>
  <si>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</si>
  <si>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</si>
  <si>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</si>
  <si>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</si>
  <si>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</si>
  <si>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</si>
  <si>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</si>
  <si>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</si>
  <si>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</si>
  <si>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</si>
  <si>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</si>
  <si>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</si>
  <si>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</si>
  <si>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</si>
  <si>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</si>
  <si>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</si>
  <si>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</si>
  <si>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</si>
  <si>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</si>
  <si>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</si>
  <si>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</si>
  <si>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</si>
  <si>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</si>
  <si>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</si>
  <si>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</si>
  <si>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</si>
  <si>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</si>
  <si>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</si>
  <si>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</si>
  <si>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</si>
  <si>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</si>
  <si>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</si>
  <si>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</si>
  <si>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</si>
  <si>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</si>
  <si>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</si>
  <si>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</si>
  <si>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</si>
  <si>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</si>
  <si>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</si>
  <si>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</si>
  <si>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</si>
  <si>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</si>
  <si>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</si>
  <si>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</si>
  <si>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</si>
  <si>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</si>
  <si>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</si>
  <si>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</si>
  <si>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</si>
  <si>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</si>
  <si>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</si>
  <si>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</si>
  <si>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</si>
  <si>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</si>
  <si>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</si>
  <si>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</si>
  <si>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</si>
  <si>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</si>
  <si>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</si>
  <si>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</si>
  <si>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</si>
  <si>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</si>
  <si>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</si>
  <si>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</si>
  <si>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</si>
  <si>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</si>
  <si>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</si>
  <si>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</si>
  <si>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</si>
  <si>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</si>
  <si>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</si>
  <si>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</si>
  <si>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</si>
  <si>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</si>
  <si>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</si>
  <si>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</si>
  <si>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</si>
  <si>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</si>
  <si>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</si>
  <si>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</si>
  <si>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</si>
  <si>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</si>
  <si>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</si>
  <si>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</si>
  <si>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</si>
  <si>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</si>
  <si>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</si>
  <si>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</si>
  <si>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</si>
  <si>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</si>
  <si>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</si>
  <si>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</si>
  <si>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</si>
  <si>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</si>
  <si>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</si>
  <si>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</si>
  <si>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</si>
  <si>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</si>
  <si>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</si>
  <si>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</si>
  <si>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</si>
  <si>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</si>
  <si>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</si>
  <si>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</si>
  <si>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</si>
  <si>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</si>
  <si>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</si>
  <si>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</si>
  <si>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</si>
  <si>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</si>
  <si>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</si>
  <si>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</si>
  <si>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</si>
  <si>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</si>
  <si>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</si>
  <si>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</si>
  <si>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</si>
  <si>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</si>
  <si>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</si>
  <si>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</si>
  <si>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</si>
  <si>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</si>
  <si>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</si>
  <si>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</si>
  <si>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</si>
  <si>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</si>
  <si>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</si>
  <si>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</si>
  <si>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</si>
  <si>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</si>
  <si>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</si>
  <si>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</si>
  <si>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</si>
  <si>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</si>
  <si>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</si>
  <si>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</si>
  <si>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</si>
  <si>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</si>
  <si>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</si>
  <si>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</si>
  <si>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</si>
  <si>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</si>
  <si>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</si>
  <si>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</si>
  <si>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</si>
  <si>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</si>
  <si>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</si>
  <si>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</si>
  <si>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</si>
  <si>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</si>
  <si>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</si>
  <si>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</si>
  <si>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</si>
  <si>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</si>
  <si>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</si>
  <si>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</si>
  <si>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</si>
  <si>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</si>
  <si>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</si>
  <si>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</si>
  <si>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</si>
  <si>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</si>
  <si>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</si>
  <si>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</si>
  <si>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</si>
  <si>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</si>
  <si>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</si>
  <si>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</si>
  <si>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</si>
  <si>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</si>
  <si>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</si>
  <si>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</si>
  <si>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</si>
  <si>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</si>
  <si>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</si>
  <si>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</si>
  <si>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</si>
  <si>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</si>
  <si>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</si>
  <si>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</si>
  <si>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</si>
  <si>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</si>
  <si>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</si>
  <si>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</si>
  <si>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</si>
  <si>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</si>
  <si>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</si>
  <si>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</si>
  <si>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</si>
  <si>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</si>
  <si>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</si>
  <si>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</si>
  <si>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</si>
  <si>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</si>
  <si>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</si>
  <si>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</si>
  <si>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</si>
  <si>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</si>
  <si>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</si>
  <si>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</si>
  <si>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</si>
  <si>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</si>
  <si>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</si>
  <si>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</si>
  <si>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</si>
  <si>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</si>
  <si>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</si>
  <si>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</si>
  <si>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</si>
  <si>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</si>
  <si>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</si>
  <si>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</si>
  <si>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</si>
  <si>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</si>
  <si>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</si>
  <si>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</si>
  <si>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</si>
  <si>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</si>
  <si>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</si>
  <si>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</si>
  <si>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</si>
  <si>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</si>
  <si>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</si>
  <si>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</si>
  <si>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</si>
  <si>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</si>
  <si>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</si>
  <si>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</si>
  <si>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</si>
  <si>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</si>
  <si>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</si>
  <si>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</si>
  <si>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</si>
  <si>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</si>
  <si>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</si>
  <si>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</si>
  <si>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</si>
  <si>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</si>
  <si>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</si>
  <si>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</si>
  <si>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</si>
  <si>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</si>
  <si>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</si>
  <si>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</si>
  <si>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</si>
  <si>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</si>
  <si>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</si>
  <si>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</si>
  <si>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</si>
  <si>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</si>
  <si>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</si>
  <si>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</si>
  <si>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</si>
  <si>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</si>
  <si>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</si>
  <si>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</si>
  <si>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</si>
  <si>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</si>
  <si>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</si>
  <si>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</si>
  <si>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</si>
  <si>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</si>
  <si>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</si>
  <si>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</si>
  <si>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</si>
  <si>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</si>
  <si>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</si>
  <si>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</si>
  <si>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</si>
  <si>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</si>
  <si>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</si>
  <si>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</si>
  <si>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</si>
  <si>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</si>
  <si>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</si>
  <si>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</si>
  <si>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</si>
  <si>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</si>
  <si>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</si>
  <si>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</si>
  <si>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</si>
  <si>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</si>
  <si>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</si>
  <si>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</si>
  <si>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</si>
  <si>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</si>
  <si>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</si>
  <si>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</si>
  <si>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</si>
  <si>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</si>
  <si>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</si>
  <si>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</si>
  <si>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</si>
  <si>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</si>
  <si>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</si>
  <si>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</si>
  <si>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</si>
  <si>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</si>
  <si>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</si>
  <si>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</si>
  <si>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</si>
  <si>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</si>
  <si>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</si>
  <si>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</si>
  <si>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</si>
  <si>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</si>
  <si>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</si>
  <si>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</si>
  <si>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</si>
  <si>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</si>
  <si>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</si>
  <si>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</si>
  <si>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</si>
  <si>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</si>
  <si>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</si>
  <si>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</si>
  <si>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</si>
  <si>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</si>
  <si>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</si>
  <si>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</si>
  <si>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</si>
  <si>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</si>
  <si>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</si>
  <si>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</si>
  <si>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</si>
  <si>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</si>
  <si>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</si>
  <si>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</si>
  <si>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</si>
  <si>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</si>
  <si>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</si>
  <si>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</si>
  <si>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</si>
  <si>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</si>
  <si>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</si>
  <si>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</si>
  <si>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</si>
  <si>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</si>
  <si>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</si>
  <si>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</si>
  <si>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</si>
  <si>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</si>
  <si>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</si>
  <si>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</si>
  <si>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</si>
  <si>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</si>
  <si>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</si>
  <si>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</si>
  <si>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</si>
  <si>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</si>
  <si>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</si>
  <si>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</si>
  <si>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</si>
  <si>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</si>
  <si>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</si>
  <si>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</si>
  <si>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</si>
  <si>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</si>
  <si>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</si>
  <si>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</si>
  <si>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</si>
  <si>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</si>
  <si>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</si>
  <si>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</si>
  <si>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</si>
  <si>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</si>
  <si>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</si>
  <si>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</si>
  <si>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</si>
  <si>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</si>
  <si>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</si>
  <si>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</si>
  <si>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</si>
  <si>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</si>
  <si>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</si>
  <si>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</si>
  <si>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</si>
  <si>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</si>
  <si>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</si>
  <si>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</si>
  <si>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</si>
  <si>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</si>
  <si>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</si>
  <si>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</si>
  <si>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</si>
  <si>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</si>
  <si>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</si>
  <si>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</si>
  <si>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</si>
  <si>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</si>
  <si>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</si>
  <si>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</si>
  <si>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</si>
  <si>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</si>
  <si>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</si>
  <si>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</si>
  <si>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</si>
  <si>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</si>
  <si>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</si>
  <si>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</si>
  <si>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</si>
  <si>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</si>
  <si>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</si>
  <si>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</si>
  <si>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</si>
  <si>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</si>
  <si>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</si>
  <si>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</si>
  <si>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</si>
  <si>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</si>
  <si>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</si>
  <si>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</si>
  <si>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</si>
  <si>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</si>
  <si>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</si>
  <si>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</si>
  <si>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</si>
  <si>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</si>
  <si>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</si>
  <si>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</si>
  <si>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</si>
  <si>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</si>
  <si>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</si>
  <si>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</si>
  <si>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</si>
  <si>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</si>
  <si>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</si>
  <si>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</si>
  <si>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</si>
  <si>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</si>
  <si>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</si>
  <si>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</si>
  <si>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</si>
  <si>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</si>
  <si>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</si>
  <si>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</si>
  <si>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</si>
  <si>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</si>
  <si>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</si>
  <si>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</si>
  <si>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</si>
  <si>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</si>
  <si>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</si>
  <si>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</si>
  <si>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</si>
  <si>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</si>
  <si>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</si>
  <si>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</si>
  <si>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</si>
  <si>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</si>
  <si>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</si>
  <si>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</si>
  <si>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</si>
  <si>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</si>
  <si>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</si>
  <si>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</si>
  <si>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</si>
  <si>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</si>
  <si>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</si>
  <si>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</si>
  <si>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</si>
  <si>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</si>
  <si>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</si>
  <si>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</si>
  <si>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</si>
  <si>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</si>
  <si>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</si>
  <si>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</si>
  <si>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</si>
  <si>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</si>
  <si>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</si>
  <si>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</si>
  <si>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</si>
  <si>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</si>
  <si>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</si>
  <si>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</si>
  <si>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</si>
  <si>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</si>
  <si>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</si>
  <si>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</si>
  <si>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</si>
  <si>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</si>
  <si>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</si>
  <si>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</si>
  <si>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</si>
  <si>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</si>
  <si>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</si>
  <si>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</si>
  <si>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</si>
  <si>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</si>
  <si>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</si>
  <si>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</si>
  <si>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</si>
  <si>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</si>
  <si>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</si>
  <si>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</si>
  <si>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</si>
  <si>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</si>
  <si>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</si>
  <si>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</si>
  <si>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</si>
  <si>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</si>
  <si>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</si>
  <si>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</si>
  <si>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</si>
  <si>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</si>
  <si>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</si>
  <si>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</si>
  <si>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</si>
  <si>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</si>
  <si>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</si>
  <si>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</si>
  <si>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</si>
  <si>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</si>
  <si>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</si>
  <si>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</si>
  <si>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</si>
  <si>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</si>
  <si>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</si>
  <si>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</si>
  <si>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</si>
  <si>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</si>
  <si>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</si>
  <si>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</si>
  <si>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</si>
  <si>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</si>
  <si>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</si>
  <si>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</si>
  <si>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</si>
  <si>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</si>
  <si>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</si>
  <si>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</si>
  <si>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</si>
  <si>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</si>
  <si>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</si>
  <si>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</si>
  <si>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</si>
  <si>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</si>
  <si>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</si>
  <si>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</si>
  <si>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</si>
  <si>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</si>
  <si>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</si>
  <si>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</si>
  <si>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</si>
  <si>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</si>
  <si>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</si>
  <si>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</si>
  <si>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</si>
  <si>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</si>
  <si>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</si>
  <si>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</si>
  <si>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</si>
  <si>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</si>
  <si>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</si>
  <si>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</si>
  <si>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</si>
  <si>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</si>
  <si>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</si>
  <si>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</si>
  <si>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</si>
  <si>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</si>
  <si>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</si>
  <si>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</si>
  <si>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</si>
  <si>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</si>
  <si>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</si>
  <si>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</si>
  <si>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</si>
  <si>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</si>
  <si>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</si>
  <si>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</si>
  <si>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</si>
  <si>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</si>
  <si>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</si>
  <si>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</si>
  <si>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</si>
  <si>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</si>
  <si>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</si>
  <si>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</si>
  <si>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</si>
  <si>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</si>
  <si>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</si>
  <si>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</si>
  <si>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</si>
  <si>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</si>
  <si>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</si>
  <si>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</si>
  <si>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</si>
  <si>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</si>
  <si>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</si>
  <si>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</si>
  <si>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</si>
  <si>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</si>
  <si>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</si>
  <si>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</si>
  <si>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</si>
  <si>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</si>
  <si>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</si>
  <si>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</si>
  <si>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</si>
  <si>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</si>
  <si>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</si>
  <si>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</si>
  <si>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</si>
  <si>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</si>
  <si>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</si>
  <si>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</si>
  <si>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</si>
  <si>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</si>
  <si>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</si>
  <si>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</si>
  <si>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</si>
  <si>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</si>
  <si>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</si>
  <si>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</si>
  <si>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</si>
  <si>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</si>
  <si>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</si>
  <si>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</si>
  <si>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</si>
  <si>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</si>
  <si>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</si>
  <si>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</si>
  <si>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</si>
  <si>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</si>
  <si>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</si>
  <si>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</si>
  <si>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</si>
  <si>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</si>
  <si>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</si>
  <si>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</si>
  <si>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</si>
  <si>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</si>
  <si>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</si>
  <si>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</si>
  <si>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</si>
  <si>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</si>
  <si>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</si>
  <si>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</si>
  <si>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</si>
  <si>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</si>
  <si>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</si>
  <si>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</si>
  <si>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</si>
  <si>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</si>
  <si>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</si>
  <si>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</si>
  <si>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</si>
  <si>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</si>
  <si>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</si>
  <si>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</si>
  <si>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</si>
  <si>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</si>
  <si>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</si>
  <si>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</si>
  <si>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</si>
  <si>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</si>
  <si>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</si>
  <si>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</si>
  <si>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</si>
  <si>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</si>
  <si>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</si>
  <si>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</si>
  <si>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</si>
  <si>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</si>
  <si>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</si>
  <si>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</si>
  <si>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</si>
  <si>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</si>
  <si>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</si>
  <si>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</si>
  <si>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</si>
  <si>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</si>
  <si>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</si>
  <si>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</si>
  <si>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</si>
  <si>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</si>
  <si>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</si>
  <si>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</si>
  <si>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</si>
  <si>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</si>
  <si>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</si>
  <si>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</si>
  <si>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</si>
  <si>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</si>
  <si>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</si>
  <si>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</si>
  <si>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</si>
  <si>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</si>
  <si>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</si>
  <si>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</si>
  <si>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</si>
  <si>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</si>
  <si>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</si>
  <si>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</si>
  <si>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</si>
  <si>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</si>
  <si>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</si>
  <si>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</si>
  <si>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</si>
  <si>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</si>
  <si>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</si>
  <si>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</si>
  <si>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</si>
  <si>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</si>
  <si>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</si>
  <si>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</si>
  <si>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</si>
  <si>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</si>
  <si>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</si>
  <si>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</si>
  <si>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</si>
  <si>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</si>
  <si>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</si>
  <si>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</si>
  <si>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</si>
  <si>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</si>
  <si>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</si>
  <si>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</si>
  <si>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</si>
  <si>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</si>
  <si>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</si>
  <si>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</si>
  <si>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</si>
  <si>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</si>
  <si>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</si>
  <si>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</si>
  <si>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</si>
  <si>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</si>
  <si>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</si>
  <si>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</si>
  <si>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</si>
  <si>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</si>
  <si>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</si>
  <si>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</si>
  <si>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</si>
  <si>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</si>
  <si>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</si>
  <si>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</si>
  <si>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</si>
  <si>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</si>
  <si>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</si>
  <si>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</si>
  <si>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</si>
  <si>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</si>
  <si>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</si>
  <si>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</si>
  <si>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</si>
  <si>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</si>
  <si>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</si>
  <si>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</si>
  <si>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</si>
  <si>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</si>
  <si>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</si>
  <si>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</si>
  <si>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</si>
  <si>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</si>
  <si>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</si>
  <si>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</si>
  <si>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</si>
  <si>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</si>
  <si>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</si>
  <si>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</si>
  <si>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</si>
  <si>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</si>
  <si>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</si>
  <si>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</si>
  <si>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</si>
  <si>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</si>
  <si>
    <t>Passing dissonance on first beat</t>
  </si>
  <si>
    <t>Neighbor tone dissonance on first beat</t>
  </si>
  <si>
    <t>chord repeat</t>
  </si>
  <si>
    <t>Repeated note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</si>
</sst>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8" fillId="21" borderId="1" xfId="0" applyFont="1" applyFill="1" applyBorder="1" applyAlignment="1">
      <alignment horizontal="left"/>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applyAlignment="1"/>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2" fillId="0" borderId="1" xfId="0" applyFont="1" applyBorder="1" applyAlignment="1">
      <alignment horizontal="left"/>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9"/>
  <sheetViews>
    <sheetView zoomScale="115" zoomScaleNormal="115" workbookViewId="0">
      <pane ySplit="1" topLeftCell="A2" activePane="bottomLeft" state="frozen"/>
      <selection activeCell="C37" sqref="C37"/>
      <selection pane="bottomLeft" activeCell="F20" sqref="F2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621</v>
      </c>
      <c r="F1" s="129" t="s">
        <v>29</v>
      </c>
      <c r="G1" s="130"/>
      <c r="H1" s="130"/>
      <c r="I1" s="130"/>
      <c r="J1" s="130"/>
      <c r="K1" s="130"/>
      <c r="L1" s="130"/>
      <c r="M1" s="131"/>
      <c r="N1" s="47"/>
      <c r="O1" s="48" t="s">
        <v>15</v>
      </c>
      <c r="P1" s="49"/>
      <c r="Q1" s="48" t="s">
        <v>42</v>
      </c>
    </row>
    <row r="2" spans="1:24" ht="13.15" customHeight="1" x14ac:dyDescent="0.2">
      <c r="A2" s="140" t="s">
        <v>95</v>
      </c>
      <c r="B2" s="143" t="s">
        <v>95</v>
      </c>
      <c r="C2" s="83" t="s">
        <v>475</v>
      </c>
      <c r="D2" s="3"/>
      <c r="E2" s="3"/>
      <c r="F2" s="75" t="s">
        <v>474</v>
      </c>
      <c r="G2" s="3"/>
      <c r="H2" s="3"/>
      <c r="I2" s="3"/>
      <c r="J2" s="3"/>
      <c r="K2" s="3"/>
      <c r="L2" s="3"/>
      <c r="M2" s="3"/>
      <c r="O2" s="14"/>
      <c r="Q2" s="115">
        <v>230</v>
      </c>
      <c r="R2" s="1"/>
      <c r="S2" s="1"/>
      <c r="T2" s="1"/>
      <c r="U2" s="1"/>
      <c r="V2" s="1"/>
      <c r="W2" s="1"/>
      <c r="X2" s="1"/>
    </row>
    <row r="3" spans="1:24" ht="13.15" customHeight="1" x14ac:dyDescent="0.2">
      <c r="A3" s="140"/>
      <c r="B3" s="143"/>
      <c r="C3" s="83" t="s">
        <v>946</v>
      </c>
      <c r="D3" s="3"/>
      <c r="E3" s="3"/>
      <c r="F3" s="75" t="s">
        <v>678</v>
      </c>
      <c r="G3" s="75" t="s">
        <v>677</v>
      </c>
      <c r="H3" s="75" t="s">
        <v>679</v>
      </c>
      <c r="I3" s="3"/>
      <c r="J3" s="3"/>
      <c r="K3" s="3"/>
      <c r="L3" s="3"/>
      <c r="M3" s="3"/>
      <c r="O3" s="14"/>
      <c r="Q3" s="110">
        <v>138</v>
      </c>
      <c r="R3" s="110">
        <v>517</v>
      </c>
      <c r="S3" s="110">
        <v>527</v>
      </c>
      <c r="T3" s="1"/>
      <c r="V3" s="1"/>
      <c r="W3" s="1"/>
      <c r="X3" s="1"/>
    </row>
    <row r="4" spans="1:24" ht="13.15" customHeight="1" x14ac:dyDescent="0.2">
      <c r="A4" s="140"/>
      <c r="B4" s="143"/>
      <c r="C4" s="83" t="s">
        <v>947</v>
      </c>
      <c r="D4" s="3"/>
      <c r="E4" s="3"/>
      <c r="F4" s="75" t="s">
        <v>909</v>
      </c>
      <c r="G4" s="3"/>
      <c r="H4" s="3"/>
      <c r="I4" s="3"/>
      <c r="J4" s="3"/>
      <c r="K4" s="3"/>
      <c r="L4" s="3"/>
      <c r="M4" s="3"/>
      <c r="O4" s="14"/>
      <c r="Q4" s="110">
        <v>237</v>
      </c>
      <c r="R4" s="110"/>
      <c r="S4" s="110"/>
      <c r="T4" s="110"/>
      <c r="U4" s="1"/>
      <c r="V4" s="1"/>
      <c r="W4" s="1"/>
      <c r="X4" s="1"/>
    </row>
    <row r="5" spans="1:24" ht="13.15" customHeight="1" x14ac:dyDescent="0.2">
      <c r="A5" s="140"/>
      <c r="B5" s="143"/>
      <c r="C5" s="83" t="s">
        <v>948</v>
      </c>
      <c r="D5" s="3"/>
      <c r="E5" s="3"/>
      <c r="F5" s="75" t="s">
        <v>885</v>
      </c>
      <c r="G5" s="3"/>
      <c r="H5" s="3"/>
      <c r="I5" s="3"/>
      <c r="J5" s="3"/>
      <c r="K5" s="3"/>
      <c r="L5" s="3"/>
      <c r="M5" s="3"/>
      <c r="O5" s="14"/>
      <c r="Q5" s="110">
        <v>530</v>
      </c>
      <c r="R5" s="1"/>
      <c r="S5" s="1"/>
      <c r="T5" s="1"/>
      <c r="U5" s="1"/>
      <c r="V5" s="1"/>
      <c r="W5" s="1"/>
      <c r="X5" s="1"/>
    </row>
    <row r="6" spans="1:24" x14ac:dyDescent="0.2">
      <c r="A6" s="140"/>
      <c r="B6" s="143"/>
      <c r="C6" s="19" t="s">
        <v>473</v>
      </c>
      <c r="D6" s="3"/>
      <c r="E6" s="3"/>
      <c r="F6" s="75" t="s">
        <v>886</v>
      </c>
      <c r="G6" s="3"/>
      <c r="H6" s="3"/>
      <c r="I6" s="3"/>
      <c r="J6" s="3"/>
      <c r="K6" s="3"/>
      <c r="L6" s="3"/>
      <c r="M6" s="3"/>
      <c r="N6" s="4"/>
      <c r="O6" s="18"/>
      <c r="Q6" s="110">
        <v>247</v>
      </c>
      <c r="R6" s="107"/>
      <c r="S6" s="107"/>
      <c r="T6" s="1"/>
      <c r="U6" s="1"/>
      <c r="V6" s="1"/>
      <c r="W6" s="1"/>
      <c r="X6" s="1"/>
    </row>
    <row r="7" spans="1:24" x14ac:dyDescent="0.2">
      <c r="A7" s="140"/>
      <c r="B7" s="143"/>
      <c r="C7" s="19" t="s">
        <v>950</v>
      </c>
      <c r="D7" s="3"/>
      <c r="E7" s="3"/>
      <c r="F7" s="4" t="s">
        <v>886</v>
      </c>
      <c r="G7" s="3"/>
      <c r="H7" s="3"/>
      <c r="I7" s="3"/>
      <c r="J7" s="3"/>
      <c r="K7" s="3"/>
      <c r="L7" s="3"/>
      <c r="M7" s="3"/>
      <c r="N7" s="4"/>
      <c r="O7" s="18"/>
      <c r="Q7" s="110">
        <v>549</v>
      </c>
      <c r="R7" s="107"/>
      <c r="S7" s="107"/>
      <c r="T7" s="1"/>
      <c r="U7" s="1"/>
      <c r="V7" s="1"/>
      <c r="W7" s="1"/>
      <c r="X7" s="1"/>
    </row>
    <row r="8" spans="1:24" x14ac:dyDescent="0.2">
      <c r="A8" s="140"/>
      <c r="B8" s="143"/>
      <c r="C8" s="19" t="s">
        <v>949</v>
      </c>
      <c r="D8" s="3"/>
      <c r="E8" s="3"/>
      <c r="F8" s="75" t="s">
        <v>886</v>
      </c>
      <c r="G8" s="3"/>
      <c r="H8" s="3"/>
      <c r="I8" s="3"/>
      <c r="J8" s="3"/>
      <c r="K8" s="3"/>
      <c r="L8" s="3"/>
      <c r="M8" s="3"/>
      <c r="N8" s="4"/>
      <c r="O8" s="18" t="s">
        <v>924</v>
      </c>
      <c r="Q8" s="110">
        <v>215</v>
      </c>
      <c r="R8" s="107"/>
      <c r="S8" s="107"/>
      <c r="T8" s="1"/>
      <c r="U8" s="1"/>
      <c r="V8" s="1"/>
      <c r="W8" s="1"/>
      <c r="X8" s="1"/>
    </row>
    <row r="9" spans="1:24" x14ac:dyDescent="0.2">
      <c r="A9" s="140"/>
      <c r="B9" s="143"/>
      <c r="C9" s="19" t="s">
        <v>472</v>
      </c>
      <c r="D9" s="3"/>
      <c r="E9" s="3"/>
      <c r="F9" s="4" t="s">
        <v>100</v>
      </c>
      <c r="G9" s="75" t="s">
        <v>99</v>
      </c>
      <c r="H9" s="75" t="s">
        <v>96</v>
      </c>
      <c r="I9" s="75" t="s">
        <v>759</v>
      </c>
      <c r="J9" s="75" t="s">
        <v>94</v>
      </c>
      <c r="K9" s="3"/>
      <c r="L9" s="3"/>
      <c r="M9" s="3"/>
      <c r="N9" s="10"/>
      <c r="O9" s="14"/>
      <c r="Q9" s="108">
        <v>233</v>
      </c>
      <c r="R9" s="108">
        <v>234</v>
      </c>
      <c r="S9" s="108">
        <v>235</v>
      </c>
      <c r="T9" s="115">
        <v>236</v>
      </c>
      <c r="U9" s="115">
        <v>160</v>
      </c>
      <c r="V9" s="1"/>
      <c r="W9" s="1"/>
      <c r="X9" s="1"/>
    </row>
    <row r="10" spans="1:24" x14ac:dyDescent="0.2">
      <c r="A10" s="140"/>
      <c r="B10" s="143"/>
      <c r="C10" s="19" t="s">
        <v>481</v>
      </c>
      <c r="D10" s="3"/>
      <c r="E10" s="3"/>
      <c r="F10" s="75" t="s">
        <v>401</v>
      </c>
      <c r="G10" s="4" t="s">
        <v>402</v>
      </c>
      <c r="H10" s="75" t="s">
        <v>403</v>
      </c>
      <c r="I10" s="4" t="s">
        <v>404</v>
      </c>
      <c r="J10" s="75" t="s">
        <v>91</v>
      </c>
      <c r="K10" s="75" t="s">
        <v>97</v>
      </c>
      <c r="L10" s="75" t="s">
        <v>102</v>
      </c>
      <c r="M10" s="75" t="s">
        <v>88</v>
      </c>
      <c r="N10" s="13"/>
      <c r="O10" s="14"/>
      <c r="Q10" s="108">
        <v>226</v>
      </c>
      <c r="R10" s="108">
        <v>227</v>
      </c>
      <c r="S10" s="108">
        <v>228</v>
      </c>
      <c r="T10" s="115">
        <v>229</v>
      </c>
      <c r="U10" s="115">
        <v>231</v>
      </c>
      <c r="V10" s="115">
        <v>232</v>
      </c>
      <c r="W10" s="108">
        <v>255</v>
      </c>
      <c r="X10" s="110">
        <v>88</v>
      </c>
    </row>
    <row r="11" spans="1:24" x14ac:dyDescent="0.2">
      <c r="A11" s="140"/>
      <c r="B11" s="143"/>
      <c r="C11" s="19" t="s">
        <v>305</v>
      </c>
      <c r="D11" s="3"/>
      <c r="E11" s="3"/>
      <c r="F11" s="4" t="s">
        <v>476</v>
      </c>
      <c r="G11" s="75" t="s">
        <v>44</v>
      </c>
      <c r="H11" s="24"/>
      <c r="I11" s="24"/>
      <c r="J11" s="24"/>
      <c r="K11" s="24"/>
      <c r="L11" s="24"/>
      <c r="M11" s="24"/>
      <c r="N11" s="4"/>
      <c r="O11" s="14" t="s">
        <v>101</v>
      </c>
      <c r="Q11" s="108">
        <v>239</v>
      </c>
      <c r="R11" s="108">
        <v>240</v>
      </c>
      <c r="S11" s="1"/>
      <c r="T11" s="1"/>
      <c r="U11" s="1"/>
      <c r="V11" s="1"/>
      <c r="W11" s="1"/>
      <c r="X11" s="1"/>
    </row>
    <row r="12" spans="1:24" x14ac:dyDescent="0.2">
      <c r="A12" s="140"/>
      <c r="B12" s="143"/>
      <c r="C12" s="19" t="s">
        <v>478</v>
      </c>
      <c r="D12" s="3"/>
      <c r="E12" s="3"/>
      <c r="F12" s="75" t="s">
        <v>887</v>
      </c>
      <c r="G12" s="3"/>
      <c r="H12" s="3"/>
      <c r="I12" s="3"/>
      <c r="J12" s="3"/>
      <c r="K12" s="3"/>
      <c r="L12" s="3"/>
      <c r="M12" s="3"/>
      <c r="N12" s="13"/>
      <c r="O12" s="18" t="s">
        <v>179</v>
      </c>
      <c r="Q12" s="109">
        <v>514</v>
      </c>
      <c r="R12" s="1"/>
      <c r="S12" s="1"/>
      <c r="T12" s="107"/>
      <c r="U12" s="107"/>
      <c r="V12" s="1"/>
      <c r="W12" s="1"/>
      <c r="X12" s="1"/>
    </row>
    <row r="13" spans="1:24" x14ac:dyDescent="0.2">
      <c r="A13" s="140"/>
      <c r="B13" s="143"/>
      <c r="C13" s="19" t="s">
        <v>951</v>
      </c>
      <c r="D13" s="3"/>
      <c r="E13" s="3"/>
      <c r="F13" s="75" t="s">
        <v>888</v>
      </c>
      <c r="G13" s="3"/>
      <c r="H13" s="3"/>
      <c r="I13" s="3"/>
      <c r="J13" s="3"/>
      <c r="K13" s="3"/>
      <c r="L13" s="3"/>
      <c r="M13" s="3"/>
      <c r="N13" s="13"/>
      <c r="O13" s="18"/>
      <c r="Q13" s="109">
        <v>525</v>
      </c>
      <c r="R13" s="1"/>
      <c r="S13" s="1"/>
      <c r="T13" s="107"/>
      <c r="U13" s="107"/>
      <c r="V13" s="1"/>
      <c r="W13" s="1"/>
      <c r="X13" s="1"/>
    </row>
    <row r="14" spans="1:24" x14ac:dyDescent="0.2">
      <c r="A14" s="140"/>
      <c r="B14" s="143"/>
      <c r="C14" s="19" t="s">
        <v>952</v>
      </c>
      <c r="D14" s="3"/>
      <c r="E14" s="3"/>
      <c r="F14" s="75" t="s">
        <v>889</v>
      </c>
      <c r="G14" s="3"/>
      <c r="H14" s="3"/>
      <c r="I14" s="3"/>
      <c r="J14" s="3"/>
      <c r="K14" s="3"/>
      <c r="L14" s="3"/>
      <c r="M14" s="3"/>
      <c r="N14" s="13"/>
      <c r="O14" s="18"/>
      <c r="Q14" s="109">
        <v>515</v>
      </c>
      <c r="R14" s="1"/>
      <c r="S14" s="1"/>
      <c r="T14" s="107"/>
      <c r="U14" s="107"/>
      <c r="V14" s="1"/>
      <c r="W14" s="1"/>
      <c r="X14" s="1"/>
    </row>
    <row r="15" spans="1:24" x14ac:dyDescent="0.2">
      <c r="A15" s="140"/>
      <c r="B15" s="143"/>
      <c r="C15" s="19" t="s">
        <v>477</v>
      </c>
      <c r="D15" s="3"/>
      <c r="E15" s="3"/>
      <c r="F15" s="75" t="s">
        <v>35</v>
      </c>
      <c r="G15" s="3"/>
      <c r="H15" s="3"/>
      <c r="I15" s="3"/>
      <c r="J15" s="3"/>
      <c r="K15" s="3"/>
      <c r="L15" s="3"/>
      <c r="M15" s="3"/>
      <c r="N15" s="13"/>
      <c r="O15" s="18"/>
      <c r="Q15" s="108">
        <v>41</v>
      </c>
      <c r="R15" s="1"/>
      <c r="S15" s="1"/>
      <c r="T15" s="107"/>
      <c r="U15" s="107"/>
      <c r="V15" s="1"/>
      <c r="W15" s="1"/>
      <c r="X15" s="1"/>
    </row>
    <row r="16" spans="1:24" x14ac:dyDescent="0.2">
      <c r="A16" s="140"/>
      <c r="B16" s="143"/>
      <c r="C16" s="19" t="s">
        <v>980</v>
      </c>
      <c r="D16" s="3"/>
      <c r="E16" s="3"/>
      <c r="F16" s="75" t="s">
        <v>979</v>
      </c>
      <c r="G16" s="24"/>
      <c r="H16" s="24"/>
      <c r="I16" s="24"/>
      <c r="J16" s="24"/>
      <c r="K16" s="24"/>
      <c r="L16" s="24"/>
      <c r="M16" s="24"/>
      <c r="N16" s="35"/>
      <c r="O16" s="14"/>
      <c r="Q16" s="109">
        <v>267</v>
      </c>
      <c r="R16" s="1"/>
      <c r="S16" s="1"/>
      <c r="T16" s="1"/>
      <c r="U16" s="1"/>
      <c r="V16" s="1"/>
      <c r="W16" s="1"/>
      <c r="X16" s="1"/>
    </row>
    <row r="17" spans="1:25" x14ac:dyDescent="0.2">
      <c r="A17" s="140"/>
      <c r="B17" s="143"/>
      <c r="C17" s="19" t="s">
        <v>479</v>
      </c>
      <c r="D17" s="3"/>
      <c r="E17" s="3"/>
      <c r="F17" s="40" t="s">
        <v>837</v>
      </c>
      <c r="G17" s="40" t="s">
        <v>773</v>
      </c>
      <c r="H17" s="40" t="s">
        <v>836</v>
      </c>
      <c r="I17" s="24"/>
      <c r="J17" s="24"/>
      <c r="K17" s="24"/>
      <c r="L17" s="24"/>
      <c r="M17" s="24"/>
      <c r="N17" s="10"/>
      <c r="O17" s="18" t="s">
        <v>774</v>
      </c>
      <c r="Q17" s="113">
        <v>244</v>
      </c>
      <c r="R17" s="113">
        <v>427</v>
      </c>
      <c r="S17" s="113">
        <v>274</v>
      </c>
      <c r="W17" s="107"/>
      <c r="X17" s="1"/>
    </row>
    <row r="18" spans="1:25" x14ac:dyDescent="0.2">
      <c r="A18" s="140"/>
      <c r="B18" s="143"/>
      <c r="C18" s="19" t="s">
        <v>722</v>
      </c>
      <c r="D18" s="3"/>
      <c r="E18" s="3"/>
      <c r="F18" s="38" t="s">
        <v>180</v>
      </c>
      <c r="G18" s="24"/>
      <c r="H18" s="24"/>
      <c r="I18" s="24"/>
      <c r="J18" s="24"/>
      <c r="K18" s="24"/>
      <c r="L18" s="24"/>
      <c r="M18" s="24"/>
      <c r="N18" s="13"/>
      <c r="O18" s="14"/>
      <c r="Q18" s="109">
        <v>341</v>
      </c>
      <c r="R18" s="1"/>
      <c r="S18" s="1"/>
      <c r="T18" s="1"/>
      <c r="U18" s="107"/>
      <c r="V18" s="107"/>
      <c r="W18" s="107"/>
      <c r="X18" s="1"/>
    </row>
    <row r="19" spans="1:25" x14ac:dyDescent="0.2">
      <c r="A19" s="140"/>
      <c r="B19" s="143"/>
      <c r="C19" s="19" t="s">
        <v>480</v>
      </c>
      <c r="D19" s="3"/>
      <c r="E19" s="3"/>
      <c r="F19" s="4" t="s">
        <v>640</v>
      </c>
      <c r="G19" s="75" t="s">
        <v>639</v>
      </c>
      <c r="H19" s="40" t="s">
        <v>969</v>
      </c>
      <c r="I19" s="3"/>
      <c r="J19" s="24"/>
      <c r="K19" s="24"/>
      <c r="L19" s="24"/>
      <c r="M19" s="24"/>
      <c r="N19" s="4"/>
      <c r="O19" s="18"/>
      <c r="Q19" s="108">
        <v>301</v>
      </c>
      <c r="R19" s="109">
        <v>245</v>
      </c>
      <c r="S19" s="108">
        <v>246</v>
      </c>
      <c r="T19" s="1"/>
      <c r="U19" s="1"/>
      <c r="V19" s="1"/>
      <c r="W19" s="1"/>
      <c r="X19" s="1"/>
    </row>
    <row r="20" spans="1:25" x14ac:dyDescent="0.2">
      <c r="A20" s="140"/>
      <c r="B20" s="137" t="s">
        <v>727</v>
      </c>
      <c r="C20" s="19" t="s">
        <v>641</v>
      </c>
      <c r="D20" s="3"/>
      <c r="E20" s="3"/>
      <c r="F20" s="40" t="s">
        <v>62</v>
      </c>
      <c r="G20" s="75" t="s">
        <v>642</v>
      </c>
      <c r="H20" s="3"/>
      <c r="I20" s="3"/>
      <c r="J20" s="3"/>
      <c r="K20" s="3"/>
      <c r="L20" s="3"/>
      <c r="M20" s="3"/>
      <c r="N20" s="13"/>
      <c r="O20" s="18"/>
      <c r="Q20" s="109">
        <v>30</v>
      </c>
      <c r="R20" s="1">
        <v>516</v>
      </c>
      <c r="S20" s="1"/>
      <c r="T20" s="1"/>
      <c r="U20" s="1"/>
      <c r="V20" s="1"/>
      <c r="W20" s="1"/>
      <c r="X20" s="1"/>
    </row>
    <row r="21" spans="1:25" x14ac:dyDescent="0.2">
      <c r="A21" s="140"/>
      <c r="B21" s="138"/>
      <c r="C21" s="19" t="s">
        <v>953</v>
      </c>
      <c r="D21" s="3"/>
      <c r="E21" s="3"/>
      <c r="F21" s="75" t="s">
        <v>890</v>
      </c>
      <c r="G21" s="3"/>
      <c r="H21" s="3"/>
      <c r="I21" s="3"/>
      <c r="J21" s="3"/>
      <c r="K21" s="3"/>
      <c r="L21" s="3"/>
      <c r="M21" s="3"/>
      <c r="N21" s="13"/>
      <c r="O21" s="18"/>
      <c r="Q21" s="112">
        <v>557</v>
      </c>
      <c r="R21" s="1"/>
      <c r="S21" s="1"/>
      <c r="T21" s="1"/>
      <c r="U21" s="1"/>
      <c r="V21" s="1"/>
      <c r="W21" s="1"/>
      <c r="X21" s="1"/>
    </row>
    <row r="22" spans="1:25" x14ac:dyDescent="0.2">
      <c r="A22" s="140"/>
      <c r="B22" s="138"/>
      <c r="C22" s="79" t="s">
        <v>508</v>
      </c>
      <c r="D22" s="3">
        <v>10</v>
      </c>
      <c r="E22" s="3"/>
      <c r="F22" s="41">
        <v>1</v>
      </c>
      <c r="G22" s="75">
        <v>2</v>
      </c>
      <c r="H22" s="75" t="s">
        <v>35</v>
      </c>
      <c r="I22" s="3"/>
      <c r="J22" s="3"/>
      <c r="K22" s="3"/>
      <c r="L22" s="3"/>
      <c r="M22" s="3"/>
      <c r="N22" s="4"/>
      <c r="O22" s="18"/>
      <c r="Q22" s="108">
        <v>93</v>
      </c>
      <c r="R22" s="108">
        <v>94</v>
      </c>
      <c r="S22" s="109">
        <v>95</v>
      </c>
      <c r="T22" s="1"/>
      <c r="U22" s="1"/>
      <c r="V22" s="1"/>
      <c r="W22" s="1"/>
      <c r="X22" s="1"/>
    </row>
    <row r="23" spans="1:25" ht="13.15" customHeight="1" x14ac:dyDescent="0.2">
      <c r="A23" s="140"/>
      <c r="B23" s="138"/>
      <c r="C23" s="79" t="s">
        <v>508</v>
      </c>
      <c r="D23" s="3">
        <v>2</v>
      </c>
      <c r="E23" s="3"/>
      <c r="F23" s="17">
        <v>1</v>
      </c>
      <c r="G23" s="75">
        <v>2</v>
      </c>
      <c r="H23" s="75" t="s">
        <v>35</v>
      </c>
      <c r="I23" s="3"/>
      <c r="J23" s="3"/>
      <c r="K23" s="3"/>
      <c r="L23" s="3"/>
      <c r="M23" s="3"/>
      <c r="N23" s="4"/>
      <c r="O23" s="18"/>
      <c r="Q23" s="108">
        <v>93</v>
      </c>
      <c r="R23" s="108">
        <v>94</v>
      </c>
      <c r="S23" s="108">
        <v>95</v>
      </c>
      <c r="T23" s="1"/>
      <c r="U23" s="1"/>
      <c r="V23" s="1"/>
      <c r="W23" s="1"/>
      <c r="X23" s="1"/>
    </row>
    <row r="24" spans="1:25" x14ac:dyDescent="0.2">
      <c r="A24" s="140"/>
      <c r="B24" s="139"/>
      <c r="C24" s="79" t="s">
        <v>486</v>
      </c>
      <c r="D24" s="3">
        <v>4</v>
      </c>
      <c r="E24" s="3"/>
      <c r="F24" s="41">
        <v>1</v>
      </c>
      <c r="G24" s="75">
        <v>2</v>
      </c>
      <c r="H24" s="75" t="s">
        <v>35</v>
      </c>
      <c r="I24" s="3"/>
      <c r="J24" s="3"/>
      <c r="K24" s="3"/>
      <c r="L24" s="3"/>
      <c r="M24" s="3"/>
      <c r="N24" s="35"/>
      <c r="O24" s="18" t="s">
        <v>620</v>
      </c>
      <c r="Q24" s="108">
        <v>188</v>
      </c>
      <c r="R24" s="108">
        <v>189</v>
      </c>
      <c r="S24" s="109">
        <v>190</v>
      </c>
      <c r="T24" s="1"/>
      <c r="U24" s="1"/>
      <c r="V24" s="1"/>
      <c r="W24" s="1"/>
      <c r="X24" s="1"/>
    </row>
    <row r="25" spans="1:25" ht="13.5" customHeight="1" x14ac:dyDescent="0.2">
      <c r="A25" s="136" t="s">
        <v>28</v>
      </c>
      <c r="B25" s="106" t="s">
        <v>719</v>
      </c>
      <c r="C25" s="19" t="s">
        <v>752</v>
      </c>
      <c r="D25" s="3"/>
      <c r="E25" s="3"/>
      <c r="F25" s="75" t="s">
        <v>753</v>
      </c>
      <c r="G25" s="75" t="s">
        <v>754</v>
      </c>
      <c r="H25" s="3"/>
      <c r="I25" s="3"/>
      <c r="J25" s="3"/>
      <c r="K25" s="3"/>
      <c r="L25" s="3"/>
      <c r="M25" s="3"/>
      <c r="N25" s="35"/>
      <c r="O25" s="18"/>
      <c r="Q25" s="109">
        <v>197</v>
      </c>
      <c r="R25" s="109">
        <v>198</v>
      </c>
      <c r="S25" s="1"/>
      <c r="T25" s="1"/>
      <c r="U25" s="1"/>
      <c r="V25" s="1"/>
      <c r="W25" s="1"/>
      <c r="X25" s="1"/>
    </row>
    <row r="26" spans="1:25" ht="15.95" customHeight="1" x14ac:dyDescent="0.2">
      <c r="A26" s="136"/>
      <c r="B26" s="143" t="s">
        <v>49</v>
      </c>
      <c r="C26" s="19" t="s">
        <v>610</v>
      </c>
      <c r="D26" s="3"/>
      <c r="E26" s="3"/>
      <c r="F26" s="17" t="s">
        <v>2</v>
      </c>
      <c r="G26" s="17" t="s">
        <v>3</v>
      </c>
      <c r="H26" s="17" t="s">
        <v>4</v>
      </c>
      <c r="I26" s="17" t="s">
        <v>34</v>
      </c>
      <c r="J26" s="76" t="s">
        <v>71</v>
      </c>
      <c r="K26" s="40" t="s">
        <v>210</v>
      </c>
      <c r="L26" s="3"/>
      <c r="M26" s="3"/>
      <c r="N26" s="4"/>
      <c r="O26" s="18" t="s">
        <v>340</v>
      </c>
      <c r="Q26" s="109">
        <v>42</v>
      </c>
      <c r="R26" s="109">
        <v>43</v>
      </c>
      <c r="S26" s="109">
        <v>44</v>
      </c>
      <c r="T26" s="109">
        <v>45</v>
      </c>
      <c r="U26" s="110">
        <v>191</v>
      </c>
      <c r="V26" s="109">
        <v>386</v>
      </c>
      <c r="W26" s="1"/>
      <c r="X26" s="1"/>
      <c r="Y26" s="2"/>
    </row>
    <row r="27" spans="1:25" ht="15.95" customHeight="1" x14ac:dyDescent="0.2">
      <c r="A27" s="136"/>
      <c r="B27" s="143"/>
      <c r="C27" s="19" t="s">
        <v>637</v>
      </c>
      <c r="D27" s="3">
        <v>1240</v>
      </c>
      <c r="E27" s="3"/>
      <c r="F27" s="75" t="s">
        <v>2</v>
      </c>
      <c r="G27" s="75" t="s">
        <v>3</v>
      </c>
      <c r="H27" s="75" t="s">
        <v>4</v>
      </c>
      <c r="I27" s="75" t="s">
        <v>34</v>
      </c>
      <c r="J27" s="76" t="s">
        <v>71</v>
      </c>
      <c r="K27" s="3"/>
      <c r="L27" s="3"/>
      <c r="M27" s="3"/>
      <c r="N27" s="35"/>
      <c r="O27" s="18" t="s">
        <v>341</v>
      </c>
      <c r="Q27" s="109">
        <v>120</v>
      </c>
      <c r="R27" s="109">
        <v>121</v>
      </c>
      <c r="S27" s="109">
        <v>122</v>
      </c>
      <c r="T27" s="109">
        <v>123</v>
      </c>
      <c r="U27" s="110">
        <v>192</v>
      </c>
      <c r="V27" s="1"/>
      <c r="W27" s="1"/>
      <c r="X27" s="1"/>
      <c r="Y27" s="2"/>
    </row>
    <row r="28" spans="1:25" ht="15.95" customHeight="1" x14ac:dyDescent="0.2">
      <c r="A28" s="136"/>
      <c r="B28" s="143"/>
      <c r="C28" s="19" t="s">
        <v>637</v>
      </c>
      <c r="D28" s="3">
        <v>35</v>
      </c>
      <c r="E28" s="3"/>
      <c r="F28" s="17" t="s">
        <v>2</v>
      </c>
      <c r="G28" s="17" t="s">
        <v>3</v>
      </c>
      <c r="H28" s="17" t="s">
        <v>4</v>
      </c>
      <c r="I28" s="75" t="s">
        <v>34</v>
      </c>
      <c r="J28" s="76" t="s">
        <v>71</v>
      </c>
      <c r="K28" s="3"/>
      <c r="L28" s="3"/>
      <c r="M28" s="3"/>
      <c r="N28" s="35"/>
      <c r="O28" s="18" t="s">
        <v>341</v>
      </c>
      <c r="Q28" s="109">
        <v>120</v>
      </c>
      <c r="R28" s="109">
        <v>121</v>
      </c>
      <c r="S28" s="109">
        <v>122</v>
      </c>
      <c r="T28" s="109">
        <v>123</v>
      </c>
      <c r="U28" s="110">
        <v>192</v>
      </c>
      <c r="V28" s="1"/>
      <c r="W28" s="1"/>
      <c r="X28" s="1"/>
      <c r="Y28" s="2"/>
    </row>
    <row r="29" spans="1:25" ht="15.95" customHeight="1" x14ac:dyDescent="0.2">
      <c r="A29" s="136"/>
      <c r="B29" s="143"/>
      <c r="C29" s="19" t="s">
        <v>47</v>
      </c>
      <c r="D29" s="3"/>
      <c r="E29" s="3"/>
      <c r="F29" s="17" t="s">
        <v>2</v>
      </c>
      <c r="G29" s="17" t="s">
        <v>3</v>
      </c>
      <c r="H29" s="17" t="s">
        <v>4</v>
      </c>
      <c r="I29" s="17" t="s">
        <v>34</v>
      </c>
      <c r="J29" s="3"/>
      <c r="K29" s="3"/>
      <c r="L29" s="3"/>
      <c r="M29" s="3"/>
      <c r="N29" s="10"/>
      <c r="O29" s="18" t="s">
        <v>342</v>
      </c>
      <c r="Q29" s="109">
        <v>53</v>
      </c>
      <c r="R29" s="109">
        <v>54</v>
      </c>
      <c r="S29" s="109">
        <v>55</v>
      </c>
      <c r="T29" s="109">
        <v>56</v>
      </c>
      <c r="U29" s="1"/>
      <c r="V29" s="1"/>
      <c r="W29" s="1"/>
      <c r="X29" s="1"/>
      <c r="Y29" s="2"/>
    </row>
    <row r="30" spans="1:25" ht="15.95" customHeight="1" x14ac:dyDescent="0.2">
      <c r="A30" s="136"/>
      <c r="B30" s="143"/>
      <c r="C30" s="19" t="s">
        <v>410</v>
      </c>
      <c r="D30" s="3"/>
      <c r="E30" s="3"/>
      <c r="F30" s="53" t="s">
        <v>52</v>
      </c>
      <c r="G30" s="17" t="s">
        <v>3</v>
      </c>
      <c r="H30" s="17" t="s">
        <v>4</v>
      </c>
      <c r="I30" s="17" t="s">
        <v>34</v>
      </c>
      <c r="J30" s="3"/>
      <c r="K30" s="3"/>
      <c r="L30" s="3"/>
      <c r="M30" s="3"/>
      <c r="N30" s="13"/>
      <c r="O30" s="34" t="s">
        <v>173</v>
      </c>
      <c r="Q30" s="109">
        <v>100</v>
      </c>
      <c r="R30" s="109">
        <v>101</v>
      </c>
      <c r="S30" s="109">
        <v>102</v>
      </c>
      <c r="T30" s="109">
        <v>103</v>
      </c>
      <c r="U30" s="1"/>
      <c r="V30" s="1"/>
      <c r="W30" s="1"/>
      <c r="X30" s="1"/>
      <c r="Y30" s="2"/>
    </row>
    <row r="31" spans="1:25" ht="15.95" customHeight="1" x14ac:dyDescent="0.2">
      <c r="A31" s="136"/>
      <c r="B31" s="143"/>
      <c r="C31" s="19" t="s">
        <v>45</v>
      </c>
      <c r="D31" s="3"/>
      <c r="E31" s="3"/>
      <c r="F31" s="53" t="s">
        <v>52</v>
      </c>
      <c r="G31" s="17" t="s">
        <v>3</v>
      </c>
      <c r="H31" s="17" t="s">
        <v>4</v>
      </c>
      <c r="I31" s="17" t="s">
        <v>34</v>
      </c>
      <c r="J31" s="3"/>
      <c r="K31" s="3"/>
      <c r="L31" s="3"/>
      <c r="M31" s="3"/>
      <c r="N31" s="4"/>
      <c r="O31" s="18"/>
      <c r="Q31" s="109">
        <v>104</v>
      </c>
      <c r="R31" s="109">
        <v>105</v>
      </c>
      <c r="S31" s="109">
        <v>106</v>
      </c>
      <c r="T31" s="109">
        <v>107</v>
      </c>
      <c r="U31" s="1"/>
      <c r="V31" s="1"/>
      <c r="W31" s="1"/>
      <c r="X31" s="1"/>
      <c r="Y31" s="2"/>
    </row>
    <row r="32" spans="1:25" ht="15.95" customHeight="1" x14ac:dyDescent="0.2">
      <c r="A32" s="136"/>
      <c r="B32" s="143"/>
      <c r="C32" s="79" t="s">
        <v>314</v>
      </c>
      <c r="D32" s="3"/>
      <c r="E32" s="3"/>
      <c r="F32" s="17" t="s">
        <v>2</v>
      </c>
      <c r="G32" s="17" t="s">
        <v>3</v>
      </c>
      <c r="H32" s="17" t="s">
        <v>4</v>
      </c>
      <c r="I32" s="17" t="s">
        <v>34</v>
      </c>
      <c r="J32" s="20"/>
      <c r="K32" s="3"/>
      <c r="L32" s="3"/>
      <c r="M32" s="3"/>
      <c r="N32" s="35"/>
      <c r="O32" s="34" t="s">
        <v>315</v>
      </c>
      <c r="P32" s="2"/>
      <c r="Q32" s="109">
        <v>144</v>
      </c>
      <c r="R32" s="109">
        <v>145</v>
      </c>
      <c r="S32" s="109">
        <v>146</v>
      </c>
      <c r="T32" s="109">
        <v>147</v>
      </c>
      <c r="U32" s="1"/>
      <c r="V32" s="1"/>
      <c r="W32" s="1"/>
      <c r="X32" s="1"/>
    </row>
    <row r="33" spans="1:25" ht="15.95" customHeight="1" x14ac:dyDescent="0.2">
      <c r="A33" s="136"/>
      <c r="B33" s="143" t="s">
        <v>48</v>
      </c>
      <c r="C33" s="19" t="s">
        <v>611</v>
      </c>
      <c r="D33" s="3"/>
      <c r="E33" s="3"/>
      <c r="F33" s="17" t="s">
        <v>2</v>
      </c>
      <c r="G33" s="17" t="s">
        <v>3</v>
      </c>
      <c r="H33" s="75" t="s">
        <v>4</v>
      </c>
      <c r="I33" s="40" t="s">
        <v>34</v>
      </c>
      <c r="J33" s="20"/>
      <c r="K33" s="3"/>
      <c r="L33" s="3"/>
      <c r="M33" s="3"/>
      <c r="N33" s="10"/>
      <c r="O33" s="18"/>
      <c r="P33" s="2"/>
      <c r="Q33" s="109">
        <v>112</v>
      </c>
      <c r="R33" s="109">
        <v>113</v>
      </c>
      <c r="S33" s="109">
        <v>114</v>
      </c>
      <c r="T33" s="109">
        <v>115</v>
      </c>
      <c r="U33" s="1"/>
      <c r="V33" s="1"/>
      <c r="W33" s="1"/>
      <c r="X33" s="1"/>
    </row>
    <row r="34" spans="1:25" ht="15.95" customHeight="1" x14ac:dyDescent="0.2">
      <c r="A34" s="136"/>
      <c r="B34" s="143"/>
      <c r="C34" s="79" t="s">
        <v>89</v>
      </c>
      <c r="D34" s="3"/>
      <c r="E34" s="3"/>
      <c r="F34" s="17" t="s">
        <v>2</v>
      </c>
      <c r="G34" s="17" t="s">
        <v>3</v>
      </c>
      <c r="H34" s="17" t="s">
        <v>4</v>
      </c>
      <c r="I34" s="17" t="s">
        <v>34</v>
      </c>
      <c r="J34" s="20"/>
      <c r="K34" s="3"/>
      <c r="L34" s="3"/>
      <c r="M34" s="3"/>
      <c r="N34" s="13"/>
      <c r="O34" s="18" t="s">
        <v>861</v>
      </c>
      <c r="P34" s="2"/>
      <c r="Q34" s="109">
        <v>204</v>
      </c>
      <c r="R34" s="109">
        <v>205</v>
      </c>
      <c r="S34" s="109">
        <v>206</v>
      </c>
      <c r="T34" s="109">
        <v>207</v>
      </c>
      <c r="U34" s="1"/>
      <c r="V34" s="1"/>
      <c r="W34" s="1"/>
      <c r="X34" s="1"/>
    </row>
    <row r="35" spans="1:25" ht="15.95" customHeight="1" x14ac:dyDescent="0.2">
      <c r="A35" s="136"/>
      <c r="B35" s="143"/>
      <c r="C35" s="19" t="s">
        <v>85</v>
      </c>
      <c r="D35" s="3"/>
      <c r="E35" s="3"/>
      <c r="F35" s="17" t="s">
        <v>2</v>
      </c>
      <c r="G35" s="17" t="s">
        <v>3</v>
      </c>
      <c r="H35" s="17" t="s">
        <v>4</v>
      </c>
      <c r="I35" s="17" t="s">
        <v>34</v>
      </c>
      <c r="J35" s="3"/>
      <c r="K35" s="3"/>
      <c r="L35" s="3"/>
      <c r="M35" s="3"/>
      <c r="N35" s="4"/>
      <c r="O35" s="18" t="s">
        <v>86</v>
      </c>
      <c r="Q35" s="109">
        <v>116</v>
      </c>
      <c r="R35" s="109">
        <v>117</v>
      </c>
      <c r="S35" s="109">
        <v>118</v>
      </c>
      <c r="T35" s="109">
        <v>119</v>
      </c>
      <c r="U35" s="1"/>
      <c r="V35" s="1"/>
      <c r="W35" s="1"/>
      <c r="X35" s="1"/>
      <c r="Y35" s="2"/>
    </row>
    <row r="36" spans="1:25" ht="15.95" customHeight="1" x14ac:dyDescent="0.2">
      <c r="A36" s="136"/>
      <c r="B36" s="143"/>
      <c r="C36" s="19" t="s">
        <v>48</v>
      </c>
      <c r="D36" s="3"/>
      <c r="E36" s="3"/>
      <c r="F36" s="17" t="s">
        <v>2</v>
      </c>
      <c r="G36" s="41" t="s">
        <v>3</v>
      </c>
      <c r="H36" s="75" t="s">
        <v>4</v>
      </c>
      <c r="I36" s="40" t="s">
        <v>34</v>
      </c>
      <c r="J36" s="17" t="s">
        <v>90</v>
      </c>
      <c r="K36" s="3"/>
      <c r="L36" s="3"/>
      <c r="M36" s="3"/>
      <c r="N36" s="35"/>
      <c r="O36" s="18" t="s">
        <v>87</v>
      </c>
      <c r="Q36" s="109">
        <v>124</v>
      </c>
      <c r="R36" s="109">
        <v>125</v>
      </c>
      <c r="S36" s="109">
        <v>126</v>
      </c>
      <c r="T36" s="109">
        <v>127</v>
      </c>
      <c r="U36" s="110">
        <v>1</v>
      </c>
      <c r="V36" s="1"/>
      <c r="W36" s="1"/>
      <c r="X36" s="1"/>
      <c r="Y36" s="2"/>
    </row>
    <row r="37" spans="1:25" ht="15.95" customHeight="1" x14ac:dyDescent="0.2">
      <c r="A37" s="136"/>
      <c r="B37" s="143" t="s">
        <v>594</v>
      </c>
      <c r="C37" s="19" t="s">
        <v>789</v>
      </c>
      <c r="D37" s="3">
        <v>35</v>
      </c>
      <c r="E37" s="3"/>
      <c r="F37" s="4" t="s">
        <v>2</v>
      </c>
      <c r="G37" s="4" t="s">
        <v>3</v>
      </c>
      <c r="H37" s="4" t="s">
        <v>4</v>
      </c>
      <c r="I37" s="4" t="s">
        <v>34</v>
      </c>
      <c r="J37" s="3"/>
      <c r="K37" s="3"/>
      <c r="L37" s="3"/>
      <c r="M37" s="3"/>
      <c r="N37" s="10"/>
      <c r="O37" s="18" t="s">
        <v>792</v>
      </c>
      <c r="Q37" s="109">
        <v>510</v>
      </c>
      <c r="R37" s="109">
        <v>511</v>
      </c>
      <c r="S37" s="109">
        <v>512</v>
      </c>
      <c r="T37" s="109">
        <v>513</v>
      </c>
      <c r="U37" s="107"/>
      <c r="V37" s="1"/>
      <c r="W37" s="1"/>
      <c r="X37" s="1"/>
      <c r="Y37" s="2"/>
    </row>
    <row r="38" spans="1:25" ht="15.95" customHeight="1" x14ac:dyDescent="0.2">
      <c r="A38" s="136"/>
      <c r="B38" s="143"/>
      <c r="C38" s="19" t="s">
        <v>595</v>
      </c>
      <c r="D38" s="3"/>
      <c r="E38" s="3"/>
      <c r="F38" s="17" t="s">
        <v>2</v>
      </c>
      <c r="G38" s="17" t="s">
        <v>3</v>
      </c>
      <c r="H38" s="17" t="s">
        <v>4</v>
      </c>
      <c r="I38" s="75" t="s">
        <v>34</v>
      </c>
      <c r="J38" s="3"/>
      <c r="K38" s="3"/>
      <c r="L38" s="3"/>
      <c r="M38" s="3"/>
      <c r="N38" s="10"/>
      <c r="O38" s="18" t="s">
        <v>343</v>
      </c>
      <c r="Q38" s="109">
        <v>128</v>
      </c>
      <c r="R38" s="109">
        <v>129</v>
      </c>
      <c r="S38" s="109">
        <v>130</v>
      </c>
      <c r="T38" s="109">
        <v>131</v>
      </c>
      <c r="U38" s="107"/>
      <c r="V38" s="1"/>
      <c r="W38" s="1"/>
      <c r="X38" s="1"/>
      <c r="Y38" s="2"/>
    </row>
    <row r="39" spans="1:25" ht="15.95" customHeight="1" x14ac:dyDescent="0.2">
      <c r="A39" s="136"/>
      <c r="B39" s="143"/>
      <c r="C39" s="19" t="s">
        <v>596</v>
      </c>
      <c r="D39" s="3"/>
      <c r="E39" s="3"/>
      <c r="F39" s="17" t="s">
        <v>2</v>
      </c>
      <c r="G39" s="17" t="s">
        <v>3</v>
      </c>
      <c r="H39" s="75" t="s">
        <v>4</v>
      </c>
      <c r="I39" s="40" t="s">
        <v>34</v>
      </c>
      <c r="J39" s="3"/>
      <c r="K39" s="2"/>
      <c r="L39" s="3"/>
      <c r="M39" s="3"/>
      <c r="N39" s="13"/>
      <c r="O39" s="18" t="s">
        <v>344</v>
      </c>
      <c r="Q39" s="109">
        <v>140</v>
      </c>
      <c r="R39" s="109">
        <v>141</v>
      </c>
      <c r="S39" s="109">
        <v>142</v>
      </c>
      <c r="T39" s="109">
        <v>143</v>
      </c>
      <c r="U39" s="1"/>
      <c r="V39" s="1"/>
      <c r="W39" s="1"/>
      <c r="X39" s="1"/>
      <c r="Y39" s="2"/>
    </row>
    <row r="40" spans="1:25" ht="15.95" customHeight="1" x14ac:dyDescent="0.2">
      <c r="A40" s="136"/>
      <c r="B40" s="143"/>
      <c r="C40" s="19" t="s">
        <v>597</v>
      </c>
      <c r="D40" s="3"/>
      <c r="E40" s="3"/>
      <c r="F40" s="17" t="s">
        <v>2</v>
      </c>
      <c r="G40" s="41" t="s">
        <v>3</v>
      </c>
      <c r="H40" s="40" t="s">
        <v>4</v>
      </c>
      <c r="I40" s="40" t="s">
        <v>34</v>
      </c>
      <c r="J40" s="3"/>
      <c r="K40" s="3"/>
      <c r="L40" s="3"/>
      <c r="M40" s="3"/>
      <c r="N40" s="4"/>
      <c r="O40" s="18" t="s">
        <v>345</v>
      </c>
      <c r="Q40" s="109">
        <v>108</v>
      </c>
      <c r="R40" s="109">
        <v>109</v>
      </c>
      <c r="S40" s="109">
        <v>110</v>
      </c>
      <c r="T40" s="109">
        <v>111</v>
      </c>
      <c r="U40" s="1"/>
      <c r="V40" s="1"/>
      <c r="W40" s="1"/>
      <c r="X40" s="1"/>
      <c r="Y40" s="2"/>
    </row>
    <row r="41" spans="1:25" ht="15.95" customHeight="1" x14ac:dyDescent="0.2">
      <c r="A41" s="136"/>
      <c r="B41" s="143"/>
      <c r="C41" s="19" t="s">
        <v>790</v>
      </c>
      <c r="D41" s="3">
        <v>35</v>
      </c>
      <c r="E41" s="3"/>
      <c r="F41" s="4" t="s">
        <v>2</v>
      </c>
      <c r="G41" s="4" t="s">
        <v>3</v>
      </c>
      <c r="H41" s="4" t="s">
        <v>4</v>
      </c>
      <c r="I41" s="4" t="s">
        <v>34</v>
      </c>
      <c r="J41" s="3"/>
      <c r="K41" s="3"/>
      <c r="L41" s="3"/>
      <c r="M41" s="3"/>
      <c r="N41" s="10"/>
      <c r="O41" s="18" t="s">
        <v>793</v>
      </c>
      <c r="Q41" s="109">
        <v>506</v>
      </c>
      <c r="R41" s="109">
        <v>507</v>
      </c>
      <c r="S41" s="109">
        <v>508</v>
      </c>
      <c r="T41" s="109">
        <v>509</v>
      </c>
      <c r="U41" s="1"/>
      <c r="V41" s="1"/>
      <c r="W41" s="1"/>
      <c r="X41" s="1"/>
      <c r="Y41" s="2"/>
    </row>
    <row r="42" spans="1:25" ht="15.95" customHeight="1" x14ac:dyDescent="0.2">
      <c r="A42" s="136"/>
      <c r="B42" s="143"/>
      <c r="C42" s="19" t="s">
        <v>598</v>
      </c>
      <c r="D42" s="3"/>
      <c r="E42" s="3"/>
      <c r="F42" s="4" t="s">
        <v>2</v>
      </c>
      <c r="G42" s="4" t="s">
        <v>3</v>
      </c>
      <c r="H42" s="4" t="s">
        <v>4</v>
      </c>
      <c r="I42" s="75" t="s">
        <v>34</v>
      </c>
      <c r="J42" s="3"/>
      <c r="K42" s="3"/>
      <c r="L42" s="3"/>
      <c r="M42" s="3"/>
      <c r="N42" s="10"/>
      <c r="O42" s="18" t="s">
        <v>346</v>
      </c>
      <c r="Q42" s="109">
        <v>59</v>
      </c>
      <c r="R42" s="109">
        <v>60</v>
      </c>
      <c r="S42" s="109">
        <v>61</v>
      </c>
      <c r="T42" s="109">
        <v>62</v>
      </c>
      <c r="U42" s="1"/>
      <c r="V42" s="1"/>
      <c r="W42" s="1"/>
      <c r="X42" s="1"/>
      <c r="Y42" s="2"/>
    </row>
    <row r="43" spans="1:25" ht="15.95" customHeight="1" x14ac:dyDescent="0.2">
      <c r="A43" s="136"/>
      <c r="B43" s="143"/>
      <c r="C43" s="19" t="s">
        <v>599</v>
      </c>
      <c r="D43" s="3"/>
      <c r="E43" s="3"/>
      <c r="F43" s="17" t="s">
        <v>2</v>
      </c>
      <c r="G43" s="4" t="s">
        <v>3</v>
      </c>
      <c r="H43" s="4" t="s">
        <v>4</v>
      </c>
      <c r="I43" s="40" t="s">
        <v>34</v>
      </c>
      <c r="J43" s="3"/>
      <c r="K43" s="3"/>
      <c r="L43" s="3"/>
      <c r="M43" s="3"/>
      <c r="N43" s="35"/>
      <c r="O43" s="18" t="s">
        <v>347</v>
      </c>
      <c r="Q43" s="109">
        <v>132</v>
      </c>
      <c r="R43" s="109">
        <v>133</v>
      </c>
      <c r="S43" s="109">
        <v>134</v>
      </c>
      <c r="T43" s="109">
        <v>135</v>
      </c>
      <c r="U43" s="1"/>
      <c r="V43" s="1"/>
      <c r="W43" s="1"/>
      <c r="X43" s="1"/>
      <c r="Y43" s="2"/>
    </row>
    <row r="44" spans="1:25" ht="15.95" customHeight="1" x14ac:dyDescent="0.2">
      <c r="A44" s="136"/>
      <c r="B44" s="143"/>
      <c r="C44" s="19" t="s">
        <v>600</v>
      </c>
      <c r="D44" s="3"/>
      <c r="E44" s="3"/>
      <c r="F44" s="4" t="s">
        <v>2</v>
      </c>
      <c r="G44" s="41" t="s">
        <v>3</v>
      </c>
      <c r="H44" s="75" t="s">
        <v>4</v>
      </c>
      <c r="I44" s="40" t="s">
        <v>34</v>
      </c>
      <c r="J44" s="3"/>
      <c r="K44" s="3"/>
      <c r="L44" s="3"/>
      <c r="M44" s="3"/>
      <c r="N44" s="13"/>
      <c r="O44" s="18" t="s">
        <v>348</v>
      </c>
      <c r="Q44" s="109">
        <v>63</v>
      </c>
      <c r="R44" s="109">
        <v>64</v>
      </c>
      <c r="S44" s="109">
        <v>65</v>
      </c>
      <c r="T44" s="109">
        <v>66</v>
      </c>
      <c r="U44" s="1"/>
      <c r="V44" s="1"/>
      <c r="W44" s="1"/>
      <c r="X44" s="1"/>
      <c r="Y44" s="2"/>
    </row>
    <row r="45" spans="1:25" ht="15.95" customHeight="1" x14ac:dyDescent="0.2">
      <c r="A45" s="136"/>
      <c r="B45" s="143"/>
      <c r="C45" s="19" t="s">
        <v>601</v>
      </c>
      <c r="D45" s="3"/>
      <c r="E45" s="3"/>
      <c r="F45" s="4" t="s">
        <v>2</v>
      </c>
      <c r="G45" s="41" t="s">
        <v>3</v>
      </c>
      <c r="H45" s="75" t="s">
        <v>4</v>
      </c>
      <c r="I45" s="40" t="s">
        <v>34</v>
      </c>
      <c r="J45" s="3"/>
      <c r="K45" s="3"/>
      <c r="L45" s="3"/>
      <c r="M45" s="3"/>
      <c r="N45" s="4"/>
      <c r="O45" s="18" t="s">
        <v>349</v>
      </c>
      <c r="Q45" s="109">
        <v>391</v>
      </c>
      <c r="R45" s="109">
        <v>392</v>
      </c>
      <c r="S45" s="109">
        <v>393</v>
      </c>
      <c r="T45" s="109">
        <v>394</v>
      </c>
      <c r="U45" s="1"/>
      <c r="V45" s="1"/>
      <c r="W45" s="1"/>
      <c r="X45" s="1"/>
      <c r="Y45" s="2"/>
    </row>
    <row r="46" spans="1:25" ht="15.95" customHeight="1" x14ac:dyDescent="0.2">
      <c r="A46" s="136"/>
      <c r="B46" s="143"/>
      <c r="C46" s="19" t="s">
        <v>602</v>
      </c>
      <c r="D46" s="3"/>
      <c r="E46" s="3"/>
      <c r="F46" s="4" t="s">
        <v>2</v>
      </c>
      <c r="G46" s="41" t="s">
        <v>3</v>
      </c>
      <c r="H46" s="40" t="s">
        <v>4</v>
      </c>
      <c r="I46" s="40" t="s">
        <v>34</v>
      </c>
      <c r="J46" s="71"/>
      <c r="K46" s="3"/>
      <c r="L46" s="3"/>
      <c r="M46" s="3"/>
      <c r="N46" s="4"/>
      <c r="O46" s="18" t="s">
        <v>350</v>
      </c>
      <c r="Q46" s="109">
        <v>148</v>
      </c>
      <c r="R46" s="109">
        <v>149</v>
      </c>
      <c r="S46" s="109">
        <v>150</v>
      </c>
      <c r="T46" s="109">
        <v>151</v>
      </c>
      <c r="U46" s="1"/>
      <c r="V46" s="1"/>
      <c r="W46" s="1"/>
      <c r="X46" s="1"/>
      <c r="Y46" s="2"/>
    </row>
    <row r="47" spans="1:25" ht="15.95" customHeight="1" x14ac:dyDescent="0.2">
      <c r="A47" s="136"/>
      <c r="B47" s="143"/>
      <c r="C47" s="19" t="s">
        <v>603</v>
      </c>
      <c r="D47" s="3"/>
      <c r="E47" s="3"/>
      <c r="F47" s="4" t="s">
        <v>2</v>
      </c>
      <c r="G47" s="41" t="s">
        <v>3</v>
      </c>
      <c r="H47" s="40" t="s">
        <v>4</v>
      </c>
      <c r="I47" s="40" t="s">
        <v>34</v>
      </c>
      <c r="J47" s="3"/>
      <c r="K47" s="3"/>
      <c r="L47" s="3"/>
      <c r="M47" s="3"/>
      <c r="N47" s="4"/>
      <c r="O47" s="18" t="s">
        <v>351</v>
      </c>
      <c r="Q47" s="109">
        <v>398</v>
      </c>
      <c r="R47" s="109">
        <v>399</v>
      </c>
      <c r="S47" s="109">
        <v>400</v>
      </c>
      <c r="T47" s="109">
        <v>401</v>
      </c>
      <c r="U47" s="1"/>
      <c r="V47" s="1"/>
      <c r="W47" s="1"/>
      <c r="X47" s="1"/>
      <c r="Y47" s="2"/>
    </row>
    <row r="48" spans="1:25" ht="15.95" customHeight="1" x14ac:dyDescent="0.2">
      <c r="A48" s="136"/>
      <c r="B48" s="143"/>
      <c r="C48" s="19" t="s">
        <v>791</v>
      </c>
      <c r="D48" s="3">
        <v>35</v>
      </c>
      <c r="E48" s="3"/>
      <c r="F48" s="4" t="s">
        <v>2</v>
      </c>
      <c r="G48" s="4" t="s">
        <v>3</v>
      </c>
      <c r="H48" s="4" t="s">
        <v>4</v>
      </c>
      <c r="I48" s="4" t="s">
        <v>34</v>
      </c>
      <c r="J48" s="3"/>
      <c r="K48" s="3"/>
      <c r="L48" s="3"/>
      <c r="M48" s="3"/>
      <c r="N48" s="4"/>
      <c r="O48" s="18" t="s">
        <v>794</v>
      </c>
      <c r="Q48" s="109">
        <v>414</v>
      </c>
      <c r="R48" s="109">
        <v>415</v>
      </c>
      <c r="S48" s="109">
        <v>416</v>
      </c>
      <c r="T48" s="109">
        <v>417</v>
      </c>
      <c r="U48" s="1"/>
      <c r="V48" s="1"/>
      <c r="W48" s="1"/>
      <c r="X48" s="1"/>
      <c r="Y48" s="2"/>
    </row>
    <row r="49" spans="1:25" ht="15.95" customHeight="1" x14ac:dyDescent="0.2">
      <c r="A49" s="136"/>
      <c r="B49" s="143"/>
      <c r="C49" s="19" t="s">
        <v>604</v>
      </c>
      <c r="D49" s="3"/>
      <c r="E49" s="3"/>
      <c r="F49" s="75" t="s">
        <v>2</v>
      </c>
      <c r="G49" s="75" t="s">
        <v>3</v>
      </c>
      <c r="H49" s="40" t="s">
        <v>4</v>
      </c>
      <c r="I49" s="40" t="s">
        <v>34</v>
      </c>
      <c r="J49" s="3"/>
      <c r="K49" s="3"/>
      <c r="L49" s="3"/>
      <c r="M49" s="3"/>
      <c r="N49" s="10"/>
      <c r="O49" s="18" t="s">
        <v>346</v>
      </c>
      <c r="Q49" s="109">
        <v>476</v>
      </c>
      <c r="R49" s="109">
        <v>477</v>
      </c>
      <c r="S49" s="109">
        <v>478</v>
      </c>
      <c r="T49" s="109">
        <v>479</v>
      </c>
      <c r="U49" s="1"/>
      <c r="V49" s="1"/>
      <c r="W49" s="1"/>
      <c r="X49" s="1"/>
      <c r="Y49" s="2"/>
    </row>
    <row r="50" spans="1:25" ht="15.95" customHeight="1" x14ac:dyDescent="0.2">
      <c r="A50" s="136"/>
      <c r="B50" s="143"/>
      <c r="C50" s="19" t="s">
        <v>605</v>
      </c>
      <c r="D50" s="3"/>
      <c r="E50" s="3"/>
      <c r="F50" s="75" t="s">
        <v>2</v>
      </c>
      <c r="G50" s="75" t="s">
        <v>3</v>
      </c>
      <c r="H50" s="40" t="s">
        <v>4</v>
      </c>
      <c r="I50" s="40" t="s">
        <v>34</v>
      </c>
      <c r="J50" s="3"/>
      <c r="K50" s="3"/>
      <c r="L50" s="3"/>
      <c r="M50" s="3"/>
      <c r="N50" s="35"/>
      <c r="O50" s="18" t="s">
        <v>347</v>
      </c>
      <c r="Q50" s="109">
        <v>25</v>
      </c>
      <c r="R50" s="109">
        <v>26</v>
      </c>
      <c r="S50" s="109">
        <v>27</v>
      </c>
      <c r="T50" s="109">
        <v>28</v>
      </c>
      <c r="U50" s="1"/>
      <c r="V50" s="1"/>
      <c r="W50" s="1"/>
      <c r="X50" s="1"/>
      <c r="Y50" s="2"/>
    </row>
    <row r="51" spans="1:25" ht="15.95" customHeight="1" x14ac:dyDescent="0.2">
      <c r="A51" s="136"/>
      <c r="B51" s="143"/>
      <c r="C51" s="19" t="s">
        <v>606</v>
      </c>
      <c r="D51" s="3"/>
      <c r="E51" s="3"/>
      <c r="F51" s="75" t="s">
        <v>2</v>
      </c>
      <c r="G51" s="75" t="s">
        <v>3</v>
      </c>
      <c r="H51" s="40" t="s">
        <v>4</v>
      </c>
      <c r="I51" s="40" t="s">
        <v>34</v>
      </c>
      <c r="J51" s="3"/>
      <c r="K51" s="3"/>
      <c r="L51" s="3"/>
      <c r="M51" s="3"/>
      <c r="N51" s="13"/>
      <c r="O51" s="18" t="s">
        <v>406</v>
      </c>
      <c r="Q51" s="109">
        <v>460</v>
      </c>
      <c r="R51" s="109">
        <v>461</v>
      </c>
      <c r="S51" s="109">
        <v>462</v>
      </c>
      <c r="T51" s="109">
        <v>463</v>
      </c>
      <c r="U51" s="1"/>
      <c r="V51" s="1"/>
      <c r="W51" s="1"/>
      <c r="X51" s="1"/>
      <c r="Y51" s="2"/>
    </row>
    <row r="52" spans="1:25" ht="15.95" customHeight="1" x14ac:dyDescent="0.2">
      <c r="A52" s="136"/>
      <c r="B52" s="143"/>
      <c r="C52" s="19" t="s">
        <v>607</v>
      </c>
      <c r="D52" s="3"/>
      <c r="E52" s="3"/>
      <c r="F52" s="75" t="s">
        <v>2</v>
      </c>
      <c r="G52" s="75" t="s">
        <v>3</v>
      </c>
      <c r="H52" s="40" t="s">
        <v>4</v>
      </c>
      <c r="I52" s="40" t="s">
        <v>34</v>
      </c>
      <c r="J52" s="3"/>
      <c r="K52" s="3"/>
      <c r="L52" s="3"/>
      <c r="M52" s="3"/>
      <c r="N52" s="4"/>
      <c r="O52" s="18" t="s">
        <v>407</v>
      </c>
      <c r="Q52" s="109">
        <v>464</v>
      </c>
      <c r="R52" s="109">
        <v>465</v>
      </c>
      <c r="S52" s="109">
        <v>466</v>
      </c>
      <c r="T52" s="109">
        <v>467</v>
      </c>
      <c r="U52" s="1"/>
      <c r="V52" s="1"/>
      <c r="W52" s="1"/>
      <c r="X52" s="1"/>
      <c r="Y52" s="2"/>
    </row>
    <row r="53" spans="1:25" ht="15.95" customHeight="1" x14ac:dyDescent="0.2">
      <c r="A53" s="136"/>
      <c r="B53" s="143"/>
      <c r="C53" s="19" t="s">
        <v>608</v>
      </c>
      <c r="D53" s="3"/>
      <c r="E53" s="3"/>
      <c r="F53" s="75" t="s">
        <v>2</v>
      </c>
      <c r="G53" s="75" t="s">
        <v>3</v>
      </c>
      <c r="H53" s="40" t="s">
        <v>4</v>
      </c>
      <c r="I53" s="40" t="s">
        <v>34</v>
      </c>
      <c r="J53" s="71"/>
      <c r="K53" s="3"/>
      <c r="L53" s="3"/>
      <c r="M53" s="3"/>
      <c r="N53" s="4"/>
      <c r="O53" s="18" t="s">
        <v>408</v>
      </c>
      <c r="Q53" s="109">
        <v>468</v>
      </c>
      <c r="R53" s="109">
        <v>469</v>
      </c>
      <c r="S53" s="109">
        <v>470</v>
      </c>
      <c r="T53" s="109">
        <v>471</v>
      </c>
      <c r="U53" s="1"/>
      <c r="V53" s="1"/>
      <c r="W53" s="1"/>
      <c r="X53" s="1"/>
      <c r="Y53" s="2"/>
    </row>
    <row r="54" spans="1:25" ht="15.95" customHeight="1" x14ac:dyDescent="0.2">
      <c r="A54" s="136"/>
      <c r="B54" s="143"/>
      <c r="C54" s="19" t="s">
        <v>609</v>
      </c>
      <c r="D54" s="3"/>
      <c r="E54" s="3"/>
      <c r="F54" s="75" t="s">
        <v>2</v>
      </c>
      <c r="G54" s="75" t="s">
        <v>3</v>
      </c>
      <c r="H54" s="40" t="s">
        <v>4</v>
      </c>
      <c r="I54" s="40" t="s">
        <v>34</v>
      </c>
      <c r="J54" s="3"/>
      <c r="K54" s="3"/>
      <c r="L54" s="3"/>
      <c r="M54" s="3"/>
      <c r="N54" s="4"/>
      <c r="O54" s="18" t="s">
        <v>409</v>
      </c>
      <c r="Q54" s="109">
        <v>472</v>
      </c>
      <c r="R54" s="109">
        <v>473</v>
      </c>
      <c r="S54" s="109">
        <v>474</v>
      </c>
      <c r="T54" s="109">
        <v>475</v>
      </c>
      <c r="U54" s="1"/>
      <c r="V54" s="1"/>
      <c r="W54" s="1"/>
      <c r="X54" s="1"/>
      <c r="Y54" s="2"/>
    </row>
    <row r="55" spans="1:25" ht="15.95" customHeight="1" x14ac:dyDescent="0.2">
      <c r="A55" s="136"/>
      <c r="B55" s="143"/>
      <c r="C55" s="19" t="s">
        <v>5</v>
      </c>
      <c r="D55" s="3"/>
      <c r="E55" s="3"/>
      <c r="F55" s="17" t="s">
        <v>51</v>
      </c>
      <c r="G55" s="17" t="s">
        <v>50</v>
      </c>
      <c r="H55" s="17" t="s">
        <v>16</v>
      </c>
      <c r="I55" s="42"/>
      <c r="J55" s="19"/>
      <c r="K55" s="3"/>
      <c r="L55" s="3"/>
      <c r="M55" s="3"/>
      <c r="N55" s="35"/>
      <c r="O55" s="18"/>
      <c r="Q55" s="109">
        <v>8</v>
      </c>
      <c r="R55" s="109">
        <v>22</v>
      </c>
      <c r="S55" s="109">
        <v>58</v>
      </c>
      <c r="T55" s="1"/>
      <c r="U55" s="1"/>
      <c r="V55" s="1"/>
      <c r="W55" s="1"/>
      <c r="X55" s="1"/>
      <c r="Y55" s="2"/>
    </row>
    <row r="56" spans="1:25" ht="15.95" customHeight="1" x14ac:dyDescent="0.2">
      <c r="A56" s="136"/>
      <c r="B56" s="143" t="s">
        <v>6</v>
      </c>
      <c r="C56" s="19" t="s">
        <v>584</v>
      </c>
      <c r="D56" s="3"/>
      <c r="E56" s="3"/>
      <c r="F56" s="17" t="s">
        <v>583</v>
      </c>
      <c r="G56" s="17" t="s">
        <v>582</v>
      </c>
      <c r="H56" s="75" t="s">
        <v>580</v>
      </c>
      <c r="I56" s="40" t="s">
        <v>581</v>
      </c>
      <c r="J56" s="17" t="s">
        <v>587</v>
      </c>
      <c r="K56" s="40" t="s">
        <v>586</v>
      </c>
      <c r="L56" s="3"/>
      <c r="M56" s="3"/>
      <c r="N56" s="10"/>
      <c r="O56" s="18"/>
      <c r="Q56" s="109">
        <v>175</v>
      </c>
      <c r="R56" s="109">
        <v>176</v>
      </c>
      <c r="S56" s="109">
        <v>177</v>
      </c>
      <c r="T56" s="109">
        <v>178</v>
      </c>
      <c r="U56" s="109">
        <v>179</v>
      </c>
      <c r="V56" s="109">
        <v>180</v>
      </c>
      <c r="W56" s="1"/>
      <c r="X56" s="1"/>
    </row>
    <row r="57" spans="1:25" ht="15.95" customHeight="1" x14ac:dyDescent="0.2">
      <c r="A57" s="136"/>
      <c r="B57" s="143"/>
      <c r="C57" s="19" t="s">
        <v>585</v>
      </c>
      <c r="D57" s="3"/>
      <c r="E57" s="3"/>
      <c r="F57" s="17" t="s">
        <v>583</v>
      </c>
      <c r="G57" s="17" t="s">
        <v>582</v>
      </c>
      <c r="H57" s="75" t="s">
        <v>580</v>
      </c>
      <c r="I57" s="40" t="s">
        <v>581</v>
      </c>
      <c r="J57" s="17" t="s">
        <v>587</v>
      </c>
      <c r="K57" s="40" t="s">
        <v>586</v>
      </c>
      <c r="L57" s="3"/>
      <c r="M57" s="3"/>
      <c r="N57" s="13"/>
      <c r="O57" s="18"/>
      <c r="Q57" s="109">
        <v>181</v>
      </c>
      <c r="R57" s="109">
        <v>182</v>
      </c>
      <c r="S57" s="109">
        <v>183</v>
      </c>
      <c r="T57" s="109">
        <v>184</v>
      </c>
      <c r="U57" s="109">
        <v>185</v>
      </c>
      <c r="V57" s="109">
        <v>186</v>
      </c>
      <c r="W57" s="1"/>
      <c r="X57" s="1"/>
    </row>
    <row r="58" spans="1:25" ht="15.95" customHeight="1" x14ac:dyDescent="0.2">
      <c r="A58" s="136"/>
      <c r="B58" s="143"/>
      <c r="C58" s="79" t="s">
        <v>588</v>
      </c>
      <c r="D58" s="3">
        <v>0</v>
      </c>
      <c r="E58" s="3"/>
      <c r="F58" s="38" t="s">
        <v>141</v>
      </c>
      <c r="G58" s="38" t="s">
        <v>429</v>
      </c>
      <c r="H58" s="76" t="s">
        <v>162</v>
      </c>
      <c r="I58" s="76" t="s">
        <v>418</v>
      </c>
      <c r="J58" s="3"/>
      <c r="K58" s="3"/>
      <c r="L58" s="3"/>
      <c r="M58" s="3"/>
      <c r="N58" s="13"/>
      <c r="O58" s="34"/>
      <c r="Q58" s="109">
        <v>493</v>
      </c>
      <c r="R58" s="109">
        <v>494</v>
      </c>
      <c r="S58" s="109">
        <v>495</v>
      </c>
      <c r="T58" s="109">
        <v>496</v>
      </c>
      <c r="U58" s="1"/>
      <c r="V58" s="1"/>
      <c r="W58" s="1"/>
      <c r="X58" s="1"/>
    </row>
    <row r="59" spans="1:25" ht="15.95" customHeight="1" x14ac:dyDescent="0.2">
      <c r="A59" s="136"/>
      <c r="B59" s="143"/>
      <c r="C59" s="79" t="s">
        <v>588</v>
      </c>
      <c r="D59" s="3">
        <v>1</v>
      </c>
      <c r="E59" s="3"/>
      <c r="F59" s="38" t="s">
        <v>161</v>
      </c>
      <c r="G59" s="38" t="s">
        <v>429</v>
      </c>
      <c r="H59" s="76" t="s">
        <v>162</v>
      </c>
      <c r="I59" s="76" t="s">
        <v>418</v>
      </c>
      <c r="J59" s="3"/>
      <c r="K59" s="3"/>
      <c r="L59" s="3"/>
      <c r="M59" s="3"/>
      <c r="N59" s="13"/>
      <c r="O59" s="34"/>
      <c r="Q59" s="109">
        <v>493</v>
      </c>
      <c r="R59" s="109">
        <v>494</v>
      </c>
      <c r="S59" s="109">
        <v>495</v>
      </c>
      <c r="T59" s="109">
        <v>496</v>
      </c>
      <c r="U59" s="1"/>
      <c r="V59" s="1"/>
      <c r="W59" s="1"/>
      <c r="X59" s="1"/>
    </row>
    <row r="60" spans="1:25" ht="15.95" customHeight="1" x14ac:dyDescent="0.2">
      <c r="A60" s="136"/>
      <c r="B60" s="143"/>
      <c r="C60" s="79" t="s">
        <v>588</v>
      </c>
      <c r="D60" s="3">
        <v>2</v>
      </c>
      <c r="E60" s="3"/>
      <c r="F60" s="76" t="s">
        <v>161</v>
      </c>
      <c r="G60" s="76" t="s">
        <v>419</v>
      </c>
      <c r="H60" s="39" t="s">
        <v>141</v>
      </c>
      <c r="I60" s="39" t="s">
        <v>429</v>
      </c>
      <c r="J60" s="3"/>
      <c r="K60" s="3"/>
      <c r="L60" s="3"/>
      <c r="M60" s="3"/>
      <c r="N60" s="13"/>
      <c r="O60" s="34"/>
      <c r="Q60" s="109">
        <v>493</v>
      </c>
      <c r="R60" s="109">
        <v>494</v>
      </c>
      <c r="S60" s="109">
        <v>495</v>
      </c>
      <c r="T60" s="109">
        <v>496</v>
      </c>
      <c r="U60" s="1"/>
      <c r="V60" s="1"/>
      <c r="W60" s="1"/>
      <c r="X60" s="1"/>
    </row>
    <row r="61" spans="1:25" ht="15.95" customHeight="1" x14ac:dyDescent="0.2">
      <c r="A61" s="136"/>
      <c r="B61" s="143"/>
      <c r="C61" s="79" t="s">
        <v>588</v>
      </c>
      <c r="D61" s="3">
        <v>3</v>
      </c>
      <c r="E61" s="3"/>
      <c r="F61" s="76" t="s">
        <v>161</v>
      </c>
      <c r="G61" s="76" t="s">
        <v>419</v>
      </c>
      <c r="H61" s="39" t="s">
        <v>161</v>
      </c>
      <c r="I61" s="39" t="s">
        <v>419</v>
      </c>
      <c r="J61" s="3"/>
      <c r="K61" s="3"/>
      <c r="L61" s="3"/>
      <c r="M61" s="3"/>
      <c r="N61" s="13"/>
      <c r="O61" s="34"/>
      <c r="Q61" s="109">
        <v>493</v>
      </c>
      <c r="R61" s="109">
        <v>494</v>
      </c>
      <c r="S61" s="109">
        <v>495</v>
      </c>
      <c r="T61" s="109">
        <v>496</v>
      </c>
      <c r="U61" s="1"/>
      <c r="V61" s="1"/>
      <c r="W61" s="1"/>
      <c r="X61" s="1"/>
    </row>
    <row r="62" spans="1:25" ht="15.95" customHeight="1" x14ac:dyDescent="0.2">
      <c r="A62" s="136"/>
      <c r="B62" s="143"/>
      <c r="C62" s="79" t="s">
        <v>588</v>
      </c>
      <c r="D62" s="3">
        <v>4</v>
      </c>
      <c r="E62" s="3"/>
      <c r="F62" s="38" t="s">
        <v>141</v>
      </c>
      <c r="G62" s="38" t="s">
        <v>429</v>
      </c>
      <c r="H62" s="76" t="s">
        <v>162</v>
      </c>
      <c r="I62" s="76" t="s">
        <v>418</v>
      </c>
      <c r="J62" s="3"/>
      <c r="K62" s="3"/>
      <c r="L62" s="3"/>
      <c r="M62" s="3"/>
      <c r="N62" s="13"/>
      <c r="O62" s="34"/>
      <c r="Q62" s="109">
        <v>493</v>
      </c>
      <c r="R62" s="109">
        <v>494</v>
      </c>
      <c r="S62" s="109">
        <v>495</v>
      </c>
      <c r="T62" s="109">
        <v>496</v>
      </c>
      <c r="U62" s="1"/>
      <c r="V62" s="1"/>
      <c r="W62" s="1"/>
      <c r="X62" s="1"/>
    </row>
    <row r="63" spans="1:25" ht="15.95" customHeight="1" x14ac:dyDescent="0.2">
      <c r="A63" s="136"/>
      <c r="B63" s="143"/>
      <c r="C63" s="79" t="s">
        <v>588</v>
      </c>
      <c r="D63" s="3">
        <v>5</v>
      </c>
      <c r="E63" s="3"/>
      <c r="F63" s="38" t="s">
        <v>141</v>
      </c>
      <c r="G63" s="38" t="s">
        <v>429</v>
      </c>
      <c r="H63" s="76" t="s">
        <v>162</v>
      </c>
      <c r="I63" s="76" t="s">
        <v>418</v>
      </c>
      <c r="J63" s="3"/>
      <c r="K63" s="3"/>
      <c r="L63" s="3"/>
      <c r="M63" s="3"/>
      <c r="N63" s="13"/>
      <c r="O63" s="34"/>
      <c r="Q63" s="109">
        <v>493</v>
      </c>
      <c r="R63" s="109">
        <v>494</v>
      </c>
      <c r="S63" s="109">
        <v>495</v>
      </c>
      <c r="T63" s="109">
        <v>496</v>
      </c>
      <c r="U63" s="1"/>
      <c r="V63" s="1"/>
      <c r="W63" s="1"/>
      <c r="X63" s="1"/>
    </row>
    <row r="64" spans="1:25" ht="15.95" customHeight="1" x14ac:dyDescent="0.2">
      <c r="A64" s="136"/>
      <c r="B64" s="143"/>
      <c r="C64" s="79" t="s">
        <v>589</v>
      </c>
      <c r="D64" s="3">
        <v>0</v>
      </c>
      <c r="E64" s="3"/>
      <c r="F64" s="38" t="s">
        <v>430</v>
      </c>
      <c r="G64" s="38" t="s">
        <v>431</v>
      </c>
      <c r="H64" s="76" t="s">
        <v>432</v>
      </c>
      <c r="I64" s="76" t="s">
        <v>433</v>
      </c>
      <c r="J64" s="3"/>
      <c r="K64" s="3"/>
      <c r="L64" s="3"/>
      <c r="M64" s="3"/>
      <c r="N64" s="13"/>
      <c r="O64" s="34"/>
      <c r="Q64" s="109">
        <v>497</v>
      </c>
      <c r="R64" s="109">
        <v>498</v>
      </c>
      <c r="S64" s="109">
        <v>499</v>
      </c>
      <c r="T64" s="109">
        <v>500</v>
      </c>
      <c r="U64" s="1"/>
      <c r="V64" s="1"/>
      <c r="W64" s="1"/>
      <c r="X64" s="1"/>
    </row>
    <row r="65" spans="1:24" ht="15.95" customHeight="1" x14ac:dyDescent="0.2">
      <c r="A65" s="136"/>
      <c r="B65" s="143"/>
      <c r="C65" s="79" t="s">
        <v>589</v>
      </c>
      <c r="D65" s="3">
        <v>1</v>
      </c>
      <c r="E65" s="3"/>
      <c r="F65" s="38" t="s">
        <v>162</v>
      </c>
      <c r="G65" s="38" t="s">
        <v>431</v>
      </c>
      <c r="H65" s="76" t="s">
        <v>432</v>
      </c>
      <c r="I65" s="76" t="s">
        <v>433</v>
      </c>
      <c r="J65" s="3"/>
      <c r="K65" s="3"/>
      <c r="L65" s="3"/>
      <c r="M65" s="3"/>
      <c r="N65" s="13"/>
      <c r="O65" s="34"/>
      <c r="Q65" s="109">
        <v>497</v>
      </c>
      <c r="R65" s="109">
        <v>498</v>
      </c>
      <c r="S65" s="109">
        <v>499</v>
      </c>
      <c r="T65" s="109">
        <v>500</v>
      </c>
      <c r="U65" s="1"/>
      <c r="V65" s="1"/>
      <c r="W65" s="1"/>
      <c r="X65" s="1"/>
    </row>
    <row r="66" spans="1:24" ht="15.95" customHeight="1" x14ac:dyDescent="0.2">
      <c r="A66" s="136"/>
      <c r="B66" s="143"/>
      <c r="C66" s="79" t="s">
        <v>589</v>
      </c>
      <c r="D66" s="3">
        <v>2</v>
      </c>
      <c r="E66" s="3"/>
      <c r="F66" s="76" t="s">
        <v>162</v>
      </c>
      <c r="G66" s="76" t="s">
        <v>420</v>
      </c>
      <c r="H66" s="39" t="s">
        <v>162</v>
      </c>
      <c r="I66" s="39" t="s">
        <v>420</v>
      </c>
      <c r="J66" s="3"/>
      <c r="K66" s="3"/>
      <c r="L66" s="3"/>
      <c r="M66" s="3"/>
      <c r="N66" s="13"/>
      <c r="O66" s="34"/>
      <c r="Q66" s="109">
        <v>497</v>
      </c>
      <c r="R66" s="109">
        <v>498</v>
      </c>
      <c r="S66" s="109">
        <v>499</v>
      </c>
      <c r="T66" s="109">
        <v>500</v>
      </c>
      <c r="U66" s="1"/>
      <c r="V66" s="1"/>
      <c r="W66" s="1"/>
      <c r="X66" s="1"/>
    </row>
    <row r="67" spans="1:24" ht="15.95" customHeight="1" x14ac:dyDescent="0.2">
      <c r="A67" s="136"/>
      <c r="B67" s="143"/>
      <c r="C67" s="79" t="s">
        <v>589</v>
      </c>
      <c r="D67" s="3">
        <v>3</v>
      </c>
      <c r="E67" s="3"/>
      <c r="F67" s="76" t="s">
        <v>162</v>
      </c>
      <c r="G67" s="76" t="s">
        <v>420</v>
      </c>
      <c r="H67" s="39" t="s">
        <v>162</v>
      </c>
      <c r="I67" s="39" t="s">
        <v>420</v>
      </c>
      <c r="J67" s="3"/>
      <c r="K67" s="3"/>
      <c r="L67" s="3"/>
      <c r="M67" s="3"/>
      <c r="N67" s="13"/>
      <c r="O67" s="34"/>
      <c r="Q67" s="109">
        <v>497</v>
      </c>
      <c r="R67" s="109">
        <v>498</v>
      </c>
      <c r="S67" s="109">
        <v>499</v>
      </c>
      <c r="T67" s="109">
        <v>500</v>
      </c>
      <c r="U67" s="1"/>
      <c r="V67" s="1"/>
      <c r="W67" s="1"/>
      <c r="X67" s="1"/>
    </row>
    <row r="68" spans="1:24" ht="15.95" customHeight="1" x14ac:dyDescent="0.2">
      <c r="A68" s="136"/>
      <c r="B68" s="143"/>
      <c r="C68" s="79" t="s">
        <v>589</v>
      </c>
      <c r="D68" s="3">
        <v>4</v>
      </c>
      <c r="E68" s="3"/>
      <c r="F68" s="38" t="s">
        <v>430</v>
      </c>
      <c r="G68" s="38" t="s">
        <v>431</v>
      </c>
      <c r="H68" s="76" t="s">
        <v>432</v>
      </c>
      <c r="I68" s="76" t="s">
        <v>433</v>
      </c>
      <c r="J68" s="3"/>
      <c r="K68" s="3"/>
      <c r="L68" s="3"/>
      <c r="M68" s="3"/>
      <c r="N68" s="13"/>
      <c r="O68" s="34"/>
      <c r="Q68" s="109">
        <v>497</v>
      </c>
      <c r="R68" s="109">
        <v>498</v>
      </c>
      <c r="S68" s="109">
        <v>499</v>
      </c>
      <c r="T68" s="109">
        <v>500</v>
      </c>
      <c r="U68" s="1"/>
      <c r="V68" s="1"/>
      <c r="W68" s="1"/>
      <c r="X68" s="1"/>
    </row>
    <row r="69" spans="1:24" ht="15.95" customHeight="1" x14ac:dyDescent="0.2">
      <c r="A69" s="136"/>
      <c r="B69" s="143"/>
      <c r="C69" s="79" t="s">
        <v>589</v>
      </c>
      <c r="D69" s="3">
        <v>5</v>
      </c>
      <c r="E69" s="3"/>
      <c r="F69" s="38" t="s">
        <v>430</v>
      </c>
      <c r="G69" s="38" t="s">
        <v>431</v>
      </c>
      <c r="H69" s="76" t="s">
        <v>432</v>
      </c>
      <c r="I69" s="76" t="s">
        <v>433</v>
      </c>
      <c r="J69" s="3"/>
      <c r="K69" s="3"/>
      <c r="L69" s="3"/>
      <c r="M69" s="3"/>
      <c r="N69" s="13"/>
      <c r="O69" s="34"/>
      <c r="Q69" s="109">
        <v>497</v>
      </c>
      <c r="R69" s="109">
        <v>498</v>
      </c>
      <c r="S69" s="109">
        <v>499</v>
      </c>
      <c r="T69" s="109">
        <v>500</v>
      </c>
      <c r="U69" s="1"/>
      <c r="V69" s="1"/>
      <c r="W69" s="1"/>
      <c r="X69" s="1"/>
    </row>
    <row r="70" spans="1:24" ht="15.95" customHeight="1" x14ac:dyDescent="0.2">
      <c r="A70" s="136"/>
      <c r="B70" s="143"/>
      <c r="C70" s="19" t="s">
        <v>302</v>
      </c>
      <c r="D70" s="3">
        <v>120</v>
      </c>
      <c r="E70" s="3"/>
      <c r="F70" s="76">
        <v>3</v>
      </c>
      <c r="G70" s="39" t="s">
        <v>592</v>
      </c>
      <c r="H70" s="3"/>
      <c r="I70" s="3"/>
      <c r="J70" s="3"/>
      <c r="K70" s="3"/>
      <c r="L70" s="3"/>
      <c r="M70" s="3"/>
      <c r="N70" s="13"/>
      <c r="O70" s="34" t="s">
        <v>439</v>
      </c>
      <c r="Q70" s="108">
        <v>501</v>
      </c>
      <c r="R70" s="108">
        <v>502</v>
      </c>
      <c r="S70" s="1"/>
      <c r="T70" s="1"/>
      <c r="U70" s="1"/>
      <c r="V70" s="1"/>
      <c r="W70" s="1"/>
      <c r="X70" s="1"/>
    </row>
    <row r="71" spans="1:24" ht="15.95" customHeight="1" x14ac:dyDescent="0.2">
      <c r="A71" s="136"/>
      <c r="B71" s="143"/>
      <c r="C71" s="19" t="s">
        <v>302</v>
      </c>
      <c r="D71" s="3">
        <v>34</v>
      </c>
      <c r="E71" s="3"/>
      <c r="F71" s="76">
        <v>3</v>
      </c>
      <c r="G71" s="39" t="s">
        <v>592</v>
      </c>
      <c r="H71" s="3"/>
      <c r="I71" s="3"/>
      <c r="J71" s="3"/>
      <c r="K71" s="3"/>
      <c r="L71" s="3"/>
      <c r="M71" s="3"/>
      <c r="N71" s="13"/>
      <c r="O71" s="34" t="s">
        <v>422</v>
      </c>
      <c r="Q71" s="108">
        <v>501</v>
      </c>
      <c r="R71" s="108">
        <v>502</v>
      </c>
      <c r="S71" s="1"/>
      <c r="T71" s="1"/>
      <c r="U71" s="1"/>
      <c r="V71" s="1"/>
      <c r="W71" s="1"/>
      <c r="X71" s="1"/>
    </row>
    <row r="72" spans="1:24" ht="15.95" customHeight="1" x14ac:dyDescent="0.2">
      <c r="A72" s="136"/>
      <c r="B72" s="143"/>
      <c r="C72" s="19" t="s">
        <v>302</v>
      </c>
      <c r="D72" s="3">
        <v>5</v>
      </c>
      <c r="E72" s="3"/>
      <c r="F72" s="76">
        <v>4</v>
      </c>
      <c r="G72" s="39" t="s">
        <v>593</v>
      </c>
      <c r="H72" s="3"/>
      <c r="I72" s="3"/>
      <c r="J72" s="3"/>
      <c r="K72" s="3"/>
      <c r="L72" s="3"/>
      <c r="M72" s="3"/>
      <c r="N72" s="13"/>
      <c r="O72" s="34" t="s">
        <v>422</v>
      </c>
      <c r="Q72" s="109">
        <v>501</v>
      </c>
      <c r="R72" s="108">
        <v>502</v>
      </c>
      <c r="S72" s="1"/>
      <c r="T72" s="1"/>
      <c r="U72" s="1"/>
      <c r="V72" s="1"/>
      <c r="W72" s="1"/>
      <c r="X72" s="1"/>
    </row>
    <row r="73" spans="1:24" ht="15.95" customHeight="1" x14ac:dyDescent="0.2">
      <c r="A73" s="136"/>
      <c r="B73" s="143"/>
      <c r="C73" s="19" t="s">
        <v>7</v>
      </c>
      <c r="D73" s="3">
        <v>1230</v>
      </c>
      <c r="E73" s="3"/>
      <c r="F73" s="75" t="s">
        <v>972</v>
      </c>
      <c r="G73" s="40" t="s">
        <v>973</v>
      </c>
      <c r="H73" s="40" t="s">
        <v>974</v>
      </c>
      <c r="I73" s="3"/>
      <c r="J73" s="3"/>
      <c r="K73" s="3"/>
      <c r="L73" s="3"/>
      <c r="M73" s="3"/>
      <c r="N73" s="13"/>
      <c r="O73" s="18"/>
      <c r="Q73" s="109">
        <v>503</v>
      </c>
      <c r="R73" s="108">
        <v>504</v>
      </c>
      <c r="S73" s="108">
        <v>505</v>
      </c>
      <c r="T73" s="1"/>
      <c r="U73" s="1"/>
      <c r="V73" s="1"/>
      <c r="W73" s="1"/>
      <c r="X73" s="1"/>
    </row>
    <row r="74" spans="1:24" ht="15.95" customHeight="1" x14ac:dyDescent="0.2">
      <c r="A74" s="136"/>
      <c r="B74" s="143"/>
      <c r="C74" s="19" t="s">
        <v>7</v>
      </c>
      <c r="D74" s="3">
        <v>45</v>
      </c>
      <c r="E74" s="3"/>
      <c r="F74" s="41" t="s">
        <v>972</v>
      </c>
      <c r="G74" s="40" t="s">
        <v>973</v>
      </c>
      <c r="H74" s="40" t="s">
        <v>974</v>
      </c>
      <c r="I74" s="3"/>
      <c r="J74" s="3"/>
      <c r="K74" s="3"/>
      <c r="L74" s="3"/>
      <c r="M74" s="3"/>
      <c r="N74" s="13"/>
      <c r="O74" s="18"/>
      <c r="Q74" s="108">
        <v>503</v>
      </c>
      <c r="R74" s="108">
        <v>504</v>
      </c>
      <c r="S74" s="108">
        <v>505</v>
      </c>
      <c r="T74" s="1"/>
      <c r="U74" s="1"/>
      <c r="V74" s="1"/>
      <c r="W74" s="1"/>
      <c r="X74" s="1"/>
    </row>
    <row r="75" spans="1:24" ht="15.95" customHeight="1" x14ac:dyDescent="0.2">
      <c r="A75" s="136"/>
      <c r="B75" s="137" t="s">
        <v>160</v>
      </c>
      <c r="C75" s="19" t="s">
        <v>590</v>
      </c>
      <c r="D75" s="3">
        <v>0</v>
      </c>
      <c r="E75" s="81"/>
      <c r="F75" s="134" t="s">
        <v>561</v>
      </c>
      <c r="G75" s="135"/>
      <c r="H75" s="3"/>
      <c r="I75" s="3"/>
      <c r="J75" s="3"/>
      <c r="K75" s="3"/>
      <c r="L75" s="3"/>
      <c r="M75" s="3"/>
      <c r="N75" s="35"/>
      <c r="O75" s="18" t="s">
        <v>862</v>
      </c>
      <c r="Q75" s="109">
        <v>302</v>
      </c>
      <c r="R75" s="1"/>
      <c r="S75" s="1"/>
      <c r="T75" s="1"/>
      <c r="U75" s="1"/>
      <c r="V75" s="1"/>
      <c r="W75" s="1"/>
      <c r="X75" s="1"/>
    </row>
    <row r="76" spans="1:24" ht="15.95" customHeight="1" x14ac:dyDescent="0.2">
      <c r="A76" s="136"/>
      <c r="B76" s="138"/>
      <c r="C76" s="19" t="s">
        <v>590</v>
      </c>
      <c r="D76" s="3">
        <v>14</v>
      </c>
      <c r="E76" s="81"/>
      <c r="F76" s="132" t="s">
        <v>564</v>
      </c>
      <c r="G76" s="133"/>
      <c r="H76" s="3"/>
      <c r="I76" s="3"/>
      <c r="J76" s="3"/>
      <c r="K76" s="3"/>
      <c r="L76" s="3"/>
      <c r="M76" s="3"/>
      <c r="N76" s="35"/>
      <c r="O76" s="18"/>
      <c r="Q76" s="108">
        <v>302</v>
      </c>
      <c r="R76" s="1"/>
      <c r="S76" s="1"/>
      <c r="T76" s="1"/>
      <c r="U76" s="1"/>
      <c r="V76" s="1"/>
      <c r="W76" s="1"/>
      <c r="X76" s="1"/>
    </row>
    <row r="77" spans="1:24" ht="15.95" customHeight="1" x14ac:dyDescent="0.2">
      <c r="A77" s="136"/>
      <c r="B77" s="138"/>
      <c r="C77" s="19" t="s">
        <v>590</v>
      </c>
      <c r="D77" s="3">
        <v>2</v>
      </c>
      <c r="E77" s="81"/>
      <c r="F77" s="132" t="s">
        <v>565</v>
      </c>
      <c r="G77" s="133"/>
      <c r="H77" s="3"/>
      <c r="I77" s="3"/>
      <c r="J77" s="3"/>
      <c r="K77" s="3"/>
      <c r="L77" s="3"/>
      <c r="M77" s="3"/>
      <c r="N77" s="35"/>
      <c r="O77" s="18"/>
      <c r="Q77" s="108">
        <v>302</v>
      </c>
      <c r="R77" s="1"/>
      <c r="S77" s="1"/>
      <c r="T77" s="1"/>
      <c r="U77" s="1"/>
      <c r="V77" s="1"/>
      <c r="W77" s="1"/>
      <c r="X77" s="1"/>
    </row>
    <row r="78" spans="1:24" ht="15.95" customHeight="1" x14ac:dyDescent="0.2">
      <c r="A78" s="136"/>
      <c r="B78" s="138"/>
      <c r="C78" s="19" t="s">
        <v>590</v>
      </c>
      <c r="D78" s="3">
        <v>35</v>
      </c>
      <c r="E78" s="81"/>
      <c r="F78" s="132" t="s">
        <v>560</v>
      </c>
      <c r="G78" s="133"/>
      <c r="H78" s="3"/>
      <c r="I78" s="3"/>
      <c r="J78" s="3"/>
      <c r="K78" s="3"/>
      <c r="L78" s="3"/>
      <c r="M78" s="3"/>
      <c r="N78" s="35"/>
      <c r="O78" s="18"/>
      <c r="Q78" s="108">
        <v>302</v>
      </c>
      <c r="R78" s="1"/>
      <c r="S78" s="1"/>
      <c r="T78" s="1"/>
      <c r="U78" s="1"/>
      <c r="V78" s="1"/>
      <c r="W78" s="1"/>
      <c r="X78" s="1"/>
    </row>
    <row r="79" spans="1:24" ht="15.95" customHeight="1" x14ac:dyDescent="0.2">
      <c r="A79" s="136"/>
      <c r="B79" s="138"/>
      <c r="C79" s="19" t="s">
        <v>591</v>
      </c>
      <c r="D79" s="3">
        <v>0</v>
      </c>
      <c r="E79" s="81"/>
      <c r="F79" s="134" t="s">
        <v>562</v>
      </c>
      <c r="G79" s="135"/>
      <c r="H79" s="3"/>
      <c r="I79" s="3"/>
      <c r="J79" s="3"/>
      <c r="K79" s="3"/>
      <c r="L79" s="3"/>
      <c r="M79" s="3"/>
      <c r="N79" s="35"/>
      <c r="O79" s="18"/>
      <c r="Q79" s="108">
        <v>303</v>
      </c>
      <c r="R79" s="1"/>
      <c r="S79" s="1"/>
      <c r="T79" s="1"/>
      <c r="U79" s="1"/>
      <c r="V79" s="1"/>
      <c r="W79" s="1"/>
      <c r="X79" s="1"/>
    </row>
    <row r="80" spans="1:24" ht="15.95" customHeight="1" x14ac:dyDescent="0.2">
      <c r="A80" s="136"/>
      <c r="B80" s="138"/>
      <c r="C80" s="19" t="s">
        <v>591</v>
      </c>
      <c r="D80" s="3">
        <v>14</v>
      </c>
      <c r="E80" s="81"/>
      <c r="F80" s="132" t="s">
        <v>563</v>
      </c>
      <c r="G80" s="133"/>
      <c r="H80" s="3"/>
      <c r="I80" s="3"/>
      <c r="J80" s="3"/>
      <c r="K80" s="3"/>
      <c r="L80" s="3"/>
      <c r="M80" s="3"/>
      <c r="N80" s="10"/>
      <c r="O80" s="18"/>
      <c r="Q80" s="108">
        <v>303</v>
      </c>
      <c r="R80" s="1"/>
      <c r="S80" s="1"/>
      <c r="T80" s="1"/>
      <c r="U80" s="1"/>
      <c r="V80" s="1"/>
      <c r="W80" s="1"/>
      <c r="X80" s="1"/>
    </row>
    <row r="81" spans="1:24" ht="15.95" customHeight="1" x14ac:dyDescent="0.2">
      <c r="A81" s="136"/>
      <c r="B81" s="138"/>
      <c r="C81" s="19" t="s">
        <v>591</v>
      </c>
      <c r="D81" s="3">
        <v>2</v>
      </c>
      <c r="E81" s="81"/>
      <c r="F81" s="132" t="s">
        <v>563</v>
      </c>
      <c r="G81" s="133"/>
      <c r="H81" s="3"/>
      <c r="I81" s="3"/>
      <c r="J81" s="3"/>
      <c r="K81" s="3"/>
      <c r="L81" s="3"/>
      <c r="M81" s="3"/>
      <c r="N81" s="10"/>
      <c r="O81" s="18"/>
      <c r="Q81" s="108">
        <v>303</v>
      </c>
      <c r="R81" s="1"/>
      <c r="S81" s="1"/>
      <c r="T81" s="1"/>
      <c r="U81" s="1"/>
      <c r="V81" s="1"/>
      <c r="W81" s="1"/>
      <c r="X81" s="1"/>
    </row>
    <row r="82" spans="1:24" ht="15.95" customHeight="1" x14ac:dyDescent="0.2">
      <c r="A82" s="136"/>
      <c r="B82" s="139"/>
      <c r="C82" s="19" t="s">
        <v>591</v>
      </c>
      <c r="D82" s="3">
        <v>35</v>
      </c>
      <c r="E82" s="81"/>
      <c r="F82" s="132" t="s">
        <v>563</v>
      </c>
      <c r="G82" s="133"/>
      <c r="H82" s="3"/>
      <c r="I82" s="3"/>
      <c r="J82" s="3"/>
      <c r="K82" s="3"/>
      <c r="L82" s="3"/>
      <c r="M82" s="3"/>
      <c r="N82" s="10"/>
      <c r="O82" s="18"/>
      <c r="Q82" s="108">
        <v>303</v>
      </c>
      <c r="R82" s="1"/>
      <c r="S82" s="1"/>
      <c r="T82" s="1"/>
      <c r="U82" s="1"/>
      <c r="V82" s="1"/>
      <c r="W82" s="1"/>
      <c r="X82" s="1"/>
    </row>
    <row r="83" spans="1:24" ht="15.95" customHeight="1" x14ac:dyDescent="0.2">
      <c r="A83" s="136"/>
      <c r="B83" s="137" t="s">
        <v>566</v>
      </c>
      <c r="C83" s="19" t="s">
        <v>746</v>
      </c>
      <c r="D83" s="3">
        <v>104</v>
      </c>
      <c r="E83" s="3"/>
      <c r="F83" s="40" t="s">
        <v>169</v>
      </c>
      <c r="G83" s="75" t="s">
        <v>167</v>
      </c>
      <c r="H83" s="4" t="s">
        <v>168</v>
      </c>
      <c r="I83" s="3"/>
      <c r="J83" s="3"/>
      <c r="K83" s="3"/>
      <c r="L83" s="3"/>
      <c r="M83" s="3"/>
      <c r="N83" s="10"/>
      <c r="O83" s="18" t="s">
        <v>361</v>
      </c>
      <c r="Q83" s="108">
        <v>402</v>
      </c>
      <c r="R83" s="108">
        <v>403</v>
      </c>
      <c r="S83" s="108">
        <v>404</v>
      </c>
      <c r="T83" s="1"/>
      <c r="U83" s="1"/>
      <c r="V83" s="1"/>
      <c r="W83" s="1"/>
      <c r="X83" s="1"/>
    </row>
    <row r="84" spans="1:24" ht="15.95" customHeight="1" x14ac:dyDescent="0.2">
      <c r="A84" s="136"/>
      <c r="B84" s="138"/>
      <c r="C84" s="19" t="s">
        <v>746</v>
      </c>
      <c r="D84" s="3">
        <v>3</v>
      </c>
      <c r="E84" s="3"/>
      <c r="F84" s="41" t="s">
        <v>169</v>
      </c>
      <c r="G84" s="41" t="s">
        <v>167</v>
      </c>
      <c r="H84" s="4" t="s">
        <v>168</v>
      </c>
      <c r="I84" s="3"/>
      <c r="J84" s="3"/>
      <c r="K84" s="3"/>
      <c r="L84" s="3"/>
      <c r="M84" s="3"/>
      <c r="N84" s="10"/>
      <c r="O84" s="18" t="s">
        <v>361</v>
      </c>
      <c r="Q84" s="108">
        <v>402</v>
      </c>
      <c r="R84" s="108">
        <v>403</v>
      </c>
      <c r="S84" s="108">
        <v>404</v>
      </c>
      <c r="T84" s="1"/>
      <c r="U84" s="1"/>
      <c r="V84" s="1"/>
      <c r="W84" s="1"/>
      <c r="X84" s="1"/>
    </row>
    <row r="85" spans="1:24" ht="15.95" customHeight="1" x14ac:dyDescent="0.2">
      <c r="A85" s="136"/>
      <c r="B85" s="138"/>
      <c r="C85" s="19" t="s">
        <v>746</v>
      </c>
      <c r="D85" s="3">
        <v>2</v>
      </c>
      <c r="E85" s="3"/>
      <c r="F85" s="75" t="s">
        <v>169</v>
      </c>
      <c r="G85" s="75" t="s">
        <v>167</v>
      </c>
      <c r="H85" s="4" t="s">
        <v>168</v>
      </c>
      <c r="I85" s="3"/>
      <c r="J85" s="3"/>
      <c r="K85" s="3"/>
      <c r="L85" s="3"/>
      <c r="M85" s="3"/>
      <c r="N85" s="10"/>
      <c r="O85" s="18" t="s">
        <v>361</v>
      </c>
      <c r="Q85" s="108">
        <v>402</v>
      </c>
      <c r="R85" s="108">
        <v>403</v>
      </c>
      <c r="S85" s="108">
        <v>404</v>
      </c>
      <c r="T85" s="1"/>
      <c r="U85" s="1"/>
      <c r="V85" s="1"/>
      <c r="W85" s="1"/>
      <c r="X85" s="1"/>
    </row>
    <row r="86" spans="1:24" ht="15.95" customHeight="1" x14ac:dyDescent="0.2">
      <c r="A86" s="136"/>
      <c r="B86" s="138"/>
      <c r="C86" s="19" t="s">
        <v>747</v>
      </c>
      <c r="D86" s="3">
        <v>23</v>
      </c>
      <c r="E86" s="3"/>
      <c r="F86" s="75" t="s">
        <v>169</v>
      </c>
      <c r="G86" s="75" t="s">
        <v>167</v>
      </c>
      <c r="H86" s="41" t="s">
        <v>168</v>
      </c>
      <c r="I86" s="3"/>
      <c r="J86" s="3"/>
      <c r="K86" s="3"/>
      <c r="L86" s="3"/>
      <c r="M86" s="3"/>
      <c r="N86" s="10"/>
      <c r="O86" s="18" t="s">
        <v>546</v>
      </c>
      <c r="Q86" s="108">
        <v>411</v>
      </c>
      <c r="R86" s="108">
        <v>412</v>
      </c>
      <c r="S86" s="108">
        <v>413</v>
      </c>
      <c r="T86" s="1"/>
      <c r="U86" s="1"/>
      <c r="V86" s="1"/>
      <c r="W86" s="1"/>
      <c r="X86" s="1"/>
    </row>
    <row r="87" spans="1:24" ht="15.95" customHeight="1" x14ac:dyDescent="0.2">
      <c r="A87" s="136"/>
      <c r="B87" s="138"/>
      <c r="C87" s="19" t="s">
        <v>746</v>
      </c>
      <c r="D87" s="3">
        <v>5</v>
      </c>
      <c r="E87" s="3"/>
      <c r="F87" s="75" t="s">
        <v>169</v>
      </c>
      <c r="G87" s="41" t="s">
        <v>167</v>
      </c>
      <c r="H87" s="4" t="s">
        <v>168</v>
      </c>
      <c r="I87" s="3"/>
      <c r="J87" s="3"/>
      <c r="K87" s="3"/>
      <c r="L87" s="3"/>
      <c r="M87" s="3"/>
      <c r="N87" s="13"/>
      <c r="O87" s="18" t="s">
        <v>361</v>
      </c>
      <c r="Q87" s="109">
        <v>402</v>
      </c>
      <c r="R87" s="109">
        <v>403</v>
      </c>
      <c r="S87" s="108">
        <v>404</v>
      </c>
      <c r="T87" s="1"/>
      <c r="U87" s="1"/>
      <c r="V87" s="1"/>
      <c r="W87" s="1"/>
      <c r="X87" s="1"/>
    </row>
    <row r="88" spans="1:24" ht="15.95" customHeight="1" x14ac:dyDescent="0.2">
      <c r="A88" s="136"/>
      <c r="B88" s="138"/>
      <c r="C88" s="19" t="s">
        <v>747</v>
      </c>
      <c r="D88" s="3">
        <v>5</v>
      </c>
      <c r="E88" s="3"/>
      <c r="F88" s="75" t="s">
        <v>169</v>
      </c>
      <c r="G88" s="75" t="s">
        <v>167</v>
      </c>
      <c r="H88" s="41" t="s">
        <v>168</v>
      </c>
      <c r="I88" s="3"/>
      <c r="J88" s="3"/>
      <c r="K88" s="3"/>
      <c r="L88" s="3"/>
      <c r="M88" s="3"/>
      <c r="N88" s="13"/>
      <c r="O88" s="18" t="s">
        <v>546</v>
      </c>
      <c r="Q88" s="108">
        <v>411</v>
      </c>
      <c r="R88" s="108">
        <v>412</v>
      </c>
      <c r="S88" s="108">
        <v>413</v>
      </c>
      <c r="T88" s="1"/>
      <c r="U88" s="1"/>
      <c r="V88" s="1"/>
      <c r="W88" s="1"/>
      <c r="X88" s="1"/>
    </row>
    <row r="89" spans="1:24" ht="15.95" customHeight="1" x14ac:dyDescent="0.2">
      <c r="A89" s="136"/>
      <c r="B89" s="138"/>
      <c r="C89" s="19" t="s">
        <v>551</v>
      </c>
      <c r="D89" s="3"/>
      <c r="E89" s="3"/>
      <c r="F89" s="41" t="s">
        <v>555</v>
      </c>
      <c r="G89" s="41" t="s">
        <v>556</v>
      </c>
      <c r="H89" s="3"/>
      <c r="I89" s="3"/>
      <c r="J89" s="3"/>
      <c r="K89" s="3"/>
      <c r="L89" s="3"/>
      <c r="M89" s="3"/>
      <c r="N89" s="35"/>
      <c r="O89" s="18" t="s">
        <v>440</v>
      </c>
      <c r="Q89" s="109">
        <v>311</v>
      </c>
      <c r="R89" s="108">
        <v>405</v>
      </c>
      <c r="S89" s="1"/>
      <c r="T89" s="1"/>
      <c r="U89" s="1"/>
      <c r="V89" s="1"/>
      <c r="W89" s="1"/>
      <c r="X89" s="1"/>
    </row>
    <row r="90" spans="1:24" ht="15.95" customHeight="1" x14ac:dyDescent="0.2">
      <c r="A90" s="136"/>
      <c r="B90" s="138"/>
      <c r="C90" s="19" t="s">
        <v>552</v>
      </c>
      <c r="D90" s="3"/>
      <c r="E90" s="3"/>
      <c r="F90" s="75" t="s">
        <v>555</v>
      </c>
      <c r="G90" s="75" t="s">
        <v>556</v>
      </c>
      <c r="H90" s="3"/>
      <c r="I90" s="3"/>
      <c r="J90" s="3"/>
      <c r="K90" s="3"/>
      <c r="L90" s="3"/>
      <c r="M90" s="3"/>
      <c r="N90" s="35"/>
      <c r="O90" s="18" t="s">
        <v>440</v>
      </c>
      <c r="Q90" s="108">
        <v>313</v>
      </c>
      <c r="R90" s="108">
        <v>407</v>
      </c>
      <c r="S90" s="1"/>
      <c r="T90" s="1"/>
      <c r="U90" s="1"/>
      <c r="V90" s="1"/>
      <c r="W90" s="1"/>
      <c r="X90" s="1"/>
    </row>
    <row r="91" spans="1:24" ht="15.95" customHeight="1" x14ac:dyDescent="0.2">
      <c r="A91" s="136"/>
      <c r="B91" s="138"/>
      <c r="C91" s="19" t="s">
        <v>553</v>
      </c>
      <c r="D91" s="3"/>
      <c r="E91" s="3"/>
      <c r="F91" s="41" t="s">
        <v>555</v>
      </c>
      <c r="G91" s="41" t="s">
        <v>556</v>
      </c>
      <c r="H91" s="3"/>
      <c r="I91" s="3"/>
      <c r="J91" s="3"/>
      <c r="K91" s="3"/>
      <c r="L91" s="3"/>
      <c r="M91" s="3"/>
      <c r="N91" s="35"/>
      <c r="O91" s="18" t="s">
        <v>440</v>
      </c>
      <c r="Q91" s="108">
        <v>312</v>
      </c>
      <c r="R91" s="108">
        <v>406</v>
      </c>
      <c r="S91" s="1"/>
      <c r="T91" s="1"/>
      <c r="U91" s="1"/>
      <c r="V91" s="1"/>
      <c r="W91" s="1"/>
      <c r="X91" s="1"/>
    </row>
    <row r="92" spans="1:24" ht="15.95" customHeight="1" x14ac:dyDescent="0.2">
      <c r="A92" s="136"/>
      <c r="B92" s="138"/>
      <c r="C92" s="19" t="s">
        <v>554</v>
      </c>
      <c r="D92" s="3"/>
      <c r="E92" s="3"/>
      <c r="F92" s="75" t="s">
        <v>555</v>
      </c>
      <c r="G92" s="75" t="s">
        <v>556</v>
      </c>
      <c r="H92" s="3"/>
      <c r="I92" s="3"/>
      <c r="J92" s="3"/>
      <c r="K92" s="3"/>
      <c r="L92" s="3"/>
      <c r="M92" s="3"/>
      <c r="N92" s="35"/>
      <c r="O92" s="18" t="s">
        <v>440</v>
      </c>
      <c r="Q92" s="108">
        <v>314</v>
      </c>
      <c r="R92" s="108">
        <v>408</v>
      </c>
      <c r="S92" s="1"/>
      <c r="T92" s="1"/>
      <c r="U92" s="1"/>
      <c r="V92" s="1"/>
      <c r="W92" s="1"/>
      <c r="X92" s="1"/>
    </row>
    <row r="93" spans="1:24" ht="15.95" customHeight="1" x14ac:dyDescent="0.2">
      <c r="A93" s="136"/>
      <c r="B93" s="138"/>
      <c r="C93" s="19" t="s">
        <v>547</v>
      </c>
      <c r="D93" s="3"/>
      <c r="E93" s="3"/>
      <c r="F93" s="17" t="s">
        <v>67</v>
      </c>
      <c r="G93" s="17" t="s">
        <v>70</v>
      </c>
      <c r="H93" s="17" t="s">
        <v>68</v>
      </c>
      <c r="I93" s="17" t="s">
        <v>69</v>
      </c>
      <c r="J93" s="3"/>
      <c r="K93" s="3"/>
      <c r="L93" s="3"/>
      <c r="M93" s="3"/>
      <c r="N93" s="4"/>
      <c r="O93" s="18"/>
      <c r="Q93" s="108">
        <v>193</v>
      </c>
      <c r="R93" s="108">
        <v>79</v>
      </c>
      <c r="S93" s="108">
        <v>78</v>
      </c>
      <c r="T93" s="108">
        <v>21</v>
      </c>
      <c r="U93" s="1"/>
      <c r="V93" s="1"/>
      <c r="W93" s="1"/>
      <c r="X93" s="1"/>
    </row>
    <row r="94" spans="1:24" ht="15.95" customHeight="1" x14ac:dyDescent="0.2">
      <c r="A94" s="136"/>
      <c r="B94" s="138"/>
      <c r="C94" s="19" t="s">
        <v>548</v>
      </c>
      <c r="D94" s="3"/>
      <c r="E94" s="3"/>
      <c r="F94" s="43" t="s">
        <v>549</v>
      </c>
      <c r="G94" s="44" t="s">
        <v>550</v>
      </c>
      <c r="H94" s="3"/>
      <c r="I94" s="3"/>
      <c r="J94" s="3"/>
      <c r="K94" s="3"/>
      <c r="L94" s="3"/>
      <c r="M94" s="3"/>
      <c r="N94" s="4"/>
      <c r="O94" s="18"/>
      <c r="Q94" s="109">
        <v>305</v>
      </c>
      <c r="R94" s="108">
        <v>12</v>
      </c>
      <c r="S94" s="1"/>
      <c r="T94" s="1"/>
      <c r="U94" s="1"/>
      <c r="V94" s="1"/>
      <c r="W94" s="1"/>
      <c r="X94" s="1"/>
    </row>
    <row r="95" spans="1:24" ht="15.95" customHeight="1" x14ac:dyDescent="0.2">
      <c r="A95" s="136"/>
      <c r="B95" s="138"/>
      <c r="C95" s="19" t="s">
        <v>557</v>
      </c>
      <c r="D95" s="3"/>
      <c r="E95" s="3"/>
      <c r="F95" s="76" t="s">
        <v>445</v>
      </c>
      <c r="G95" s="76" t="s">
        <v>446</v>
      </c>
      <c r="H95" s="3"/>
      <c r="I95" s="3"/>
      <c r="J95" s="3"/>
      <c r="K95" s="3"/>
      <c r="L95" s="3"/>
      <c r="M95" s="3"/>
      <c r="N95" s="10"/>
      <c r="O95" s="18" t="s">
        <v>863</v>
      </c>
      <c r="Q95" s="109">
        <v>70</v>
      </c>
      <c r="R95" s="108">
        <v>71</v>
      </c>
      <c r="S95" s="1"/>
      <c r="T95" s="1"/>
      <c r="U95" s="1"/>
      <c r="V95" s="1"/>
      <c r="W95" s="1"/>
      <c r="X95" s="1"/>
    </row>
    <row r="96" spans="1:24" ht="15.95" customHeight="1" x14ac:dyDescent="0.2">
      <c r="A96" s="136"/>
      <c r="B96" s="138"/>
      <c r="C96" s="19" t="s">
        <v>559</v>
      </c>
      <c r="D96" s="3"/>
      <c r="E96" s="3"/>
      <c r="F96" s="76" t="s">
        <v>891</v>
      </c>
      <c r="G96" s="3"/>
      <c r="H96" s="3"/>
      <c r="I96" s="3"/>
      <c r="J96" s="3"/>
      <c r="K96" s="3"/>
      <c r="L96" s="3"/>
      <c r="M96" s="3"/>
      <c r="N96" s="10"/>
      <c r="O96" s="18"/>
      <c r="Q96" s="109">
        <v>348</v>
      </c>
      <c r="R96" s="1"/>
      <c r="S96" s="1"/>
      <c r="T96" s="1"/>
      <c r="U96" s="1"/>
      <c r="V96" s="1"/>
      <c r="W96" s="1"/>
      <c r="X96" s="1"/>
    </row>
    <row r="97" spans="1:25" ht="15.95" customHeight="1" x14ac:dyDescent="0.2">
      <c r="A97" s="136"/>
      <c r="B97" s="138"/>
      <c r="C97" s="79" t="s">
        <v>558</v>
      </c>
      <c r="D97" s="3"/>
      <c r="E97" s="3"/>
      <c r="F97" s="17" t="s">
        <v>146</v>
      </c>
      <c r="G97" s="76" t="s">
        <v>145</v>
      </c>
      <c r="I97" s="3"/>
      <c r="J97" s="3"/>
      <c r="K97" s="3"/>
      <c r="L97" s="3"/>
      <c r="M97" s="3"/>
      <c r="N97" s="13"/>
      <c r="O97" s="18" t="s">
        <v>864</v>
      </c>
      <c r="Q97" s="108">
        <v>10</v>
      </c>
      <c r="R97" s="109">
        <v>39</v>
      </c>
      <c r="S97" s="1"/>
      <c r="T97" s="1"/>
      <c r="U97" s="1"/>
      <c r="V97" s="1"/>
      <c r="W97" s="1"/>
      <c r="X97" s="1"/>
    </row>
    <row r="98" spans="1:25" ht="15.95" customHeight="1" x14ac:dyDescent="0.2">
      <c r="A98" s="136"/>
      <c r="B98" s="139"/>
      <c r="C98" s="79" t="s">
        <v>182</v>
      </c>
      <c r="D98" s="3"/>
      <c r="E98" s="3"/>
      <c r="F98" s="38" t="s">
        <v>802</v>
      </c>
      <c r="G98" s="52" t="s">
        <v>803</v>
      </c>
      <c r="H98" s="38" t="s">
        <v>804</v>
      </c>
      <c r="I98" s="3"/>
      <c r="J98" s="3"/>
      <c r="K98" s="3"/>
      <c r="L98" s="3"/>
      <c r="M98" s="3"/>
      <c r="N98" s="13"/>
      <c r="O98" s="18"/>
      <c r="Q98" s="108">
        <v>344</v>
      </c>
      <c r="R98" s="109">
        <v>345</v>
      </c>
      <c r="S98" s="108">
        <v>346</v>
      </c>
      <c r="T98" s="1"/>
      <c r="U98" s="1"/>
      <c r="V98" s="1"/>
      <c r="W98" s="1"/>
      <c r="X98" s="1"/>
    </row>
    <row r="99" spans="1:25" ht="15.95" customHeight="1" x14ac:dyDescent="0.2">
      <c r="A99" s="136"/>
      <c r="B99" s="137" t="s">
        <v>11</v>
      </c>
      <c r="C99" s="19" t="s">
        <v>394</v>
      </c>
      <c r="D99" s="3">
        <v>10</v>
      </c>
      <c r="E99" s="3"/>
      <c r="F99" s="75" t="s">
        <v>545</v>
      </c>
      <c r="G99" s="40" t="s">
        <v>492</v>
      </c>
      <c r="H99" s="3"/>
      <c r="I99" s="3"/>
      <c r="J99" s="3"/>
      <c r="K99" s="3"/>
      <c r="L99" s="3"/>
      <c r="M99" s="3"/>
      <c r="N99" s="4"/>
      <c r="O99" s="18" t="s">
        <v>207</v>
      </c>
      <c r="Q99" s="108">
        <v>2</v>
      </c>
      <c r="R99" s="108">
        <v>31</v>
      </c>
      <c r="S99" s="1"/>
      <c r="T99" s="1"/>
      <c r="U99" s="1"/>
      <c r="V99" s="1"/>
      <c r="W99" s="1"/>
      <c r="X99" s="1"/>
    </row>
    <row r="100" spans="1:25" ht="15.95" customHeight="1" x14ac:dyDescent="0.2">
      <c r="A100" s="136"/>
      <c r="B100" s="138"/>
      <c r="C100" s="19" t="s">
        <v>397</v>
      </c>
      <c r="D100" s="3">
        <v>10</v>
      </c>
      <c r="E100" s="3"/>
      <c r="F100" s="41" t="s">
        <v>545</v>
      </c>
      <c r="G100" s="75" t="s">
        <v>492</v>
      </c>
      <c r="H100" s="3"/>
      <c r="I100" s="37"/>
      <c r="J100" s="3"/>
      <c r="K100" s="3"/>
      <c r="L100" s="3"/>
      <c r="M100" s="3"/>
      <c r="N100" s="35"/>
      <c r="O100" s="18" t="s">
        <v>450</v>
      </c>
      <c r="Q100" s="108">
        <v>371</v>
      </c>
      <c r="R100" s="109">
        <v>372</v>
      </c>
      <c r="S100" s="1"/>
      <c r="T100" s="1"/>
      <c r="U100" s="1"/>
      <c r="V100" s="1"/>
      <c r="W100" s="1"/>
      <c r="X100" s="1"/>
    </row>
    <row r="101" spans="1:25" ht="15.95" customHeight="1" x14ac:dyDescent="0.2">
      <c r="A101" s="136"/>
      <c r="B101" s="138"/>
      <c r="C101" s="19" t="s">
        <v>394</v>
      </c>
      <c r="D101" s="3">
        <v>2345</v>
      </c>
      <c r="E101" s="3"/>
      <c r="F101" s="75" t="s">
        <v>545</v>
      </c>
      <c r="G101" s="40" t="s">
        <v>492</v>
      </c>
      <c r="H101" s="3"/>
      <c r="I101" s="3"/>
      <c r="J101" s="3"/>
      <c r="K101" s="3"/>
      <c r="L101" s="3"/>
      <c r="M101" s="3"/>
      <c r="N101" s="4"/>
      <c r="O101" s="18" t="s">
        <v>447</v>
      </c>
      <c r="Q101" s="108">
        <v>368</v>
      </c>
      <c r="R101" s="108">
        <v>369</v>
      </c>
      <c r="S101" s="1"/>
      <c r="T101" s="1"/>
      <c r="U101" s="1"/>
      <c r="V101" s="1"/>
      <c r="W101" s="1"/>
      <c r="X101" s="1"/>
    </row>
    <row r="102" spans="1:25" ht="15.95" customHeight="1" x14ac:dyDescent="0.2">
      <c r="A102" s="136"/>
      <c r="B102" s="138"/>
      <c r="C102" s="19" t="s">
        <v>395</v>
      </c>
      <c r="D102" s="3">
        <v>2345</v>
      </c>
      <c r="E102" s="3"/>
      <c r="F102" s="75" t="s">
        <v>545</v>
      </c>
      <c r="G102" s="40" t="s">
        <v>492</v>
      </c>
      <c r="H102" s="3"/>
      <c r="I102" s="3"/>
      <c r="J102" s="3"/>
      <c r="K102" s="3"/>
      <c r="L102" s="3"/>
      <c r="M102" s="3"/>
      <c r="N102" s="4"/>
      <c r="O102" s="18" t="s">
        <v>448</v>
      </c>
      <c r="Q102" s="109">
        <v>365</v>
      </c>
      <c r="R102" s="108">
        <v>366</v>
      </c>
      <c r="S102" s="1"/>
      <c r="T102" s="1"/>
      <c r="U102" s="1"/>
      <c r="V102" s="1"/>
      <c r="W102" s="1"/>
      <c r="X102" s="1"/>
    </row>
    <row r="103" spans="1:25" ht="15.95" customHeight="1" x14ac:dyDescent="0.2">
      <c r="A103" s="136"/>
      <c r="B103" s="138"/>
      <c r="C103" s="19" t="s">
        <v>396</v>
      </c>
      <c r="D103" s="3">
        <v>2345</v>
      </c>
      <c r="E103" s="3"/>
      <c r="F103" s="75" t="s">
        <v>545</v>
      </c>
      <c r="G103" s="40" t="s">
        <v>492</v>
      </c>
      <c r="H103" s="3"/>
      <c r="I103" s="3"/>
      <c r="J103" s="3"/>
      <c r="K103" s="3"/>
      <c r="L103" s="3"/>
      <c r="M103" s="3"/>
      <c r="N103" s="4"/>
      <c r="O103" s="18" t="s">
        <v>449</v>
      </c>
      <c r="Q103" s="108">
        <v>360</v>
      </c>
      <c r="R103" s="109">
        <v>361</v>
      </c>
      <c r="S103" s="1"/>
      <c r="T103" s="1"/>
      <c r="U103" s="1"/>
      <c r="V103" s="1"/>
      <c r="W103" s="1"/>
      <c r="X103" s="1"/>
    </row>
    <row r="104" spans="1:25" ht="15.95" customHeight="1" x14ac:dyDescent="0.2">
      <c r="A104" s="136"/>
      <c r="B104" s="138"/>
      <c r="C104" s="19" t="s">
        <v>397</v>
      </c>
      <c r="D104" s="3">
        <v>2345</v>
      </c>
      <c r="E104" s="3"/>
      <c r="F104" s="41" t="s">
        <v>545</v>
      </c>
      <c r="G104" s="75" t="s">
        <v>492</v>
      </c>
      <c r="H104" s="3"/>
      <c r="I104" s="37"/>
      <c r="J104" s="3"/>
      <c r="K104" s="3"/>
      <c r="L104" s="3"/>
      <c r="M104" s="3"/>
      <c r="N104" s="35"/>
      <c r="O104" s="18" t="s">
        <v>195</v>
      </c>
      <c r="Q104" s="108">
        <v>18</v>
      </c>
      <c r="R104" s="108">
        <v>19</v>
      </c>
      <c r="S104" s="1"/>
      <c r="T104" s="1"/>
      <c r="U104" s="1"/>
      <c r="V104" s="1"/>
      <c r="W104" s="1"/>
      <c r="X104" s="1"/>
    </row>
    <row r="105" spans="1:25" ht="15.95" customHeight="1" x14ac:dyDescent="0.2">
      <c r="A105" s="136"/>
      <c r="B105" s="139"/>
      <c r="C105" s="19" t="s">
        <v>398</v>
      </c>
      <c r="D105" s="3">
        <v>2345</v>
      </c>
      <c r="E105" s="3"/>
      <c r="F105" s="41" t="s">
        <v>545</v>
      </c>
      <c r="G105" s="75" t="s">
        <v>492</v>
      </c>
      <c r="H105" s="3"/>
      <c r="I105" s="37"/>
      <c r="J105" s="3"/>
      <c r="K105" s="3"/>
      <c r="L105" s="3"/>
      <c r="M105" s="3"/>
      <c r="N105" s="35"/>
      <c r="O105" s="18" t="s">
        <v>196</v>
      </c>
      <c r="Q105" s="108">
        <v>342</v>
      </c>
      <c r="R105" s="108">
        <v>343</v>
      </c>
      <c r="S105" s="1"/>
      <c r="T105" s="1"/>
      <c r="U105" s="1"/>
      <c r="V105" s="1"/>
      <c r="W105" s="1"/>
      <c r="X105" s="1"/>
    </row>
    <row r="106" spans="1:25" ht="15.95" customHeight="1" x14ac:dyDescent="0.2">
      <c r="A106" s="136"/>
      <c r="B106" s="137" t="s">
        <v>12</v>
      </c>
      <c r="C106" s="19" t="s">
        <v>53</v>
      </c>
      <c r="D106" s="3"/>
      <c r="E106" s="3"/>
      <c r="F106" s="17">
        <v>1</v>
      </c>
      <c r="G106" s="17" t="s">
        <v>54</v>
      </c>
      <c r="H106" s="41" t="s">
        <v>55</v>
      </c>
      <c r="I106" s="3"/>
      <c r="J106" s="3"/>
      <c r="K106" s="3"/>
      <c r="L106" s="3"/>
      <c r="M106" s="3"/>
      <c r="N106" s="10"/>
      <c r="O106" s="18" t="s">
        <v>362</v>
      </c>
      <c r="Q106" s="108">
        <v>67</v>
      </c>
      <c r="R106" s="108">
        <v>68</v>
      </c>
      <c r="S106" s="109">
        <v>69</v>
      </c>
      <c r="T106" s="107"/>
      <c r="U106" s="1"/>
      <c r="V106" s="1"/>
      <c r="W106" s="1"/>
      <c r="X106" s="1"/>
    </row>
    <row r="107" spans="1:25" ht="15.95" customHeight="1" x14ac:dyDescent="0.2">
      <c r="A107" s="136"/>
      <c r="B107" s="138"/>
      <c r="C107" s="19" t="s">
        <v>653</v>
      </c>
      <c r="D107" s="3"/>
      <c r="E107" s="3"/>
      <c r="F107" s="75" t="s">
        <v>892</v>
      </c>
      <c r="G107" s="3"/>
      <c r="H107" s="3"/>
      <c r="I107" s="3"/>
      <c r="J107" s="3"/>
      <c r="K107" s="3"/>
      <c r="L107" s="3"/>
      <c r="M107" s="3"/>
      <c r="N107" s="13"/>
      <c r="O107" s="18"/>
      <c r="Q107" s="110">
        <v>522</v>
      </c>
      <c r="R107" s="1"/>
      <c r="S107" s="1"/>
      <c r="T107" s="1"/>
      <c r="U107" s="107"/>
      <c r="V107" s="1"/>
      <c r="W107" s="1"/>
      <c r="X107" s="1"/>
    </row>
    <row r="108" spans="1:25" ht="15.95" customHeight="1" x14ac:dyDescent="0.2">
      <c r="A108" s="136"/>
      <c r="B108" s="138"/>
      <c r="C108" s="19" t="s">
        <v>954</v>
      </c>
      <c r="D108" s="3"/>
      <c r="E108" s="3"/>
      <c r="F108" s="75" t="s">
        <v>893</v>
      </c>
      <c r="G108" s="3"/>
      <c r="H108" s="3"/>
      <c r="I108" s="3"/>
      <c r="J108" s="3"/>
      <c r="K108" s="3"/>
      <c r="L108" s="3"/>
      <c r="M108" s="3"/>
      <c r="N108" s="13"/>
      <c r="O108" s="18"/>
      <c r="Q108" s="110">
        <v>523</v>
      </c>
      <c r="R108" s="1"/>
      <c r="S108" s="1"/>
      <c r="T108" s="1"/>
      <c r="U108" s="107"/>
      <c r="V108" s="1"/>
      <c r="W108" s="1"/>
      <c r="X108" s="1"/>
    </row>
    <row r="109" spans="1:25" ht="15.95" customHeight="1" x14ac:dyDescent="0.2">
      <c r="A109" s="136"/>
      <c r="B109" s="138"/>
      <c r="C109" s="19" t="s">
        <v>986</v>
      </c>
      <c r="D109" s="3"/>
      <c r="E109" s="3"/>
      <c r="F109" s="76" t="s">
        <v>675</v>
      </c>
      <c r="G109" s="39" t="s">
        <v>674</v>
      </c>
      <c r="H109" s="3"/>
      <c r="I109" s="3"/>
      <c r="J109" s="3"/>
      <c r="K109" s="3"/>
      <c r="L109" s="3"/>
      <c r="M109" s="3"/>
      <c r="N109" s="13"/>
      <c r="O109" s="18" t="s">
        <v>865</v>
      </c>
      <c r="Q109" s="110">
        <v>524</v>
      </c>
      <c r="R109" s="109">
        <v>526</v>
      </c>
      <c r="S109" s="1"/>
      <c r="T109" s="1"/>
      <c r="U109" s="107"/>
      <c r="V109" s="1"/>
      <c r="W109" s="1"/>
      <c r="X109" s="1"/>
    </row>
    <row r="110" spans="1:25" ht="15.95" customHeight="1" x14ac:dyDescent="0.2">
      <c r="A110" s="136"/>
      <c r="B110" s="138"/>
      <c r="C110" s="19" t="s">
        <v>226</v>
      </c>
      <c r="D110" s="3">
        <v>0</v>
      </c>
      <c r="E110" s="3"/>
      <c r="F110" s="39" t="s">
        <v>147</v>
      </c>
      <c r="G110" s="76" t="s">
        <v>178</v>
      </c>
      <c r="H110" s="76" t="s">
        <v>389</v>
      </c>
      <c r="I110" s="38" t="s">
        <v>188</v>
      </c>
      <c r="J110" s="3"/>
      <c r="K110" s="3"/>
      <c r="L110" s="3"/>
      <c r="M110" s="3"/>
      <c r="N110" s="4"/>
      <c r="O110" s="18"/>
      <c r="Q110" s="108">
        <v>434</v>
      </c>
      <c r="R110" s="108">
        <v>435</v>
      </c>
      <c r="S110" s="108">
        <v>436</v>
      </c>
      <c r="T110" s="108">
        <v>437</v>
      </c>
      <c r="U110" s="1"/>
      <c r="V110" s="1"/>
      <c r="W110" s="1"/>
      <c r="X110" s="1"/>
      <c r="Y110" s="2"/>
    </row>
    <row r="111" spans="1:25" ht="15.95" customHeight="1" x14ac:dyDescent="0.2">
      <c r="A111" s="136"/>
      <c r="B111" s="138"/>
      <c r="C111" s="19" t="s">
        <v>226</v>
      </c>
      <c r="D111" s="3">
        <v>1</v>
      </c>
      <c r="E111" s="3"/>
      <c r="F111" s="39" t="s">
        <v>147</v>
      </c>
      <c r="G111" s="76" t="s">
        <v>178</v>
      </c>
      <c r="H111" s="76" t="s">
        <v>389</v>
      </c>
      <c r="I111" s="38" t="s">
        <v>188</v>
      </c>
      <c r="J111" s="3"/>
      <c r="K111" s="3"/>
      <c r="L111" s="3"/>
      <c r="M111" s="3"/>
      <c r="N111" s="4"/>
      <c r="O111" s="18"/>
      <c r="Q111" s="108">
        <v>434</v>
      </c>
      <c r="R111" s="108">
        <v>435</v>
      </c>
      <c r="S111" s="108">
        <v>436</v>
      </c>
      <c r="T111" s="108">
        <v>437</v>
      </c>
      <c r="U111" s="1"/>
      <c r="V111" s="1"/>
      <c r="W111" s="1"/>
      <c r="X111" s="1"/>
      <c r="Y111" s="2"/>
    </row>
    <row r="112" spans="1:25" ht="15.95" customHeight="1" x14ac:dyDescent="0.2">
      <c r="A112" s="136"/>
      <c r="B112" s="138"/>
      <c r="C112" s="19" t="s">
        <v>226</v>
      </c>
      <c r="D112" s="3">
        <v>2</v>
      </c>
      <c r="E112" s="3"/>
      <c r="F112" s="39" t="s">
        <v>147</v>
      </c>
      <c r="G112" s="76" t="s">
        <v>183</v>
      </c>
      <c r="H112" s="76" t="s">
        <v>389</v>
      </c>
      <c r="I112" s="38" t="s">
        <v>151</v>
      </c>
      <c r="J112" s="3"/>
      <c r="K112" s="3"/>
      <c r="L112" s="3"/>
      <c r="M112" s="3"/>
      <c r="N112" s="4"/>
      <c r="O112" s="18"/>
      <c r="Q112" s="108">
        <v>434</v>
      </c>
      <c r="R112" s="108">
        <v>435</v>
      </c>
      <c r="S112" s="108">
        <v>436</v>
      </c>
      <c r="T112" s="108">
        <v>437</v>
      </c>
      <c r="U112" s="1"/>
      <c r="V112" s="1"/>
      <c r="W112" s="1"/>
      <c r="X112" s="1"/>
      <c r="Y112" s="2"/>
    </row>
    <row r="113" spans="1:25" ht="15.95" customHeight="1" x14ac:dyDescent="0.2">
      <c r="A113" s="136"/>
      <c r="B113" s="138"/>
      <c r="C113" s="19" t="s">
        <v>226</v>
      </c>
      <c r="D113" s="3">
        <v>3</v>
      </c>
      <c r="E113" s="3"/>
      <c r="F113" s="39" t="s">
        <v>147</v>
      </c>
      <c r="G113" s="76" t="s">
        <v>308</v>
      </c>
      <c r="H113" s="76" t="s">
        <v>469</v>
      </c>
      <c r="I113" s="38" t="s">
        <v>309</v>
      </c>
      <c r="J113" s="3"/>
      <c r="K113" s="3"/>
      <c r="L113" s="3"/>
      <c r="M113" s="3"/>
      <c r="N113" s="4"/>
      <c r="O113" s="18"/>
      <c r="Q113" s="108">
        <v>434</v>
      </c>
      <c r="R113" s="108">
        <v>435</v>
      </c>
      <c r="S113" s="108">
        <v>436</v>
      </c>
      <c r="T113" s="108">
        <v>437</v>
      </c>
      <c r="U113" s="1"/>
      <c r="V113" s="1"/>
      <c r="W113" s="1"/>
      <c r="X113" s="1"/>
      <c r="Y113" s="2"/>
    </row>
    <row r="114" spans="1:25" ht="15.95" customHeight="1" x14ac:dyDescent="0.2">
      <c r="A114" s="136"/>
      <c r="B114" s="138"/>
      <c r="C114" s="19" t="s">
        <v>226</v>
      </c>
      <c r="D114" s="3">
        <v>4</v>
      </c>
      <c r="E114" s="3"/>
      <c r="F114" s="39" t="s">
        <v>147</v>
      </c>
      <c r="G114" s="76" t="s">
        <v>178</v>
      </c>
      <c r="H114" s="76" t="s">
        <v>389</v>
      </c>
      <c r="I114" s="38" t="s">
        <v>188</v>
      </c>
      <c r="J114" s="3"/>
      <c r="K114" s="3"/>
      <c r="L114" s="3"/>
      <c r="M114" s="3"/>
      <c r="N114" s="4"/>
      <c r="O114" s="18"/>
      <c r="Q114" s="108">
        <v>434</v>
      </c>
      <c r="R114" s="108">
        <v>435</v>
      </c>
      <c r="S114" s="108">
        <v>436</v>
      </c>
      <c r="T114" s="108">
        <v>437</v>
      </c>
      <c r="U114" s="1"/>
      <c r="V114" s="1"/>
      <c r="W114" s="1"/>
      <c r="X114" s="1"/>
      <c r="Y114" s="2"/>
    </row>
    <row r="115" spans="1:25" ht="15.95" customHeight="1" x14ac:dyDescent="0.2">
      <c r="A115" s="136"/>
      <c r="B115" s="138"/>
      <c r="C115" s="19" t="s">
        <v>226</v>
      </c>
      <c r="D115" s="3">
        <v>5</v>
      </c>
      <c r="E115" s="3"/>
      <c r="F115" s="39" t="s">
        <v>147</v>
      </c>
      <c r="G115" s="76" t="s">
        <v>308</v>
      </c>
      <c r="H115" s="76" t="s">
        <v>390</v>
      </c>
      <c r="I115" s="38" t="s">
        <v>309</v>
      </c>
      <c r="J115" s="3"/>
      <c r="K115" s="3"/>
      <c r="L115" s="3"/>
      <c r="M115" s="3"/>
      <c r="N115" s="4"/>
      <c r="O115" s="18"/>
      <c r="Q115" s="109">
        <v>434</v>
      </c>
      <c r="R115" s="109">
        <v>435</v>
      </c>
      <c r="S115" s="109">
        <v>436</v>
      </c>
      <c r="T115" s="108">
        <v>437</v>
      </c>
      <c r="U115" s="1"/>
      <c r="V115" s="1"/>
      <c r="W115" s="1"/>
      <c r="X115" s="1"/>
      <c r="Y115" s="2"/>
    </row>
    <row r="116" spans="1:25" ht="15.95" customHeight="1" x14ac:dyDescent="0.2">
      <c r="A116" s="136"/>
      <c r="B116" s="139"/>
      <c r="C116" s="19" t="s">
        <v>138</v>
      </c>
      <c r="D116" s="3"/>
      <c r="E116" s="3"/>
      <c r="F116" s="38" t="s">
        <v>316</v>
      </c>
      <c r="G116" s="38" t="s">
        <v>317</v>
      </c>
      <c r="H116" s="3"/>
      <c r="I116" s="3"/>
      <c r="J116" s="3"/>
      <c r="K116" s="3"/>
      <c r="L116" s="3"/>
      <c r="M116" s="3"/>
      <c r="N116" s="35"/>
      <c r="O116" s="18"/>
      <c r="Q116" s="108">
        <v>15</v>
      </c>
      <c r="R116" s="108">
        <v>16</v>
      </c>
      <c r="S116" s="1"/>
      <c r="T116" s="1"/>
      <c r="U116" s="107"/>
      <c r="V116" s="1"/>
      <c r="W116" s="1"/>
      <c r="X116" s="1"/>
    </row>
    <row r="117" spans="1:25" ht="13.15" customHeight="1" x14ac:dyDescent="0.2">
      <c r="A117" s="136"/>
      <c r="B117" s="137" t="s">
        <v>648</v>
      </c>
      <c r="C117" s="19" t="s">
        <v>541</v>
      </c>
      <c r="D117" s="3"/>
      <c r="E117" s="3"/>
      <c r="F117" s="75" t="s">
        <v>542</v>
      </c>
      <c r="G117" s="38" t="s">
        <v>72</v>
      </c>
      <c r="H117" s="3"/>
      <c r="I117" s="3"/>
      <c r="J117" s="3"/>
      <c r="K117" s="3"/>
      <c r="L117" s="3"/>
      <c r="M117" s="3"/>
      <c r="N117" s="10"/>
      <c r="O117" s="18"/>
      <c r="Q117" s="108">
        <v>74</v>
      </c>
      <c r="R117" s="109">
        <v>200</v>
      </c>
      <c r="S117" s="1"/>
      <c r="T117" s="1"/>
      <c r="U117" s="1"/>
      <c r="V117" s="1"/>
      <c r="W117" s="1"/>
      <c r="X117" s="1"/>
    </row>
    <row r="118" spans="1:25" ht="14.25" customHeight="1" x14ac:dyDescent="0.2">
      <c r="A118" s="136"/>
      <c r="B118" s="138"/>
      <c r="C118" s="19" t="s">
        <v>543</v>
      </c>
      <c r="D118" s="3"/>
      <c r="E118" s="3"/>
      <c r="F118" s="38" t="s">
        <v>187</v>
      </c>
      <c r="G118" s="38" t="s">
        <v>186</v>
      </c>
      <c r="H118" s="75" t="s">
        <v>755</v>
      </c>
      <c r="I118" s="3"/>
      <c r="J118" s="3"/>
      <c r="K118" s="3"/>
      <c r="L118" s="3"/>
      <c r="M118" s="3"/>
      <c r="N118" s="13"/>
      <c r="O118" s="18"/>
      <c r="Q118" s="109">
        <v>349</v>
      </c>
      <c r="R118" s="109">
        <v>350</v>
      </c>
      <c r="S118" s="109">
        <v>203</v>
      </c>
      <c r="T118" s="1"/>
      <c r="U118" s="1"/>
      <c r="V118" s="1"/>
      <c r="W118" s="1"/>
      <c r="X118" s="1"/>
    </row>
    <row r="119" spans="1:25" x14ac:dyDescent="0.2">
      <c r="A119" s="136"/>
      <c r="B119" s="138"/>
      <c r="C119" s="19" t="s">
        <v>544</v>
      </c>
      <c r="D119" s="3"/>
      <c r="E119" s="3"/>
      <c r="F119" s="41" t="s">
        <v>184</v>
      </c>
      <c r="G119" s="3"/>
      <c r="H119" s="3"/>
      <c r="I119" s="3"/>
      <c r="J119" s="3"/>
      <c r="K119" s="3"/>
      <c r="L119" s="3"/>
      <c r="M119" s="3"/>
      <c r="N119" s="13"/>
      <c r="O119" s="18" t="s">
        <v>766</v>
      </c>
      <c r="Q119" s="109">
        <v>199</v>
      </c>
      <c r="R119" s="1"/>
      <c r="S119" s="1"/>
      <c r="T119" s="1"/>
      <c r="U119" s="1"/>
      <c r="V119" s="1"/>
      <c r="W119" s="1"/>
      <c r="X119" s="1"/>
    </row>
    <row r="120" spans="1:25" x14ac:dyDescent="0.2">
      <c r="A120" s="136"/>
      <c r="B120" s="138"/>
      <c r="C120" s="83" t="s">
        <v>955</v>
      </c>
      <c r="D120" s="3">
        <v>12350</v>
      </c>
      <c r="E120" s="3"/>
      <c r="F120" s="75" t="s">
        <v>957</v>
      </c>
      <c r="G120" s="3"/>
      <c r="H120" s="3"/>
      <c r="I120" s="3"/>
      <c r="J120" s="3"/>
      <c r="K120" s="3"/>
      <c r="L120" s="3"/>
      <c r="M120" s="3"/>
      <c r="N120" s="4"/>
      <c r="O120" s="18" t="s">
        <v>749</v>
      </c>
      <c r="Q120" s="109">
        <v>201</v>
      </c>
      <c r="R120" s="1"/>
      <c r="S120" s="1"/>
      <c r="T120" s="1"/>
      <c r="U120" s="1"/>
      <c r="V120" s="1"/>
      <c r="W120" s="1"/>
      <c r="X120" s="1"/>
    </row>
    <row r="121" spans="1:25" x14ac:dyDescent="0.2">
      <c r="A121" s="136"/>
      <c r="B121" s="138"/>
      <c r="C121" s="83" t="s">
        <v>956</v>
      </c>
      <c r="D121" s="3">
        <v>12350</v>
      </c>
      <c r="E121" s="3"/>
      <c r="F121" s="75" t="s">
        <v>958</v>
      </c>
      <c r="G121" s="3"/>
      <c r="H121" s="3"/>
      <c r="I121" s="3"/>
      <c r="J121" s="3"/>
      <c r="K121" s="3"/>
      <c r="L121" s="3"/>
      <c r="M121" s="3"/>
      <c r="N121" s="4"/>
      <c r="O121" s="18" t="s">
        <v>750</v>
      </c>
      <c r="Q121" s="109">
        <v>202</v>
      </c>
      <c r="R121" s="1"/>
      <c r="S121" s="1"/>
      <c r="T121" s="1"/>
      <c r="U121" s="1"/>
      <c r="V121" s="1"/>
      <c r="W121" s="1"/>
      <c r="X121" s="1"/>
    </row>
    <row r="122" spans="1:25" x14ac:dyDescent="0.2">
      <c r="A122" s="136"/>
      <c r="B122" s="138"/>
      <c r="C122" s="83" t="s">
        <v>676</v>
      </c>
      <c r="D122" s="3"/>
      <c r="E122" s="3"/>
      <c r="F122" s="40" t="s">
        <v>894</v>
      </c>
      <c r="G122" s="3"/>
      <c r="H122" s="3"/>
      <c r="I122" s="3"/>
      <c r="J122" s="3"/>
      <c r="K122" s="3"/>
      <c r="L122" s="3"/>
      <c r="M122" s="3"/>
      <c r="N122" s="4"/>
      <c r="O122" s="18"/>
      <c r="Q122" s="109">
        <v>521</v>
      </c>
      <c r="R122" s="1"/>
      <c r="S122" s="1"/>
      <c r="T122" s="1"/>
      <c r="U122" s="1"/>
      <c r="V122" s="1"/>
      <c r="W122" s="1"/>
      <c r="X122" s="1"/>
    </row>
    <row r="123" spans="1:25" x14ac:dyDescent="0.2">
      <c r="A123" s="136"/>
      <c r="B123" s="138"/>
      <c r="C123" s="19" t="s">
        <v>467</v>
      </c>
      <c r="D123" s="3"/>
      <c r="E123" s="3"/>
      <c r="F123" s="40" t="s">
        <v>56</v>
      </c>
      <c r="G123" s="40" t="s">
        <v>57</v>
      </c>
      <c r="H123" s="3"/>
      <c r="I123" s="3"/>
      <c r="J123" s="3"/>
      <c r="K123" s="3"/>
      <c r="L123" s="3"/>
      <c r="M123" s="3"/>
      <c r="N123" s="35"/>
      <c r="O123" s="18" t="s">
        <v>369</v>
      </c>
      <c r="Q123" s="109">
        <v>152</v>
      </c>
      <c r="R123" s="109">
        <v>153</v>
      </c>
      <c r="S123" s="1"/>
      <c r="T123" s="1"/>
      <c r="U123" s="1"/>
      <c r="V123" s="1"/>
      <c r="W123" s="1"/>
      <c r="X123" s="1"/>
    </row>
    <row r="124" spans="1:25" x14ac:dyDescent="0.2">
      <c r="A124" s="136"/>
      <c r="B124" s="138"/>
      <c r="C124" s="19" t="s">
        <v>468</v>
      </c>
      <c r="D124" s="3"/>
      <c r="E124" s="3"/>
      <c r="F124" s="75" t="s">
        <v>56</v>
      </c>
      <c r="G124" s="75" t="s">
        <v>57</v>
      </c>
      <c r="H124" s="3"/>
      <c r="I124" s="3"/>
      <c r="J124" s="3"/>
      <c r="K124" s="3"/>
      <c r="L124" s="3"/>
      <c r="M124" s="3"/>
      <c r="N124" s="10"/>
      <c r="O124" s="18" t="s">
        <v>799</v>
      </c>
      <c r="Q124" s="109">
        <v>158</v>
      </c>
      <c r="R124" s="109">
        <v>159</v>
      </c>
      <c r="S124" s="1"/>
      <c r="T124" s="1"/>
      <c r="U124" s="1"/>
      <c r="V124" s="1"/>
      <c r="W124" s="1"/>
      <c r="X124" s="1"/>
    </row>
    <row r="125" spans="1:25" x14ac:dyDescent="0.2">
      <c r="A125" s="136"/>
      <c r="B125" s="138"/>
      <c r="C125" s="19" t="s">
        <v>405</v>
      </c>
      <c r="D125" s="3"/>
      <c r="E125" s="3"/>
      <c r="F125" s="75" t="s">
        <v>58</v>
      </c>
      <c r="G125" s="40" t="s">
        <v>59</v>
      </c>
      <c r="H125" s="40" t="s">
        <v>60</v>
      </c>
      <c r="I125" s="40" t="s">
        <v>61</v>
      </c>
      <c r="J125" s="23" t="s">
        <v>438</v>
      </c>
      <c r="K125" s="3"/>
      <c r="L125" s="3"/>
      <c r="M125" s="3"/>
      <c r="N125" s="13"/>
      <c r="O125" s="18"/>
      <c r="Q125" s="109">
        <v>154</v>
      </c>
      <c r="R125" s="109">
        <v>155</v>
      </c>
      <c r="S125" s="109">
        <v>156</v>
      </c>
      <c r="T125" s="109">
        <v>157</v>
      </c>
      <c r="U125" s="109">
        <v>432</v>
      </c>
      <c r="V125" s="1"/>
      <c r="W125" s="1"/>
      <c r="X125" s="1"/>
    </row>
    <row r="126" spans="1:25" ht="12.75" customHeight="1" x14ac:dyDescent="0.2">
      <c r="A126" s="141" t="s">
        <v>13</v>
      </c>
      <c r="B126" s="137" t="s">
        <v>648</v>
      </c>
      <c r="C126" s="19" t="s">
        <v>783</v>
      </c>
      <c r="D126" s="3"/>
      <c r="E126" s="3"/>
      <c r="F126" s="40" t="s">
        <v>56</v>
      </c>
      <c r="G126" s="40" t="s">
        <v>57</v>
      </c>
      <c r="H126" s="3"/>
      <c r="I126" s="3"/>
      <c r="J126" s="3"/>
      <c r="K126" s="3"/>
      <c r="L126" s="3"/>
      <c r="M126" s="3"/>
      <c r="N126" s="13"/>
      <c r="O126" s="18" t="s">
        <v>731</v>
      </c>
      <c r="Q126" s="111">
        <v>377</v>
      </c>
      <c r="R126" s="111">
        <v>378</v>
      </c>
      <c r="S126" s="1"/>
      <c r="T126" s="1"/>
      <c r="U126" s="1"/>
      <c r="V126" s="1"/>
      <c r="W126" s="1"/>
      <c r="X126" s="1"/>
    </row>
    <row r="127" spans="1:25" ht="12.75" customHeight="1" x14ac:dyDescent="0.2">
      <c r="A127" s="142"/>
      <c r="B127" s="139"/>
      <c r="C127" s="19" t="s">
        <v>784</v>
      </c>
      <c r="D127" s="3"/>
      <c r="E127" s="3"/>
      <c r="F127" s="75" t="s">
        <v>56</v>
      </c>
      <c r="G127" s="75" t="s">
        <v>57</v>
      </c>
      <c r="H127" s="3"/>
      <c r="I127" s="3"/>
      <c r="J127" s="3"/>
      <c r="K127" s="3"/>
      <c r="L127" s="3"/>
      <c r="M127" s="3"/>
      <c r="N127" s="13"/>
      <c r="O127" s="18" t="s">
        <v>731</v>
      </c>
      <c r="Q127" s="111">
        <v>164</v>
      </c>
      <c r="R127" s="111">
        <v>165</v>
      </c>
      <c r="S127" s="1"/>
      <c r="T127" s="1"/>
      <c r="U127" s="1"/>
      <c r="V127" s="1"/>
      <c r="W127" s="1"/>
      <c r="X127" s="1"/>
    </row>
    <row r="128" spans="1:25" ht="13.15" customHeight="1" x14ac:dyDescent="0.2">
      <c r="A128" s="142"/>
      <c r="B128" s="143" t="s">
        <v>13</v>
      </c>
      <c r="C128" s="19" t="s">
        <v>521</v>
      </c>
      <c r="D128" s="3"/>
      <c r="E128" s="3"/>
      <c r="F128" s="38" t="s">
        <v>323</v>
      </c>
      <c r="G128" s="38" t="s">
        <v>324</v>
      </c>
      <c r="H128" s="38" t="s">
        <v>325</v>
      </c>
      <c r="I128" s="3"/>
      <c r="J128" s="3"/>
      <c r="K128" s="3"/>
      <c r="L128" s="3"/>
      <c r="M128" s="3"/>
      <c r="N128" s="10"/>
      <c r="O128" s="18" t="s">
        <v>866</v>
      </c>
      <c r="Q128" s="109">
        <v>17</v>
      </c>
      <c r="R128" s="112">
        <v>428</v>
      </c>
      <c r="S128" s="112">
        <v>429</v>
      </c>
      <c r="T128" s="1"/>
      <c r="U128" s="1"/>
      <c r="V128" s="1"/>
      <c r="W128" s="1"/>
      <c r="X128" s="1"/>
    </row>
    <row r="129" spans="1:24" x14ac:dyDescent="0.2">
      <c r="A129" s="142"/>
      <c r="B129" s="143"/>
      <c r="C129" s="19" t="s">
        <v>522</v>
      </c>
      <c r="D129" s="3"/>
      <c r="E129" s="3"/>
      <c r="F129" s="38" t="s">
        <v>326</v>
      </c>
      <c r="G129" s="38" t="s">
        <v>327</v>
      </c>
      <c r="H129" s="38" t="s">
        <v>328</v>
      </c>
      <c r="I129" s="3"/>
      <c r="J129" s="3"/>
      <c r="K129" s="3"/>
      <c r="L129" s="3"/>
      <c r="M129" s="3"/>
      <c r="N129" s="13"/>
      <c r="O129" s="18" t="s">
        <v>867</v>
      </c>
      <c r="Q129" s="112">
        <v>20</v>
      </c>
      <c r="R129" s="109">
        <v>430</v>
      </c>
      <c r="S129" s="112">
        <v>431</v>
      </c>
      <c r="T129" s="1"/>
      <c r="U129" s="1"/>
      <c r="V129" s="1"/>
      <c r="W129" s="1"/>
      <c r="X129" s="1"/>
    </row>
    <row r="130" spans="1:24" ht="15.95" customHeight="1" x14ac:dyDescent="0.2">
      <c r="A130" s="142"/>
      <c r="B130" s="143"/>
      <c r="C130" s="19" t="s">
        <v>524</v>
      </c>
      <c r="D130" s="3"/>
      <c r="E130" s="3"/>
      <c r="F130" s="38" t="s">
        <v>523</v>
      </c>
      <c r="G130" s="3"/>
      <c r="H130" s="3"/>
      <c r="I130" s="3"/>
      <c r="J130" s="3"/>
      <c r="K130" s="3"/>
      <c r="L130" s="3"/>
      <c r="M130" s="3"/>
      <c r="N130" s="10"/>
      <c r="O130" s="18"/>
      <c r="Q130" s="109">
        <v>310</v>
      </c>
      <c r="R130" s="1"/>
      <c r="S130" s="1"/>
      <c r="T130" s="1"/>
      <c r="U130" s="1"/>
      <c r="V130" s="1"/>
      <c r="W130" s="1"/>
      <c r="X130" s="1"/>
    </row>
    <row r="131" spans="1:24" ht="15.95" customHeight="1" x14ac:dyDescent="0.2">
      <c r="A131" s="142"/>
      <c r="B131" s="143"/>
      <c r="C131" s="19" t="s">
        <v>725</v>
      </c>
      <c r="D131" s="3"/>
      <c r="E131" s="3"/>
      <c r="F131" s="40" t="s">
        <v>895</v>
      </c>
      <c r="G131" s="3"/>
      <c r="H131" s="3"/>
      <c r="I131" s="3"/>
      <c r="J131" s="3"/>
      <c r="K131" s="3"/>
      <c r="L131" s="3"/>
      <c r="M131" s="3"/>
      <c r="N131" s="10"/>
      <c r="O131" s="18" t="s">
        <v>729</v>
      </c>
      <c r="Q131" s="109">
        <v>555</v>
      </c>
      <c r="R131" s="1"/>
      <c r="S131" s="1"/>
      <c r="T131" s="1"/>
      <c r="U131" s="1"/>
      <c r="V131" s="1"/>
      <c r="W131" s="1"/>
      <c r="X131" s="1"/>
    </row>
    <row r="132" spans="1:24" ht="15.95" customHeight="1" x14ac:dyDescent="0.2">
      <c r="A132" s="142"/>
      <c r="B132" s="143"/>
      <c r="C132" s="19" t="s">
        <v>730</v>
      </c>
      <c r="D132" s="3"/>
      <c r="E132" s="3"/>
      <c r="F132" s="40" t="s">
        <v>896</v>
      </c>
      <c r="G132" s="3"/>
      <c r="H132" s="3"/>
      <c r="I132" s="3"/>
      <c r="J132" s="3"/>
      <c r="K132" s="3"/>
      <c r="L132" s="3"/>
      <c r="M132" s="3"/>
      <c r="N132" s="10"/>
      <c r="O132" s="18" t="s">
        <v>786</v>
      </c>
      <c r="Q132" s="109">
        <v>558</v>
      </c>
      <c r="R132" s="1"/>
      <c r="S132" s="1"/>
      <c r="T132" s="1"/>
      <c r="U132" s="1"/>
      <c r="V132" s="1"/>
      <c r="W132" s="1"/>
      <c r="X132" s="1"/>
    </row>
    <row r="133" spans="1:24" ht="15.95" customHeight="1" x14ac:dyDescent="0.2">
      <c r="A133" s="142"/>
      <c r="B133" s="143"/>
      <c r="C133" s="19" t="s">
        <v>728</v>
      </c>
      <c r="D133" s="3"/>
      <c r="E133" s="3"/>
      <c r="F133" s="75" t="s">
        <v>930</v>
      </c>
      <c r="G133" s="75" t="s">
        <v>800</v>
      </c>
      <c r="H133" s="3"/>
      <c r="I133" s="3"/>
      <c r="J133" s="3"/>
      <c r="K133" s="3"/>
      <c r="L133" s="3"/>
      <c r="M133" s="3"/>
      <c r="N133" s="10"/>
      <c r="O133" s="18"/>
      <c r="Q133" s="109">
        <v>559</v>
      </c>
      <c r="R133" s="109">
        <v>172</v>
      </c>
      <c r="S133" s="1"/>
      <c r="T133" s="1"/>
      <c r="U133" s="1"/>
      <c r="V133" s="1"/>
      <c r="W133" s="1"/>
      <c r="X133" s="1"/>
    </row>
    <row r="134" spans="1:24" ht="15.95" customHeight="1" x14ac:dyDescent="0.2">
      <c r="A134" s="142"/>
      <c r="B134" s="143"/>
      <c r="C134" s="19" t="s">
        <v>931</v>
      </c>
      <c r="D134" s="3"/>
      <c r="E134" s="3" t="s">
        <v>35</v>
      </c>
      <c r="F134" s="75" t="s">
        <v>932</v>
      </c>
      <c r="G134" s="3"/>
      <c r="H134" s="3"/>
      <c r="I134" s="3"/>
      <c r="J134" s="3"/>
      <c r="K134" s="3"/>
      <c r="L134" s="3"/>
      <c r="M134" s="3"/>
      <c r="N134" s="10"/>
      <c r="O134" s="18"/>
      <c r="Q134" s="109">
        <v>251</v>
      </c>
      <c r="R134" s="1"/>
      <c r="S134" s="1"/>
      <c r="T134" s="1"/>
      <c r="U134" s="1"/>
      <c r="V134" s="1"/>
      <c r="W134" s="1"/>
      <c r="X134" s="1"/>
    </row>
    <row r="135" spans="1:24" ht="15.95" customHeight="1" x14ac:dyDescent="0.2">
      <c r="A135" s="142"/>
      <c r="B135" s="143"/>
      <c r="C135" s="19" t="s">
        <v>400</v>
      </c>
      <c r="D135" s="3"/>
      <c r="E135" s="3"/>
      <c r="F135" s="75" t="s">
        <v>724</v>
      </c>
      <c r="G135" s="3"/>
      <c r="H135" s="3"/>
      <c r="I135" s="3"/>
      <c r="J135" s="3"/>
      <c r="K135" s="3"/>
      <c r="L135" s="3"/>
      <c r="M135" s="3"/>
      <c r="N135" s="10"/>
      <c r="O135" s="18"/>
      <c r="Q135" s="110">
        <v>375</v>
      </c>
      <c r="R135" s="1"/>
      <c r="S135" s="1"/>
      <c r="T135" s="1"/>
      <c r="U135" s="1"/>
      <c r="V135" s="1"/>
      <c r="W135" s="1"/>
      <c r="X135" s="1"/>
    </row>
    <row r="136" spans="1:24" ht="15.95" customHeight="1" x14ac:dyDescent="0.2">
      <c r="A136" s="142"/>
      <c r="B136" s="143"/>
      <c r="C136" s="19" t="s">
        <v>525</v>
      </c>
      <c r="D136" s="3"/>
      <c r="E136" s="3"/>
      <c r="F136" s="75" t="s">
        <v>526</v>
      </c>
      <c r="G136" s="75" t="s">
        <v>527</v>
      </c>
      <c r="H136" s="40" t="s">
        <v>399</v>
      </c>
      <c r="I136" s="3"/>
      <c r="J136" s="3"/>
      <c r="K136" s="3"/>
      <c r="L136" s="3"/>
      <c r="M136" s="3"/>
      <c r="N136" s="10"/>
      <c r="O136" s="18"/>
      <c r="Q136" s="110">
        <v>383</v>
      </c>
      <c r="R136" s="112">
        <v>196</v>
      </c>
      <c r="S136" s="109">
        <v>433</v>
      </c>
      <c r="T136" s="1"/>
      <c r="U136" s="1"/>
      <c r="V136" s="1"/>
      <c r="W136" s="1"/>
      <c r="X136" s="1"/>
    </row>
    <row r="137" spans="1:24" ht="15.95" customHeight="1" x14ac:dyDescent="0.2">
      <c r="A137" s="142"/>
      <c r="B137" s="143"/>
      <c r="C137" s="19" t="s">
        <v>855</v>
      </c>
      <c r="D137" s="3"/>
      <c r="E137" s="3" t="s">
        <v>689</v>
      </c>
      <c r="F137" s="75" t="s">
        <v>897</v>
      </c>
      <c r="G137" s="3"/>
      <c r="H137" s="3"/>
      <c r="I137" s="3"/>
      <c r="J137" s="3"/>
      <c r="K137" s="3"/>
      <c r="L137" s="3"/>
      <c r="M137" s="3"/>
      <c r="N137" s="10"/>
      <c r="O137" s="18"/>
      <c r="Q137" s="110">
        <v>194</v>
      </c>
      <c r="R137" s="1"/>
      <c r="S137" s="1"/>
      <c r="T137" s="1"/>
      <c r="U137" s="1"/>
      <c r="V137" s="1"/>
      <c r="W137" s="1"/>
      <c r="X137" s="1"/>
    </row>
    <row r="138" spans="1:24" ht="15.95" customHeight="1" x14ac:dyDescent="0.2">
      <c r="A138" s="142"/>
      <c r="B138" s="143"/>
      <c r="C138" s="19" t="s">
        <v>855</v>
      </c>
      <c r="D138" s="3"/>
      <c r="E138" s="3" t="s">
        <v>35</v>
      </c>
      <c r="F138" s="75" t="s">
        <v>897</v>
      </c>
      <c r="G138" s="3"/>
      <c r="H138" s="3"/>
      <c r="I138" s="3"/>
      <c r="J138" s="3"/>
      <c r="K138" s="3"/>
      <c r="L138" s="3"/>
      <c r="M138" s="3"/>
      <c r="N138" s="10"/>
      <c r="O138" s="18"/>
      <c r="Q138" s="110">
        <v>194</v>
      </c>
      <c r="R138" s="1"/>
      <c r="S138" s="1"/>
      <c r="T138" s="1"/>
      <c r="U138" s="1"/>
      <c r="V138" s="1"/>
      <c r="W138" s="1"/>
      <c r="X138" s="1"/>
    </row>
    <row r="139" spans="1:24" ht="15.95" customHeight="1" x14ac:dyDescent="0.2">
      <c r="A139" s="142"/>
      <c r="B139" s="143"/>
      <c r="C139" s="19" t="s">
        <v>528</v>
      </c>
      <c r="D139" s="3"/>
      <c r="E139" s="3"/>
      <c r="F139" s="75" t="s">
        <v>529</v>
      </c>
      <c r="G139" s="3"/>
      <c r="H139" s="3"/>
      <c r="I139" s="3"/>
      <c r="J139" s="3"/>
      <c r="K139" s="3"/>
      <c r="L139" s="3"/>
      <c r="M139" s="3"/>
      <c r="N139" s="10"/>
      <c r="O139" s="18"/>
      <c r="Q139" s="109">
        <v>48</v>
      </c>
      <c r="R139" s="1"/>
      <c r="S139" s="1"/>
      <c r="T139" s="1"/>
      <c r="U139" s="1"/>
      <c r="V139" s="1"/>
      <c r="W139" s="1"/>
      <c r="X139" s="1"/>
    </row>
    <row r="140" spans="1:24" x14ac:dyDescent="0.2">
      <c r="A140" s="142"/>
      <c r="B140" s="143"/>
      <c r="C140" s="19" t="s">
        <v>845</v>
      </c>
      <c r="D140" s="3"/>
      <c r="E140" s="3"/>
      <c r="F140" s="77" t="s">
        <v>846</v>
      </c>
      <c r="G140" s="77" t="s">
        <v>844</v>
      </c>
      <c r="H140" s="77" t="s">
        <v>843</v>
      </c>
      <c r="I140" s="3"/>
      <c r="J140" s="3"/>
      <c r="K140" s="3"/>
      <c r="L140" s="3"/>
      <c r="M140" s="3"/>
      <c r="N140" s="13"/>
      <c r="O140" s="18"/>
      <c r="Q140" s="109">
        <v>308</v>
      </c>
      <c r="R140" s="112">
        <v>309</v>
      </c>
      <c r="S140" s="111">
        <v>139</v>
      </c>
      <c r="T140" s="1"/>
      <c r="U140" s="1"/>
      <c r="V140" s="1"/>
      <c r="W140" s="1"/>
      <c r="X140" s="1"/>
    </row>
    <row r="141" spans="1:24" x14ac:dyDescent="0.2">
      <c r="A141" s="142"/>
      <c r="B141" s="143"/>
      <c r="C141" s="19" t="s">
        <v>331</v>
      </c>
      <c r="D141" s="3"/>
      <c r="E141" s="3"/>
      <c r="F141" s="17" t="s">
        <v>363</v>
      </c>
      <c r="G141" s="36" t="s">
        <v>332</v>
      </c>
      <c r="H141" s="36" t="s">
        <v>333</v>
      </c>
      <c r="I141" s="43" t="s">
        <v>334</v>
      </c>
      <c r="J141" s="3"/>
      <c r="K141" s="3"/>
      <c r="L141" s="3"/>
      <c r="M141" s="3"/>
      <c r="N141" s="13"/>
      <c r="O141" s="18"/>
      <c r="Q141" s="112">
        <v>77</v>
      </c>
      <c r="R141" s="112">
        <v>57</v>
      </c>
      <c r="S141" s="112">
        <v>92</v>
      </c>
      <c r="T141" s="109">
        <v>23</v>
      </c>
      <c r="U141" s="107"/>
      <c r="V141" s="107"/>
      <c r="W141" s="107"/>
      <c r="X141" s="1"/>
    </row>
    <row r="142" spans="1:24" x14ac:dyDescent="0.2">
      <c r="A142" s="142"/>
      <c r="B142" s="143"/>
      <c r="C142" s="19" t="s">
        <v>536</v>
      </c>
      <c r="D142" s="3"/>
      <c r="E142" s="3"/>
      <c r="F142" s="41" t="s">
        <v>539</v>
      </c>
      <c r="G142" s="77" t="s">
        <v>538</v>
      </c>
      <c r="H142" s="75" t="s">
        <v>540</v>
      </c>
      <c r="I142" s="3"/>
      <c r="J142" s="3"/>
      <c r="K142" s="3"/>
      <c r="L142" s="3"/>
      <c r="M142" s="3"/>
      <c r="N142" s="4"/>
      <c r="O142" s="18" t="s">
        <v>906</v>
      </c>
      <c r="Q142" s="109">
        <v>418</v>
      </c>
      <c r="R142" s="109">
        <v>99</v>
      </c>
      <c r="S142" s="109">
        <v>321</v>
      </c>
      <c r="T142" s="1"/>
      <c r="U142" s="1"/>
      <c r="V142" s="1"/>
      <c r="W142" s="1"/>
      <c r="X142" s="1"/>
    </row>
    <row r="143" spans="1:24" ht="13.15" customHeight="1" x14ac:dyDescent="0.2">
      <c r="A143" s="142"/>
      <c r="B143" s="138" t="s">
        <v>41</v>
      </c>
      <c r="C143" s="19" t="s">
        <v>785</v>
      </c>
      <c r="D143" s="3"/>
      <c r="E143" s="3"/>
      <c r="F143" s="75" t="s">
        <v>898</v>
      </c>
      <c r="G143" s="3"/>
      <c r="H143" s="3"/>
      <c r="I143" s="3"/>
      <c r="J143" s="3"/>
      <c r="K143" s="3"/>
      <c r="L143" s="3"/>
      <c r="M143" s="3"/>
      <c r="N143" s="35"/>
      <c r="O143" s="18"/>
      <c r="Q143" s="110">
        <v>222</v>
      </c>
      <c r="R143" s="1"/>
      <c r="S143" s="1"/>
      <c r="T143" s="107"/>
      <c r="U143" s="1"/>
      <c r="V143" s="1"/>
      <c r="W143" s="1"/>
      <c r="X143" s="1"/>
    </row>
    <row r="144" spans="1:24" ht="13.15" customHeight="1" x14ac:dyDescent="0.2">
      <c r="A144" s="142"/>
      <c r="B144" s="138"/>
      <c r="C144" s="19" t="s">
        <v>485</v>
      </c>
      <c r="D144" s="3"/>
      <c r="E144" s="3" t="s">
        <v>624</v>
      </c>
      <c r="F144" s="75" t="s">
        <v>899</v>
      </c>
      <c r="G144" s="3"/>
      <c r="H144" s="3"/>
      <c r="I144" s="3"/>
      <c r="J144" s="3"/>
      <c r="K144" s="3"/>
      <c r="L144" s="3"/>
      <c r="M144" s="3"/>
      <c r="N144" s="35"/>
      <c r="O144" s="18"/>
      <c r="Q144" s="110">
        <v>324</v>
      </c>
      <c r="R144" s="1"/>
      <c r="S144" s="1"/>
      <c r="T144" s="107"/>
      <c r="U144" s="1"/>
      <c r="V144" s="1"/>
      <c r="W144" s="1"/>
      <c r="X144" s="1"/>
    </row>
    <row r="145" spans="1:24" ht="13.15" customHeight="1" x14ac:dyDescent="0.2">
      <c r="A145" s="142"/>
      <c r="B145" s="138"/>
      <c r="C145" s="19" t="s">
        <v>485</v>
      </c>
      <c r="D145" s="3"/>
      <c r="E145" s="3" t="s">
        <v>634</v>
      </c>
      <c r="F145" s="75" t="s">
        <v>899</v>
      </c>
      <c r="G145" s="3"/>
      <c r="H145" s="3"/>
      <c r="I145" s="3"/>
      <c r="J145" s="3"/>
      <c r="K145" s="3"/>
      <c r="L145" s="3"/>
      <c r="M145" s="3"/>
      <c r="N145" s="35"/>
      <c r="O145" s="18"/>
      <c r="Q145" s="110">
        <v>324</v>
      </c>
      <c r="R145" s="1"/>
      <c r="S145" s="1"/>
      <c r="T145" s="107"/>
      <c r="U145" s="1"/>
      <c r="V145" s="1"/>
      <c r="W145" s="1"/>
      <c r="X145" s="1"/>
    </row>
    <row r="146" spans="1:24" ht="13.15" customHeight="1" x14ac:dyDescent="0.2">
      <c r="A146" s="142"/>
      <c r="B146" s="138"/>
      <c r="C146" s="19" t="s">
        <v>485</v>
      </c>
      <c r="D146" s="3"/>
      <c r="E146" s="3" t="s">
        <v>635</v>
      </c>
      <c r="F146" s="41" t="s">
        <v>899</v>
      </c>
      <c r="G146" s="3"/>
      <c r="H146" s="3"/>
      <c r="I146" s="3"/>
      <c r="J146" s="3"/>
      <c r="K146" s="3"/>
      <c r="L146" s="3"/>
      <c r="M146" s="3"/>
      <c r="N146" s="35"/>
      <c r="O146" s="18"/>
      <c r="Q146" s="110">
        <v>324</v>
      </c>
      <c r="R146" s="1"/>
      <c r="S146" s="1"/>
      <c r="T146" s="107"/>
      <c r="U146" s="1"/>
      <c r="V146" s="1"/>
      <c r="W146" s="1"/>
      <c r="X146" s="1"/>
    </row>
    <row r="147" spans="1:24" x14ac:dyDescent="0.2">
      <c r="A147" s="142"/>
      <c r="B147" s="138"/>
      <c r="C147" s="19" t="s">
        <v>484</v>
      </c>
      <c r="D147" s="3"/>
      <c r="E147" s="3"/>
      <c r="F147" s="41" t="s">
        <v>900</v>
      </c>
      <c r="G147" s="3"/>
      <c r="H147" s="3"/>
      <c r="I147" s="3"/>
      <c r="J147" s="3"/>
      <c r="K147" s="3"/>
      <c r="L147" s="3"/>
      <c r="M147" s="3"/>
      <c r="N147" s="35"/>
      <c r="O147" s="34" t="s">
        <v>203</v>
      </c>
      <c r="Q147" s="107">
        <v>325</v>
      </c>
      <c r="R147" s="1"/>
      <c r="S147" s="107"/>
      <c r="T147" s="107"/>
      <c r="U147" s="107"/>
      <c r="V147" s="107"/>
      <c r="W147" s="1"/>
      <c r="X147" s="1"/>
    </row>
    <row r="148" spans="1:24" x14ac:dyDescent="0.2">
      <c r="A148" s="142"/>
      <c r="B148" s="138"/>
      <c r="C148" s="19" t="s">
        <v>514</v>
      </c>
      <c r="D148" s="3"/>
      <c r="E148" s="3"/>
      <c r="F148" s="41" t="s">
        <v>900</v>
      </c>
      <c r="G148" s="3"/>
      <c r="H148" s="3"/>
      <c r="I148" s="3"/>
      <c r="J148" s="3"/>
      <c r="K148" s="3"/>
      <c r="L148" s="3"/>
      <c r="M148" s="3"/>
      <c r="N148" s="35"/>
      <c r="O148" s="18" t="s">
        <v>203</v>
      </c>
      <c r="Q148" s="107">
        <v>326</v>
      </c>
      <c r="R148" s="107"/>
      <c r="S148" s="107"/>
      <c r="T148" s="107"/>
      <c r="U148" s="107"/>
      <c r="V148" s="107"/>
      <c r="W148" s="1"/>
      <c r="X148" s="1"/>
    </row>
    <row r="149" spans="1:24" x14ac:dyDescent="0.2">
      <c r="A149" s="142"/>
      <c r="B149" s="138"/>
      <c r="C149" s="19" t="s">
        <v>483</v>
      </c>
      <c r="D149" s="3"/>
      <c r="E149" s="3"/>
      <c r="F149" s="40" t="s">
        <v>40</v>
      </c>
      <c r="G149" s="3"/>
      <c r="H149" s="3"/>
      <c r="I149" s="3"/>
      <c r="J149" s="3"/>
      <c r="K149" s="3"/>
      <c r="L149" s="3"/>
      <c r="M149" s="3"/>
      <c r="N149" s="10"/>
      <c r="O149" s="18"/>
      <c r="Q149" s="109">
        <v>84</v>
      </c>
      <c r="R149" s="1"/>
      <c r="S149" s="1"/>
      <c r="T149" s="1"/>
      <c r="U149" s="1"/>
      <c r="V149" s="1"/>
      <c r="W149" s="1"/>
      <c r="X149" s="1"/>
    </row>
    <row r="150" spans="1:24" x14ac:dyDescent="0.2">
      <c r="A150" s="142"/>
      <c r="B150" s="138"/>
      <c r="C150" s="19" t="s">
        <v>483</v>
      </c>
      <c r="D150" s="3"/>
      <c r="E150" s="3" t="s">
        <v>622</v>
      </c>
      <c r="F150" s="75" t="s">
        <v>175</v>
      </c>
      <c r="G150" s="3"/>
      <c r="H150" s="3"/>
      <c r="I150" s="3"/>
      <c r="J150" s="3"/>
      <c r="K150" s="3"/>
      <c r="L150" s="3"/>
      <c r="M150" s="3"/>
      <c r="N150" s="10"/>
      <c r="O150" s="18"/>
      <c r="Q150" s="112">
        <v>85</v>
      </c>
      <c r="R150" s="1"/>
      <c r="S150" s="1"/>
      <c r="T150" s="1"/>
      <c r="U150" s="1"/>
      <c r="V150" s="1"/>
      <c r="W150" s="1"/>
      <c r="X150" s="1"/>
    </row>
    <row r="151" spans="1:24" x14ac:dyDescent="0.2">
      <c r="A151" s="142"/>
      <c r="B151" s="138"/>
      <c r="C151" s="19" t="s">
        <v>483</v>
      </c>
      <c r="D151" s="3"/>
      <c r="E151" s="3" t="s">
        <v>623</v>
      </c>
      <c r="F151" s="75" t="s">
        <v>175</v>
      </c>
      <c r="G151" s="3"/>
      <c r="H151" s="3"/>
      <c r="I151" s="3"/>
      <c r="J151" s="3"/>
      <c r="K151" s="3"/>
      <c r="L151" s="3"/>
      <c r="M151" s="3"/>
      <c r="N151" s="10"/>
      <c r="O151" s="18"/>
      <c r="Q151" s="112">
        <v>85</v>
      </c>
      <c r="R151" s="1"/>
      <c r="S151" s="1"/>
      <c r="T151" s="1"/>
      <c r="U151" s="1"/>
      <c r="V151" s="1"/>
      <c r="W151" s="1"/>
      <c r="X151" s="1"/>
    </row>
    <row r="152" spans="1:24" x14ac:dyDescent="0.2">
      <c r="A152" s="142"/>
      <c r="B152" s="138"/>
      <c r="C152" s="19" t="s">
        <v>513</v>
      </c>
      <c r="D152" s="3"/>
      <c r="E152" s="3"/>
      <c r="F152" s="40" t="s">
        <v>40</v>
      </c>
      <c r="G152" s="3"/>
      <c r="H152" s="3"/>
      <c r="I152" s="3"/>
      <c r="J152" s="3"/>
      <c r="K152" s="3"/>
      <c r="L152" s="3"/>
      <c r="M152" s="3"/>
      <c r="N152" s="10"/>
      <c r="O152" s="18"/>
      <c r="Q152" s="109">
        <v>481</v>
      </c>
      <c r="R152" s="1"/>
      <c r="S152" s="1"/>
      <c r="T152" s="1"/>
      <c r="U152" s="1"/>
      <c r="V152" s="1"/>
      <c r="W152" s="1"/>
      <c r="X152" s="1"/>
    </row>
    <row r="153" spans="1:24" x14ac:dyDescent="0.2">
      <c r="A153" s="142"/>
      <c r="B153" s="138"/>
      <c r="C153" s="19" t="s">
        <v>513</v>
      </c>
      <c r="D153" s="3"/>
      <c r="E153" s="3" t="s">
        <v>622</v>
      </c>
      <c r="F153" s="75" t="s">
        <v>175</v>
      </c>
      <c r="G153" s="3"/>
      <c r="H153" s="3"/>
      <c r="I153" s="3"/>
      <c r="J153" s="3"/>
      <c r="K153" s="3"/>
      <c r="L153" s="3"/>
      <c r="M153" s="3"/>
      <c r="N153" s="10"/>
      <c r="O153" s="18"/>
      <c r="Q153" s="109">
        <v>482</v>
      </c>
      <c r="R153" s="1"/>
      <c r="S153" s="1"/>
      <c r="T153" s="1"/>
      <c r="U153" s="1"/>
      <c r="V153" s="1"/>
      <c r="W153" s="1"/>
      <c r="X153" s="1"/>
    </row>
    <row r="154" spans="1:24" x14ac:dyDescent="0.2">
      <c r="A154" s="142"/>
      <c r="B154" s="138"/>
      <c r="C154" s="19" t="s">
        <v>513</v>
      </c>
      <c r="D154" s="3"/>
      <c r="E154" s="3" t="s">
        <v>623</v>
      </c>
      <c r="F154" s="75" t="s">
        <v>175</v>
      </c>
      <c r="G154" s="3"/>
      <c r="H154" s="3"/>
      <c r="I154" s="3"/>
      <c r="J154" s="3"/>
      <c r="K154" s="3"/>
      <c r="L154" s="3"/>
      <c r="M154" s="3"/>
      <c r="N154" s="10"/>
      <c r="O154" s="18"/>
      <c r="Q154" s="109">
        <v>482</v>
      </c>
      <c r="R154" s="1"/>
      <c r="S154" s="1"/>
      <c r="T154" s="1"/>
      <c r="U154" s="1"/>
      <c r="V154" s="1"/>
      <c r="W154" s="1"/>
      <c r="X154" s="1"/>
    </row>
    <row r="155" spans="1:24" x14ac:dyDescent="0.2">
      <c r="A155" s="142"/>
      <c r="B155" s="138"/>
      <c r="C155" s="19" t="s">
        <v>856</v>
      </c>
      <c r="D155" s="3"/>
      <c r="E155" s="3" t="s">
        <v>624</v>
      </c>
      <c r="F155" s="4" t="s">
        <v>98</v>
      </c>
      <c r="G155" s="4" t="s">
        <v>199</v>
      </c>
      <c r="H155" s="4" t="s">
        <v>777</v>
      </c>
      <c r="I155" s="40" t="s">
        <v>39</v>
      </c>
      <c r="J155" s="75" t="s">
        <v>981</v>
      </c>
      <c r="K155" s="75" t="s">
        <v>776</v>
      </c>
      <c r="L155" s="3"/>
      <c r="M155" s="3"/>
      <c r="N155" s="13"/>
      <c r="O155" s="18" t="s">
        <v>858</v>
      </c>
      <c r="Q155" s="109">
        <v>248</v>
      </c>
      <c r="R155" s="109">
        <v>376</v>
      </c>
      <c r="S155" s="109">
        <v>249</v>
      </c>
      <c r="T155" s="109">
        <v>316</v>
      </c>
      <c r="U155" s="109">
        <v>385</v>
      </c>
      <c r="V155" s="109">
        <v>250</v>
      </c>
      <c r="W155" s="1"/>
    </row>
    <row r="156" spans="1:24" x14ac:dyDescent="0.2">
      <c r="A156" s="142"/>
      <c r="B156" s="138"/>
      <c r="C156" s="19" t="s">
        <v>856</v>
      </c>
      <c r="D156" s="3"/>
      <c r="E156" s="3" t="s">
        <v>693</v>
      </c>
      <c r="F156" s="4" t="s">
        <v>98</v>
      </c>
      <c r="G156" s="4" t="s">
        <v>199</v>
      </c>
      <c r="H156" s="4" t="s">
        <v>777</v>
      </c>
      <c r="I156" s="40" t="s">
        <v>39</v>
      </c>
      <c r="J156" s="75" t="s">
        <v>981</v>
      </c>
      <c r="K156" s="4" t="s">
        <v>776</v>
      </c>
      <c r="L156" s="3"/>
      <c r="M156" s="3"/>
      <c r="N156" s="13"/>
      <c r="O156" s="18" t="s">
        <v>858</v>
      </c>
      <c r="Q156" s="109">
        <v>248</v>
      </c>
      <c r="R156" s="109">
        <v>376</v>
      </c>
      <c r="S156" s="109">
        <v>249</v>
      </c>
      <c r="T156" s="109">
        <v>316</v>
      </c>
      <c r="U156" s="109">
        <v>385</v>
      </c>
      <c r="V156" s="109">
        <v>250</v>
      </c>
      <c r="W156" s="1"/>
    </row>
    <row r="157" spans="1:24" x14ac:dyDescent="0.2">
      <c r="A157" s="142"/>
      <c r="B157" s="138"/>
      <c r="C157" s="19" t="s">
        <v>857</v>
      </c>
      <c r="D157" s="3"/>
      <c r="E157" s="3" t="s">
        <v>624</v>
      </c>
      <c r="F157" s="4" t="s">
        <v>98</v>
      </c>
      <c r="G157" s="4" t="s">
        <v>199</v>
      </c>
      <c r="H157" s="4" t="s">
        <v>777</v>
      </c>
      <c r="I157" s="40" t="s">
        <v>39</v>
      </c>
      <c r="J157" s="75" t="s">
        <v>981</v>
      </c>
      <c r="K157" s="75" t="s">
        <v>776</v>
      </c>
      <c r="L157" s="3"/>
      <c r="M157" s="3"/>
      <c r="N157" s="13"/>
      <c r="O157" s="18" t="s">
        <v>859</v>
      </c>
      <c r="Q157" s="109">
        <v>484</v>
      </c>
      <c r="R157" s="109">
        <v>485</v>
      </c>
      <c r="S157" s="109">
        <v>488</v>
      </c>
      <c r="T157" s="109">
        <v>490</v>
      </c>
      <c r="U157" s="109">
        <v>491</v>
      </c>
      <c r="V157" s="109">
        <v>492</v>
      </c>
      <c r="W157" s="1"/>
    </row>
    <row r="158" spans="1:24" x14ac:dyDescent="0.2">
      <c r="A158" s="142"/>
      <c r="B158" s="138"/>
      <c r="C158" s="19" t="s">
        <v>857</v>
      </c>
      <c r="D158" s="3"/>
      <c r="E158" s="3" t="s">
        <v>693</v>
      </c>
      <c r="F158" s="4" t="s">
        <v>98</v>
      </c>
      <c r="G158" s="4" t="s">
        <v>199</v>
      </c>
      <c r="H158" s="4" t="s">
        <v>777</v>
      </c>
      <c r="I158" s="40" t="s">
        <v>39</v>
      </c>
      <c r="J158" s="75" t="s">
        <v>981</v>
      </c>
      <c r="K158" s="4" t="s">
        <v>776</v>
      </c>
      <c r="L158" s="3"/>
      <c r="M158" s="3"/>
      <c r="N158" s="13"/>
      <c r="O158" s="18" t="s">
        <v>859</v>
      </c>
      <c r="Q158" s="109">
        <v>484</v>
      </c>
      <c r="R158" s="109">
        <v>485</v>
      </c>
      <c r="S158" s="109">
        <v>488</v>
      </c>
      <c r="T158" s="109">
        <v>490</v>
      </c>
      <c r="U158" s="109">
        <v>491</v>
      </c>
      <c r="V158" s="109">
        <v>492</v>
      </c>
      <c r="W158" s="1"/>
    </row>
    <row r="159" spans="1:24" x14ac:dyDescent="0.2">
      <c r="A159" s="142"/>
      <c r="B159" s="138"/>
      <c r="C159" s="19" t="s">
        <v>43</v>
      </c>
      <c r="D159" s="3"/>
      <c r="E159" s="3"/>
      <c r="F159" s="75" t="s">
        <v>498</v>
      </c>
      <c r="G159" s="75" t="s">
        <v>516</v>
      </c>
      <c r="H159" s="4" t="s">
        <v>517</v>
      </c>
      <c r="I159" s="3"/>
      <c r="J159" s="3"/>
      <c r="K159" s="3"/>
      <c r="L159" s="3"/>
      <c r="M159" s="3"/>
      <c r="N159" s="35"/>
      <c r="O159" s="18"/>
      <c r="Q159" s="111">
        <v>91</v>
      </c>
      <c r="R159" s="111">
        <v>275</v>
      </c>
      <c r="S159" s="111">
        <v>277</v>
      </c>
      <c r="T159" s="1"/>
      <c r="U159" s="1"/>
      <c r="V159" s="1"/>
      <c r="W159" s="1"/>
      <c r="X159" s="1"/>
    </row>
    <row r="160" spans="1:24" x14ac:dyDescent="0.2">
      <c r="A160" s="142"/>
      <c r="B160" s="138"/>
      <c r="C160" s="19" t="s">
        <v>991</v>
      </c>
      <c r="D160" s="3"/>
      <c r="E160" s="3"/>
      <c r="F160" s="78" t="s">
        <v>412</v>
      </c>
      <c r="G160" s="78" t="s">
        <v>413</v>
      </c>
      <c r="H160" s="78" t="s">
        <v>853</v>
      </c>
      <c r="I160" s="75" t="s">
        <v>854</v>
      </c>
      <c r="J160" s="3"/>
      <c r="K160" s="3"/>
      <c r="L160" s="3"/>
      <c r="M160" s="3"/>
      <c r="N160" s="4"/>
      <c r="O160" s="18"/>
      <c r="Q160" s="111">
        <v>208</v>
      </c>
      <c r="R160" s="111">
        <v>212</v>
      </c>
      <c r="S160" s="111">
        <v>210</v>
      </c>
      <c r="T160" s="111">
        <v>166</v>
      </c>
      <c r="U160" s="1"/>
      <c r="V160" s="1"/>
      <c r="W160" s="1"/>
      <c r="X160" s="1"/>
    </row>
    <row r="161" spans="1:24" x14ac:dyDescent="0.2">
      <c r="A161" s="142"/>
      <c r="B161" s="138"/>
      <c r="C161" s="19" t="s">
        <v>992</v>
      </c>
      <c r="D161" s="3"/>
      <c r="E161" s="3"/>
      <c r="F161" s="4" t="s">
        <v>412</v>
      </c>
      <c r="G161" s="75" t="s">
        <v>413</v>
      </c>
      <c r="H161" s="78" t="s">
        <v>853</v>
      </c>
      <c r="I161" s="75" t="s">
        <v>854</v>
      </c>
      <c r="J161" s="3"/>
      <c r="K161" s="3"/>
      <c r="L161" s="3"/>
      <c r="M161" s="3"/>
      <c r="N161" s="35"/>
      <c r="O161" s="18"/>
      <c r="Q161" s="111">
        <v>72</v>
      </c>
      <c r="R161" s="111">
        <v>73</v>
      </c>
      <c r="S161" s="111">
        <v>76</v>
      </c>
      <c r="T161" s="111">
        <v>167</v>
      </c>
      <c r="U161" s="1"/>
      <c r="V161" s="1"/>
      <c r="W161" s="1"/>
      <c r="X161" s="1"/>
    </row>
    <row r="162" spans="1:24" x14ac:dyDescent="0.2">
      <c r="A162" s="142"/>
      <c r="B162" s="139"/>
      <c r="C162" s="19" t="s">
        <v>993</v>
      </c>
      <c r="D162" s="3"/>
      <c r="E162" s="3"/>
      <c r="F162" s="4" t="s">
        <v>412</v>
      </c>
      <c r="G162" s="75" t="s">
        <v>413</v>
      </c>
      <c r="H162" s="78" t="s">
        <v>853</v>
      </c>
      <c r="I162" s="75" t="s">
        <v>854</v>
      </c>
      <c r="J162" s="3"/>
      <c r="K162" s="3"/>
      <c r="L162" s="3"/>
      <c r="M162" s="3"/>
      <c r="N162" s="35"/>
      <c r="O162" s="18"/>
      <c r="Q162" s="111">
        <v>209</v>
      </c>
      <c r="R162" s="111">
        <v>213</v>
      </c>
      <c r="S162" s="111">
        <v>211</v>
      </c>
      <c r="T162" s="111">
        <v>168</v>
      </c>
      <c r="U162" s="1"/>
      <c r="V162" s="1"/>
      <c r="W162" s="1"/>
      <c r="X162" s="1"/>
    </row>
    <row r="163" spans="1:24" x14ac:dyDescent="0.2">
      <c r="A163" s="142"/>
      <c r="B163" s="137" t="s">
        <v>93</v>
      </c>
      <c r="C163" s="19" t="s">
        <v>767</v>
      </c>
      <c r="D163" s="3"/>
      <c r="E163" s="3"/>
      <c r="F163" s="78" t="s">
        <v>768</v>
      </c>
      <c r="G163" s="78" t="s">
        <v>769</v>
      </c>
      <c r="H163" s="78" t="s">
        <v>770</v>
      </c>
      <c r="I163" s="3"/>
      <c r="J163" s="3"/>
      <c r="K163" s="3"/>
      <c r="L163" s="3"/>
      <c r="M163" s="3"/>
      <c r="N163" s="10"/>
      <c r="O163" s="18"/>
      <c r="Q163" s="109">
        <v>216</v>
      </c>
      <c r="R163" s="109">
        <v>217</v>
      </c>
      <c r="S163" s="109">
        <v>218</v>
      </c>
      <c r="T163" s="1"/>
      <c r="U163" s="1"/>
      <c r="V163" s="1"/>
      <c r="W163" s="1"/>
      <c r="X163" s="1"/>
    </row>
    <row r="164" spans="1:24" x14ac:dyDescent="0.2">
      <c r="A164" s="142"/>
      <c r="B164" s="138"/>
      <c r="C164" s="19" t="s">
        <v>487</v>
      </c>
      <c r="D164" s="3"/>
      <c r="E164" s="3"/>
      <c r="F164" s="40" t="s">
        <v>490</v>
      </c>
      <c r="G164" s="40" t="s">
        <v>492</v>
      </c>
      <c r="H164" s="40" t="s">
        <v>491</v>
      </c>
      <c r="I164" s="75" t="s">
        <v>133</v>
      </c>
      <c r="J164" s="75" t="s">
        <v>838</v>
      </c>
      <c r="K164" s="72" t="s">
        <v>488</v>
      </c>
      <c r="L164" s="72" t="s">
        <v>489</v>
      </c>
      <c r="N164" s="10"/>
      <c r="O164" s="18"/>
      <c r="Q164" s="109">
        <v>219</v>
      </c>
      <c r="R164" s="109">
        <v>220</v>
      </c>
      <c r="S164" s="109">
        <v>221</v>
      </c>
      <c r="T164" s="109">
        <v>291</v>
      </c>
      <c r="U164" s="109">
        <v>286</v>
      </c>
      <c r="V164" s="109">
        <v>419</v>
      </c>
      <c r="W164" s="110">
        <v>420</v>
      </c>
      <c r="X164" s="1"/>
    </row>
    <row r="165" spans="1:24" x14ac:dyDescent="0.2">
      <c r="A165" s="142"/>
      <c r="B165" s="138"/>
      <c r="C165" s="19" t="s">
        <v>493</v>
      </c>
      <c r="D165" s="3"/>
      <c r="E165" s="3"/>
      <c r="F165" s="75" t="s">
        <v>734</v>
      </c>
      <c r="G165" s="75" t="s">
        <v>136</v>
      </c>
      <c r="H165" s="75" t="s">
        <v>735</v>
      </c>
      <c r="I165" s="3"/>
      <c r="J165" s="3"/>
      <c r="K165" s="3"/>
      <c r="L165" s="3"/>
      <c r="M165" s="3"/>
      <c r="N165" s="13"/>
      <c r="O165" s="18"/>
      <c r="Q165" s="112">
        <v>296</v>
      </c>
      <c r="R165" s="112">
        <v>292</v>
      </c>
      <c r="S165" s="112">
        <v>295</v>
      </c>
      <c r="T165" s="107"/>
      <c r="U165" s="1"/>
      <c r="V165" s="1"/>
      <c r="W165" s="1"/>
      <c r="X165" s="1"/>
    </row>
    <row r="166" spans="1:24" x14ac:dyDescent="0.2">
      <c r="A166" s="142"/>
      <c r="B166" s="138"/>
      <c r="C166" s="19" t="s">
        <v>494</v>
      </c>
      <c r="D166" s="3"/>
      <c r="E166" s="3"/>
      <c r="F166" s="4" t="s">
        <v>840</v>
      </c>
      <c r="G166" s="75" t="s">
        <v>839</v>
      </c>
      <c r="H166" s="3"/>
      <c r="I166" s="3"/>
      <c r="J166" s="3"/>
      <c r="K166" s="3"/>
      <c r="L166" s="3"/>
      <c r="M166" s="3"/>
      <c r="N166" s="10"/>
      <c r="O166" s="18"/>
      <c r="Q166" s="112">
        <v>387</v>
      </c>
      <c r="R166" s="112">
        <v>388</v>
      </c>
      <c r="S166" s="1"/>
      <c r="T166" s="107"/>
      <c r="U166" s="107"/>
      <c r="V166" s="107"/>
      <c r="W166" s="1"/>
      <c r="X166" s="1"/>
    </row>
    <row r="167" spans="1:24" x14ac:dyDescent="0.2">
      <c r="A167" s="142"/>
      <c r="B167" s="139"/>
      <c r="C167" s="19" t="s">
        <v>959</v>
      </c>
      <c r="D167" s="3"/>
      <c r="E167" s="3"/>
      <c r="F167" s="40" t="s">
        <v>901</v>
      </c>
      <c r="G167" s="3"/>
      <c r="H167" s="3"/>
      <c r="I167" s="3"/>
      <c r="J167" s="3"/>
      <c r="K167" s="3"/>
      <c r="L167" s="3"/>
      <c r="M167" s="3"/>
      <c r="N167" s="10"/>
      <c r="O167" s="18"/>
      <c r="Q167" s="112">
        <v>458</v>
      </c>
      <c r="R167" s="1"/>
      <c r="S167" s="1"/>
      <c r="T167" s="107"/>
      <c r="U167" s="107"/>
      <c r="V167" s="107"/>
      <c r="W167" s="1"/>
      <c r="X167" s="1"/>
    </row>
    <row r="168" spans="1:24" x14ac:dyDescent="0.2">
      <c r="A168" s="142"/>
      <c r="B168" s="138" t="s">
        <v>719</v>
      </c>
      <c r="C168" s="19" t="s">
        <v>684</v>
      </c>
      <c r="D168" s="3"/>
      <c r="E168" s="3"/>
      <c r="F168" s="17" t="s">
        <v>686</v>
      </c>
      <c r="G168" s="17" t="s">
        <v>688</v>
      </c>
      <c r="H168" s="41" t="s">
        <v>687</v>
      </c>
      <c r="I168" s="41" t="s">
        <v>125</v>
      </c>
      <c r="J168" s="3"/>
      <c r="K168" s="3"/>
      <c r="L168" s="3"/>
      <c r="M168" s="3"/>
      <c r="N168" s="13"/>
      <c r="O168" s="18"/>
      <c r="Q168" s="109">
        <v>532</v>
      </c>
      <c r="R168" s="109">
        <v>533</v>
      </c>
      <c r="S168" s="109">
        <v>534</v>
      </c>
      <c r="T168" s="109">
        <v>535</v>
      </c>
      <c r="U168" s="107"/>
      <c r="V168" s="107"/>
      <c r="W168" s="107"/>
      <c r="X168" s="107"/>
    </row>
    <row r="169" spans="1:24" x14ac:dyDescent="0.2">
      <c r="A169" s="142"/>
      <c r="B169" s="138"/>
      <c r="C169" s="19" t="s">
        <v>685</v>
      </c>
      <c r="D169" s="3"/>
      <c r="E169" s="3" t="s">
        <v>699</v>
      </c>
      <c r="F169" s="41" t="s">
        <v>686</v>
      </c>
      <c r="G169" s="41" t="s">
        <v>687</v>
      </c>
      <c r="H169" s="41" t="s">
        <v>125</v>
      </c>
      <c r="I169" s="3"/>
      <c r="J169" s="3"/>
      <c r="K169" s="3"/>
      <c r="L169" s="3"/>
      <c r="M169" s="3"/>
      <c r="N169" s="13"/>
      <c r="O169" s="18" t="s">
        <v>945</v>
      </c>
      <c r="Q169" s="109">
        <v>536</v>
      </c>
      <c r="R169" s="109">
        <v>537</v>
      </c>
      <c r="S169" s="109">
        <v>538</v>
      </c>
      <c r="T169" s="1"/>
      <c r="U169" s="107"/>
      <c r="V169" s="107"/>
      <c r="W169" s="107"/>
      <c r="X169" s="107"/>
    </row>
    <row r="170" spans="1:24" x14ac:dyDescent="0.2">
      <c r="A170" s="142"/>
      <c r="B170" s="138"/>
      <c r="C170" s="19" t="s">
        <v>685</v>
      </c>
      <c r="D170" s="3"/>
      <c r="E170" s="3" t="s">
        <v>633</v>
      </c>
      <c r="F170" s="17" t="s">
        <v>686</v>
      </c>
      <c r="G170" s="4" t="s">
        <v>687</v>
      </c>
      <c r="H170" s="41" t="s">
        <v>125</v>
      </c>
      <c r="I170" s="3"/>
      <c r="J170" s="3"/>
      <c r="K170" s="3"/>
      <c r="L170" s="3"/>
      <c r="M170" s="3"/>
      <c r="N170" s="13"/>
      <c r="O170" s="18" t="s">
        <v>945</v>
      </c>
      <c r="Q170" s="109">
        <v>536</v>
      </c>
      <c r="R170" s="109">
        <v>537</v>
      </c>
      <c r="S170" s="109">
        <v>538</v>
      </c>
      <c r="T170" s="1"/>
      <c r="U170" s="107"/>
      <c r="V170" s="107"/>
      <c r="W170" s="107"/>
      <c r="X170" s="107"/>
    </row>
    <row r="171" spans="1:24" x14ac:dyDescent="0.2">
      <c r="A171" s="142"/>
      <c r="B171" s="138"/>
      <c r="C171" s="19" t="s">
        <v>496</v>
      </c>
      <c r="D171" s="3"/>
      <c r="E171" s="3"/>
      <c r="F171" s="75" t="s">
        <v>636</v>
      </c>
      <c r="G171" s="3"/>
      <c r="H171" s="3"/>
      <c r="I171" s="3"/>
      <c r="J171" s="3"/>
      <c r="K171" s="3"/>
      <c r="L171" s="3"/>
      <c r="M171" s="3"/>
      <c r="N171" s="13"/>
      <c r="O171" s="18"/>
      <c r="Q171" s="109">
        <v>137</v>
      </c>
      <c r="R171" s="1"/>
      <c r="S171" s="1"/>
      <c r="T171" s="1"/>
      <c r="U171" s="107"/>
      <c r="V171" s="107"/>
      <c r="W171" s="107"/>
      <c r="X171" s="107"/>
    </row>
    <row r="172" spans="1:24" x14ac:dyDescent="0.2">
      <c r="A172" s="142"/>
      <c r="B172" s="138"/>
      <c r="C172" s="19" t="s">
        <v>683</v>
      </c>
      <c r="D172" s="3"/>
      <c r="E172" s="3"/>
      <c r="F172" s="75" t="s">
        <v>636</v>
      </c>
      <c r="G172" s="3"/>
      <c r="H172" s="3"/>
      <c r="I172" s="3"/>
      <c r="J172" s="3"/>
      <c r="K172" s="3"/>
      <c r="L172" s="3"/>
      <c r="M172" s="3"/>
      <c r="N172" s="13"/>
      <c r="O172" s="18"/>
      <c r="Q172" s="109">
        <v>531</v>
      </c>
      <c r="R172" s="1"/>
      <c r="S172" s="1"/>
      <c r="T172" s="1"/>
      <c r="U172" s="107"/>
      <c r="V172" s="107"/>
      <c r="W172" s="107"/>
      <c r="X172" s="107"/>
    </row>
    <row r="173" spans="1:24" x14ac:dyDescent="0.2">
      <c r="A173" s="142"/>
      <c r="B173" s="138"/>
      <c r="C173" s="19" t="s">
        <v>976</v>
      </c>
      <c r="D173" s="3"/>
      <c r="E173" s="3"/>
      <c r="F173" s="4" t="s">
        <v>978</v>
      </c>
      <c r="G173" s="4" t="s">
        <v>738</v>
      </c>
      <c r="H173" s="4" t="s">
        <v>741</v>
      </c>
      <c r="I173" s="75" t="s">
        <v>977</v>
      </c>
      <c r="J173" s="75" t="s">
        <v>739</v>
      </c>
      <c r="K173" s="75" t="s">
        <v>740</v>
      </c>
      <c r="L173" s="3"/>
      <c r="M173" s="3"/>
      <c r="N173" s="13"/>
      <c r="O173" s="18"/>
      <c r="Q173" s="109">
        <v>241</v>
      </c>
      <c r="R173" s="109">
        <v>242</v>
      </c>
      <c r="S173" s="109">
        <v>243</v>
      </c>
      <c r="T173" s="109">
        <v>252</v>
      </c>
      <c r="U173" s="110">
        <v>253</v>
      </c>
      <c r="V173" s="110">
        <v>254</v>
      </c>
      <c r="W173" s="107"/>
      <c r="X173" s="107"/>
    </row>
    <row r="174" spans="1:24" x14ac:dyDescent="0.2">
      <c r="A174" s="142"/>
      <c r="B174" s="139"/>
      <c r="C174" s="19" t="s">
        <v>762</v>
      </c>
      <c r="D174" s="3"/>
      <c r="E174" s="3"/>
      <c r="F174" s="75" t="s">
        <v>497</v>
      </c>
      <c r="G174" s="75" t="s">
        <v>761</v>
      </c>
      <c r="H174" s="3"/>
      <c r="I174" s="3"/>
      <c r="J174" s="3"/>
      <c r="K174" s="3"/>
      <c r="L174" s="3"/>
      <c r="M174" s="3"/>
      <c r="N174" s="10"/>
      <c r="O174" s="18"/>
      <c r="Q174" s="111">
        <v>47</v>
      </c>
      <c r="R174" s="110">
        <v>335</v>
      </c>
      <c r="S174" s="107"/>
      <c r="T174" s="107"/>
      <c r="U174" s="107"/>
      <c r="V174" s="107"/>
      <c r="W174" s="107"/>
      <c r="X174" s="1"/>
    </row>
    <row r="175" spans="1:24" x14ac:dyDescent="0.2">
      <c r="A175" s="142"/>
      <c r="B175" s="137" t="s">
        <v>928</v>
      </c>
      <c r="C175" s="19" t="s">
        <v>499</v>
      </c>
      <c r="D175" s="3"/>
      <c r="E175" s="3"/>
      <c r="F175" s="75" t="s">
        <v>414</v>
      </c>
      <c r="G175" s="3"/>
      <c r="H175" s="3"/>
      <c r="I175" s="3"/>
      <c r="J175" s="3"/>
      <c r="K175" s="3"/>
      <c r="L175" s="3"/>
      <c r="M175" s="3"/>
      <c r="N175" s="10"/>
      <c r="O175" s="18" t="s">
        <v>868</v>
      </c>
      <c r="Q175" s="112">
        <v>89</v>
      </c>
      <c r="R175" s="1"/>
      <c r="S175" s="1"/>
      <c r="T175" s="1"/>
      <c r="U175" s="1"/>
      <c r="V175" s="1"/>
      <c r="W175" s="1"/>
      <c r="X175" s="1"/>
    </row>
    <row r="176" spans="1:24" x14ac:dyDescent="0.2">
      <c r="A176" s="142"/>
      <c r="B176" s="138"/>
      <c r="C176" s="19" t="s">
        <v>926</v>
      </c>
      <c r="D176" s="3"/>
      <c r="E176" s="3"/>
      <c r="F176" s="75" t="s">
        <v>414</v>
      </c>
      <c r="G176" s="3"/>
      <c r="H176" s="3"/>
      <c r="I176" s="3"/>
      <c r="J176" s="3"/>
      <c r="K176" s="3"/>
      <c r="L176" s="3"/>
      <c r="M176" s="3"/>
      <c r="N176" s="10"/>
      <c r="O176" s="18" t="s">
        <v>927</v>
      </c>
      <c r="Q176" s="112">
        <v>238</v>
      </c>
      <c r="R176" s="1"/>
      <c r="S176" s="1"/>
      <c r="T176" s="1"/>
      <c r="U176" s="1"/>
      <c r="V176" s="1"/>
      <c r="W176" s="1"/>
      <c r="X176" s="1"/>
    </row>
    <row r="177" spans="1:24" x14ac:dyDescent="0.2">
      <c r="A177" s="142"/>
      <c r="B177" s="138"/>
      <c r="C177" s="19" t="s">
        <v>500</v>
      </c>
      <c r="D177" s="3"/>
      <c r="E177" s="3"/>
      <c r="F177" s="75" t="s">
        <v>414</v>
      </c>
      <c r="G177" s="3"/>
      <c r="H177" s="3"/>
      <c r="I177" s="3"/>
      <c r="J177" s="3"/>
      <c r="K177" s="3"/>
      <c r="L177" s="3"/>
      <c r="M177" s="3"/>
      <c r="N177" s="10"/>
      <c r="O177" s="18" t="s">
        <v>869</v>
      </c>
      <c r="Q177" s="112">
        <v>90</v>
      </c>
      <c r="R177" s="1"/>
      <c r="S177" s="1"/>
      <c r="T177" s="1"/>
      <c r="U177" s="1"/>
      <c r="V177" s="1"/>
      <c r="W177" s="1"/>
      <c r="X177" s="1"/>
    </row>
    <row r="178" spans="1:24" x14ac:dyDescent="0.2">
      <c r="A178" s="142"/>
      <c r="B178" s="137" t="s">
        <v>495</v>
      </c>
      <c r="C178" s="19" t="s">
        <v>732</v>
      </c>
      <c r="D178" s="3"/>
      <c r="E178" s="3"/>
      <c r="F178" s="75" t="s">
        <v>902</v>
      </c>
      <c r="G178" s="3"/>
      <c r="H178" s="3"/>
      <c r="I178" s="3"/>
      <c r="J178" s="3"/>
      <c r="K178" s="3"/>
      <c r="L178" s="3"/>
      <c r="M178" s="3"/>
      <c r="N178" s="13"/>
      <c r="O178" s="18"/>
      <c r="Q178" s="109">
        <v>379</v>
      </c>
      <c r="R178" s="1"/>
      <c r="S178" s="1"/>
      <c r="T178" s="1"/>
      <c r="U178" s="1"/>
      <c r="V178" s="1"/>
      <c r="W178" s="1"/>
      <c r="X178" s="1"/>
    </row>
    <row r="179" spans="1:24" x14ac:dyDescent="0.2">
      <c r="A179" s="142"/>
      <c r="B179" s="138"/>
      <c r="C179" s="19" t="s">
        <v>797</v>
      </c>
      <c r="D179" s="3"/>
      <c r="E179" s="3"/>
      <c r="F179" s="41" t="s">
        <v>40</v>
      </c>
      <c r="G179" s="3"/>
      <c r="H179" s="3"/>
      <c r="I179" s="3"/>
      <c r="J179" s="3"/>
      <c r="K179" s="3"/>
      <c r="L179" s="3"/>
      <c r="M179" s="3"/>
      <c r="N179" s="35"/>
      <c r="O179" s="18"/>
      <c r="Q179" s="110">
        <v>162</v>
      </c>
      <c r="R179" s="1"/>
      <c r="S179" s="1"/>
      <c r="T179" s="1"/>
      <c r="U179" s="1"/>
      <c r="V179" s="1"/>
      <c r="W179" s="1"/>
      <c r="X179" s="1"/>
    </row>
    <row r="180" spans="1:24" x14ac:dyDescent="0.2">
      <c r="A180" s="142"/>
      <c r="B180" s="138"/>
      <c r="C180" s="19" t="s">
        <v>797</v>
      </c>
      <c r="D180" s="3"/>
      <c r="E180" s="3" t="s">
        <v>622</v>
      </c>
      <c r="F180" s="41" t="s">
        <v>175</v>
      </c>
      <c r="G180" s="3"/>
      <c r="H180" s="3"/>
      <c r="I180" s="3"/>
      <c r="J180" s="3"/>
      <c r="K180" s="3"/>
      <c r="L180" s="3"/>
      <c r="M180" s="3"/>
      <c r="N180" s="35"/>
      <c r="O180" s="18"/>
      <c r="Q180" s="110">
        <v>163</v>
      </c>
      <c r="R180" s="1"/>
      <c r="S180" s="1"/>
      <c r="T180" s="1"/>
      <c r="U180" s="1"/>
      <c r="V180" s="1"/>
      <c r="W180" s="1"/>
      <c r="X180" s="1"/>
    </row>
    <row r="181" spans="1:24" x14ac:dyDescent="0.2">
      <c r="A181" s="142"/>
      <c r="B181" s="138"/>
      <c r="C181" s="19" t="s">
        <v>797</v>
      </c>
      <c r="D181" s="3"/>
      <c r="E181" s="3" t="s">
        <v>623</v>
      </c>
      <c r="F181" s="41" t="s">
        <v>175</v>
      </c>
      <c r="G181" s="3"/>
      <c r="H181" s="3"/>
      <c r="I181" s="3"/>
      <c r="J181" s="3"/>
      <c r="K181" s="3"/>
      <c r="L181" s="3"/>
      <c r="M181" s="3"/>
      <c r="N181" s="35"/>
      <c r="O181" s="18"/>
      <c r="Q181" s="110">
        <v>163</v>
      </c>
      <c r="R181" s="1"/>
      <c r="S181" s="1"/>
      <c r="T181" s="1"/>
      <c r="U181" s="1"/>
      <c r="V181" s="1"/>
      <c r="W181" s="1"/>
      <c r="X181" s="1"/>
    </row>
    <row r="182" spans="1:24" x14ac:dyDescent="0.2">
      <c r="A182" s="142"/>
      <c r="B182" s="138"/>
      <c r="C182" s="19" t="s">
        <v>960</v>
      </c>
      <c r="D182" s="3"/>
      <c r="E182" s="3"/>
      <c r="F182" s="40" t="s">
        <v>498</v>
      </c>
      <c r="G182" s="75" t="s">
        <v>501</v>
      </c>
      <c r="H182" s="40" t="s">
        <v>723</v>
      </c>
      <c r="J182" s="3"/>
      <c r="K182" s="3"/>
      <c r="L182" s="3"/>
      <c r="M182" s="3"/>
      <c r="N182" s="4"/>
      <c r="O182" s="18"/>
      <c r="Q182" s="112">
        <v>83</v>
      </c>
      <c r="R182" s="112">
        <v>223</v>
      </c>
      <c r="S182" s="113">
        <v>551</v>
      </c>
      <c r="V182" s="1"/>
      <c r="X182" s="1"/>
    </row>
    <row r="183" spans="1:24" x14ac:dyDescent="0.2">
      <c r="A183" s="142"/>
      <c r="B183" s="138"/>
      <c r="C183" s="19" t="s">
        <v>961</v>
      </c>
      <c r="D183" s="3"/>
      <c r="E183" s="3"/>
      <c r="F183" s="75" t="s">
        <v>915</v>
      </c>
      <c r="G183" s="3"/>
      <c r="H183" s="3"/>
      <c r="I183" s="3"/>
      <c r="J183" s="3"/>
      <c r="K183" s="3"/>
      <c r="L183" s="3"/>
      <c r="M183" s="3"/>
      <c r="N183" s="4"/>
      <c r="O183" s="18"/>
      <c r="Q183" s="113">
        <v>170</v>
      </c>
      <c r="X183" s="1"/>
    </row>
    <row r="184" spans="1:24" x14ac:dyDescent="0.2">
      <c r="A184" s="142"/>
      <c r="B184" s="138"/>
      <c r="C184" s="19" t="s">
        <v>912</v>
      </c>
      <c r="D184" s="3"/>
      <c r="E184" s="3"/>
      <c r="F184" s="75" t="s">
        <v>944</v>
      </c>
      <c r="G184" s="3"/>
      <c r="H184" s="3"/>
      <c r="I184" s="3"/>
      <c r="J184" s="3"/>
      <c r="K184" s="3"/>
      <c r="L184" s="3"/>
      <c r="M184" s="3"/>
      <c r="N184" s="4"/>
      <c r="O184" s="18"/>
      <c r="Q184" s="113">
        <v>171</v>
      </c>
      <c r="R184" s="1"/>
      <c r="S184" s="1"/>
      <c r="T184" s="1"/>
      <c r="U184" s="1"/>
      <c r="V184" s="1"/>
      <c r="X184" s="1"/>
    </row>
    <row r="185" spans="1:24" x14ac:dyDescent="0.2">
      <c r="A185" s="142"/>
      <c r="B185" s="138"/>
      <c r="C185" s="19" t="s">
        <v>910</v>
      </c>
      <c r="D185" s="3"/>
      <c r="E185" s="3"/>
      <c r="F185" s="75" t="s">
        <v>944</v>
      </c>
      <c r="G185" s="75" t="s">
        <v>911</v>
      </c>
      <c r="H185" s="3"/>
      <c r="I185" s="3"/>
      <c r="J185" s="3"/>
      <c r="K185" s="3"/>
      <c r="L185" s="3"/>
      <c r="M185" s="3"/>
      <c r="N185" s="4"/>
      <c r="O185" s="18"/>
      <c r="Q185" s="112">
        <v>331</v>
      </c>
      <c r="R185" s="109">
        <v>195</v>
      </c>
      <c r="S185" s="1"/>
      <c r="T185" s="1"/>
      <c r="U185" s="1"/>
      <c r="V185" s="1"/>
      <c r="W185" s="1"/>
      <c r="X185" s="1"/>
    </row>
    <row r="186" spans="1:24" x14ac:dyDescent="0.2">
      <c r="A186" s="142"/>
      <c r="B186" s="138"/>
      <c r="C186" s="19" t="s">
        <v>787</v>
      </c>
      <c r="D186" s="3"/>
      <c r="E186" s="3"/>
      <c r="F186" s="40" t="s">
        <v>903</v>
      </c>
      <c r="G186" s="3"/>
      <c r="H186" s="3"/>
      <c r="I186" s="3"/>
      <c r="J186" s="3"/>
      <c r="K186" s="3"/>
      <c r="L186" s="3"/>
      <c r="M186" s="3"/>
      <c r="N186" s="4"/>
      <c r="O186" s="18"/>
      <c r="Q186" s="112">
        <v>36</v>
      </c>
      <c r="R186" s="1"/>
      <c r="S186" s="1"/>
      <c r="T186" s="1"/>
      <c r="U186" s="1"/>
      <c r="V186" s="1"/>
      <c r="W186" s="1"/>
      <c r="X186" s="1"/>
    </row>
    <row r="187" spans="1:24" x14ac:dyDescent="0.2">
      <c r="A187" s="142"/>
      <c r="B187" s="138"/>
      <c r="C187" s="19" t="s">
        <v>788</v>
      </c>
      <c r="D187" s="3"/>
      <c r="E187" s="3"/>
      <c r="F187" s="40" t="s">
        <v>903</v>
      </c>
      <c r="G187" s="3"/>
      <c r="H187" s="3"/>
      <c r="I187" s="3"/>
      <c r="J187" s="3"/>
      <c r="K187" s="3"/>
      <c r="L187" s="3"/>
      <c r="M187" s="3"/>
      <c r="N187" s="4"/>
      <c r="O187" s="18"/>
      <c r="Q187" s="112">
        <v>187</v>
      </c>
      <c r="R187" s="1"/>
      <c r="S187" s="1"/>
      <c r="T187" s="1"/>
      <c r="U187" s="1"/>
      <c r="V187" s="1"/>
      <c r="W187" s="1"/>
      <c r="X187" s="1"/>
    </row>
    <row r="188" spans="1:24" x14ac:dyDescent="0.2">
      <c r="A188" s="142"/>
      <c r="B188" s="138"/>
      <c r="C188" s="19" t="s">
        <v>989</v>
      </c>
      <c r="D188" s="3"/>
      <c r="E188" s="3"/>
      <c r="F188" s="41" t="s">
        <v>733</v>
      </c>
      <c r="G188" s="3"/>
      <c r="H188" s="3"/>
      <c r="I188" s="3"/>
      <c r="J188" s="3"/>
      <c r="K188" s="3"/>
      <c r="L188" s="3"/>
      <c r="M188" s="3"/>
      <c r="N188" s="4"/>
      <c r="O188" s="18"/>
      <c r="Q188" s="111">
        <v>161</v>
      </c>
      <c r="R188" s="1"/>
      <c r="S188" s="1"/>
      <c r="T188" s="1"/>
      <c r="U188" s="1"/>
      <c r="V188" s="1"/>
      <c r="W188" s="1"/>
      <c r="X188" s="1"/>
    </row>
    <row r="189" spans="1:24" x14ac:dyDescent="0.2">
      <c r="A189" s="142"/>
      <c r="B189" s="139"/>
      <c r="C189" s="19" t="s">
        <v>990</v>
      </c>
      <c r="D189" s="3"/>
      <c r="E189" s="3"/>
      <c r="F189" s="75" t="s">
        <v>738</v>
      </c>
      <c r="G189" s="75" t="s">
        <v>739</v>
      </c>
      <c r="H189" s="75" t="s">
        <v>740</v>
      </c>
      <c r="I189" s="75" t="s">
        <v>741</v>
      </c>
      <c r="J189" s="3"/>
      <c r="K189" s="3"/>
      <c r="L189" s="3"/>
      <c r="M189" s="3"/>
      <c r="N189" s="35"/>
      <c r="O189" s="18"/>
      <c r="Q189" s="109">
        <v>169</v>
      </c>
      <c r="R189" s="109">
        <v>276</v>
      </c>
      <c r="S189" s="109">
        <v>173</v>
      </c>
      <c r="T189" s="109">
        <v>174</v>
      </c>
      <c r="U189" s="1"/>
      <c r="V189" s="1"/>
      <c r="W189" s="1"/>
      <c r="X189" s="1"/>
    </row>
    <row r="190" spans="1:24" x14ac:dyDescent="0.2">
      <c r="A190" s="142"/>
      <c r="B190" s="137" t="s">
        <v>502</v>
      </c>
      <c r="C190" s="19" t="s">
        <v>795</v>
      </c>
      <c r="D190" s="3"/>
      <c r="E190" s="3" t="s">
        <v>624</v>
      </c>
      <c r="F190" s="75" t="s">
        <v>698</v>
      </c>
      <c r="G190" s="40" t="s">
        <v>646</v>
      </c>
      <c r="H190" s="40" t="s">
        <v>737</v>
      </c>
      <c r="I190" s="3"/>
      <c r="J190" s="3"/>
      <c r="K190" s="3"/>
      <c r="L190" s="3"/>
      <c r="M190" s="3"/>
      <c r="N190" s="10"/>
      <c r="O190" s="18"/>
      <c r="Q190" s="109">
        <v>24</v>
      </c>
      <c r="R190" s="109">
        <v>548</v>
      </c>
      <c r="S190" s="109">
        <v>136</v>
      </c>
      <c r="T190" s="1"/>
      <c r="U190" s="1"/>
      <c r="V190" s="1"/>
      <c r="W190" s="1"/>
      <c r="X190" s="1"/>
    </row>
    <row r="191" spans="1:24" x14ac:dyDescent="0.2">
      <c r="A191" s="142"/>
      <c r="B191" s="138"/>
      <c r="C191" s="19" t="s">
        <v>795</v>
      </c>
      <c r="D191" s="3"/>
      <c r="E191" s="3" t="s">
        <v>693</v>
      </c>
      <c r="F191" s="60" t="s">
        <v>698</v>
      </c>
      <c r="G191" s="40" t="s">
        <v>646</v>
      </c>
      <c r="H191" s="40" t="s">
        <v>737</v>
      </c>
      <c r="I191" s="3"/>
      <c r="J191" s="3"/>
      <c r="K191" s="3"/>
      <c r="L191" s="3"/>
      <c r="M191" s="3"/>
      <c r="N191" s="10"/>
      <c r="O191" s="18"/>
      <c r="Q191" s="109">
        <v>24</v>
      </c>
      <c r="R191" s="109">
        <v>548</v>
      </c>
      <c r="S191" s="109">
        <v>136</v>
      </c>
      <c r="T191" s="1"/>
      <c r="U191" s="1"/>
      <c r="V191" s="1"/>
      <c r="W191" s="1"/>
      <c r="X191" s="1"/>
    </row>
    <row r="192" spans="1:24" x14ac:dyDescent="0.2">
      <c r="A192" s="142"/>
      <c r="B192" s="138"/>
      <c r="C192" s="19" t="s">
        <v>690</v>
      </c>
      <c r="D192" s="3"/>
      <c r="E192" s="3" t="s">
        <v>689</v>
      </c>
      <c r="F192" s="75" t="s">
        <v>691</v>
      </c>
      <c r="G192" s="75" t="s">
        <v>692</v>
      </c>
      <c r="H192" s="40" t="s">
        <v>130</v>
      </c>
      <c r="I192" s="3"/>
      <c r="J192" s="3"/>
      <c r="K192" s="3"/>
      <c r="L192" s="3"/>
      <c r="M192" s="3"/>
      <c r="N192" s="10"/>
      <c r="O192" s="18"/>
      <c r="Q192" s="109">
        <v>541</v>
      </c>
      <c r="R192" s="109">
        <v>542</v>
      </c>
      <c r="S192" s="109">
        <v>543</v>
      </c>
      <c r="T192" s="1"/>
      <c r="U192" s="1"/>
      <c r="V192" s="1"/>
      <c r="W192" s="1"/>
      <c r="X192" s="1"/>
    </row>
    <row r="193" spans="1:24" x14ac:dyDescent="0.2">
      <c r="A193" s="142"/>
      <c r="B193" s="138"/>
      <c r="C193" s="19" t="s">
        <v>690</v>
      </c>
      <c r="D193" s="3"/>
      <c r="E193" s="3" t="s">
        <v>35</v>
      </c>
      <c r="F193" s="75" t="s">
        <v>691</v>
      </c>
      <c r="G193" s="75" t="s">
        <v>692</v>
      </c>
      <c r="H193" s="3"/>
      <c r="I193" s="3"/>
      <c r="J193" s="3"/>
      <c r="K193" s="3"/>
      <c r="L193" s="3"/>
      <c r="M193" s="3"/>
      <c r="N193" s="10"/>
      <c r="O193" s="18"/>
      <c r="Q193" s="109">
        <v>541</v>
      </c>
      <c r="R193" s="109">
        <v>542</v>
      </c>
      <c r="S193" s="1"/>
      <c r="T193" s="1"/>
      <c r="U193" s="1"/>
      <c r="V193" s="1"/>
      <c r="W193" s="1"/>
      <c r="X193" s="1"/>
    </row>
    <row r="194" spans="1:24" x14ac:dyDescent="0.2">
      <c r="A194" s="142"/>
      <c r="B194" s="138"/>
      <c r="C194" s="19" t="s">
        <v>690</v>
      </c>
      <c r="D194" s="3"/>
      <c r="E194" s="3" t="s">
        <v>693</v>
      </c>
      <c r="F194" s="60" t="s">
        <v>691</v>
      </c>
      <c r="G194" s="4" t="s">
        <v>692</v>
      </c>
      <c r="H194" s="3"/>
      <c r="I194" s="3"/>
      <c r="J194" s="3"/>
      <c r="K194" s="3"/>
      <c r="L194" s="3"/>
      <c r="M194" s="3"/>
      <c r="N194" s="10"/>
      <c r="O194" s="18"/>
      <c r="Q194" s="109">
        <v>541</v>
      </c>
      <c r="R194" s="109">
        <v>542</v>
      </c>
      <c r="S194" s="1"/>
      <c r="T194" s="1"/>
      <c r="U194" s="1"/>
      <c r="V194" s="1"/>
      <c r="W194" s="1"/>
      <c r="X194" s="1"/>
    </row>
    <row r="195" spans="1:24" x14ac:dyDescent="0.2">
      <c r="A195" s="142"/>
      <c r="B195" s="138"/>
      <c r="C195" s="19" t="s">
        <v>643</v>
      </c>
      <c r="D195" s="3"/>
      <c r="E195" s="3" t="s">
        <v>624</v>
      </c>
      <c r="F195" s="76" t="s">
        <v>644</v>
      </c>
      <c r="G195" s="39" t="s">
        <v>645</v>
      </c>
      <c r="H195" s="3"/>
      <c r="I195" s="3"/>
      <c r="J195" s="3"/>
      <c r="K195" s="3"/>
      <c r="L195" s="3"/>
      <c r="M195" s="3"/>
      <c r="N195" s="10"/>
      <c r="O195" s="18"/>
      <c r="Q195" s="109">
        <v>518</v>
      </c>
      <c r="R195" s="109">
        <v>519</v>
      </c>
      <c r="S195" s="1"/>
      <c r="T195" s="1"/>
      <c r="U195" s="1"/>
      <c r="V195" s="1"/>
      <c r="W195" s="1"/>
      <c r="X195" s="1"/>
    </row>
    <row r="196" spans="1:24" x14ac:dyDescent="0.2">
      <c r="A196" s="142"/>
      <c r="B196" s="138"/>
      <c r="C196" s="19" t="s">
        <v>643</v>
      </c>
      <c r="D196" s="3"/>
      <c r="E196" s="3" t="s">
        <v>693</v>
      </c>
      <c r="F196" s="105" t="s">
        <v>644</v>
      </c>
      <c r="G196" s="76" t="s">
        <v>645</v>
      </c>
      <c r="H196" s="3"/>
      <c r="I196" s="3"/>
      <c r="J196" s="3"/>
      <c r="K196" s="3"/>
      <c r="L196" s="3"/>
      <c r="M196" s="3"/>
      <c r="N196" s="10"/>
      <c r="O196" s="18"/>
      <c r="Q196" s="109">
        <v>518</v>
      </c>
      <c r="R196" s="109">
        <v>519</v>
      </c>
      <c r="S196" s="1"/>
      <c r="T196" s="1"/>
      <c r="U196" s="1"/>
      <c r="V196" s="1"/>
      <c r="W196" s="1"/>
      <c r="X196" s="1"/>
    </row>
    <row r="197" spans="1:24" x14ac:dyDescent="0.2">
      <c r="A197" s="142"/>
      <c r="B197" s="138"/>
      <c r="C197" s="19" t="s">
        <v>647</v>
      </c>
      <c r="D197" s="3"/>
      <c r="E197" s="3"/>
      <c r="F197" s="40" t="s">
        <v>904</v>
      </c>
      <c r="G197" s="3"/>
      <c r="H197" s="3"/>
      <c r="I197" s="3"/>
      <c r="J197" s="3"/>
      <c r="K197" s="3"/>
      <c r="L197" s="3"/>
      <c r="M197" s="3"/>
      <c r="N197" s="10"/>
      <c r="O197" s="18"/>
      <c r="Q197" s="109">
        <v>520</v>
      </c>
      <c r="R197" s="1"/>
      <c r="S197" s="1"/>
      <c r="T197" s="1"/>
      <c r="U197" s="1"/>
      <c r="V197" s="1"/>
      <c r="W197" s="1"/>
      <c r="X197" s="1"/>
    </row>
    <row r="198" spans="1:24" x14ac:dyDescent="0.2">
      <c r="A198" s="142"/>
      <c r="B198" s="138"/>
      <c r="C198" s="19" t="s">
        <v>996</v>
      </c>
      <c r="D198" s="3"/>
      <c r="E198" s="3"/>
      <c r="F198" s="60" t="s">
        <v>998</v>
      </c>
      <c r="G198" s="3"/>
      <c r="H198" s="3"/>
      <c r="I198" s="3"/>
      <c r="J198" s="3"/>
      <c r="K198" s="3"/>
      <c r="L198" s="3"/>
      <c r="M198" s="3"/>
      <c r="N198" s="10"/>
      <c r="O198" s="18"/>
      <c r="Q198" s="109">
        <v>544</v>
      </c>
      <c r="R198" s="1"/>
      <c r="S198" s="1"/>
      <c r="T198" s="1"/>
      <c r="V198" s="1"/>
      <c r="W198" s="1"/>
      <c r="X198" s="1"/>
    </row>
    <row r="199" spans="1:24" x14ac:dyDescent="0.2">
      <c r="A199" s="142"/>
      <c r="B199" s="138"/>
      <c r="C199" s="19" t="s">
        <v>994</v>
      </c>
      <c r="D199" s="3"/>
      <c r="E199" s="3"/>
      <c r="F199" s="60" t="s">
        <v>1001</v>
      </c>
      <c r="G199" s="75" t="s">
        <v>995</v>
      </c>
      <c r="H199" s="3"/>
      <c r="I199" s="3"/>
      <c r="J199" s="3"/>
      <c r="K199" s="3"/>
      <c r="L199" s="3"/>
      <c r="M199" s="3"/>
      <c r="N199" s="10"/>
      <c r="O199" s="18"/>
      <c r="Q199" s="109">
        <v>546</v>
      </c>
      <c r="R199" s="109">
        <v>547</v>
      </c>
      <c r="S199" s="1"/>
      <c r="T199" s="1"/>
      <c r="V199" s="1"/>
      <c r="W199" s="1"/>
      <c r="X199" s="1"/>
    </row>
    <row r="200" spans="1:24" x14ac:dyDescent="0.2">
      <c r="A200" s="142"/>
      <c r="B200" s="138"/>
      <c r="C200" s="19" t="s">
        <v>987</v>
      </c>
      <c r="D200" s="3"/>
      <c r="E200" s="3"/>
      <c r="F200" s="75" t="s">
        <v>999</v>
      </c>
      <c r="G200" s="3"/>
      <c r="H200" s="3"/>
      <c r="I200" s="3"/>
      <c r="J200" s="3"/>
      <c r="K200" s="3"/>
      <c r="L200" s="3"/>
      <c r="M200" s="3"/>
      <c r="N200" s="10"/>
      <c r="O200" s="18" t="s">
        <v>988</v>
      </c>
      <c r="Q200" s="109">
        <v>545</v>
      </c>
      <c r="R200" s="1"/>
      <c r="S200" s="1"/>
      <c r="T200" s="1"/>
      <c r="U200" s="1"/>
      <c r="V200" s="1"/>
      <c r="W200" s="1"/>
      <c r="X200" s="1"/>
    </row>
    <row r="201" spans="1:24" x14ac:dyDescent="0.2">
      <c r="A201" s="142"/>
      <c r="B201" s="138"/>
      <c r="C201" s="19" t="s">
        <v>962</v>
      </c>
      <c r="D201" s="3"/>
      <c r="E201" s="3" t="s">
        <v>35</v>
      </c>
      <c r="F201" s="75" t="s">
        <v>923</v>
      </c>
      <c r="G201" s="3"/>
      <c r="H201" s="3"/>
      <c r="I201" s="3"/>
      <c r="J201" s="3"/>
      <c r="K201" s="3"/>
      <c r="L201" s="3"/>
      <c r="M201" s="3"/>
      <c r="N201" s="10"/>
      <c r="O201" s="18"/>
      <c r="Q201" s="109">
        <v>214</v>
      </c>
      <c r="R201" s="1"/>
      <c r="S201" s="1"/>
      <c r="T201" s="1"/>
      <c r="U201" s="1"/>
      <c r="V201" s="1"/>
      <c r="W201" s="1"/>
      <c r="X201" s="1"/>
    </row>
    <row r="202" spans="1:24" x14ac:dyDescent="0.2">
      <c r="A202" s="142"/>
      <c r="B202" s="138"/>
      <c r="C202" s="19" t="s">
        <v>963</v>
      </c>
      <c r="D202" s="3"/>
      <c r="E202" s="3" t="s">
        <v>35</v>
      </c>
      <c r="F202" s="75" t="s">
        <v>726</v>
      </c>
      <c r="G202" s="3"/>
      <c r="H202" s="3"/>
      <c r="I202" s="3"/>
      <c r="J202" s="3"/>
      <c r="K202" s="3"/>
      <c r="L202" s="3"/>
      <c r="M202" s="3"/>
      <c r="N202" s="10"/>
      <c r="O202" s="18"/>
      <c r="Q202" s="109">
        <v>550</v>
      </c>
      <c r="R202" s="1"/>
      <c r="S202" s="1"/>
      <c r="T202" s="1"/>
      <c r="U202" s="1"/>
      <c r="V202" s="1"/>
      <c r="W202" s="1"/>
      <c r="X202" s="1"/>
    </row>
    <row r="203" spans="1:24" ht="13.15" customHeight="1" x14ac:dyDescent="0.2">
      <c r="A203" s="142"/>
      <c r="B203" s="137" t="s">
        <v>107</v>
      </c>
      <c r="C203" s="19" t="s">
        <v>108</v>
      </c>
      <c r="D203" s="3"/>
      <c r="E203" s="3"/>
      <c r="F203" s="4" t="s">
        <v>905</v>
      </c>
      <c r="G203" s="3"/>
      <c r="H203" s="3"/>
      <c r="I203" s="3"/>
      <c r="J203" s="3"/>
      <c r="K203" s="3"/>
      <c r="L203" s="3"/>
      <c r="M203" s="3"/>
      <c r="N203" s="4"/>
      <c r="O203" s="18"/>
      <c r="Q203" s="111">
        <v>256</v>
      </c>
      <c r="R203" s="1"/>
      <c r="S203" s="107"/>
      <c r="T203" s="1"/>
      <c r="U203" s="1"/>
      <c r="V203" s="107"/>
      <c r="W203" s="1"/>
      <c r="X203" s="1"/>
    </row>
    <row r="204" spans="1:24" x14ac:dyDescent="0.2">
      <c r="A204" s="142"/>
      <c r="B204" s="138"/>
      <c r="C204" s="19" t="s">
        <v>860</v>
      </c>
      <c r="D204" s="3"/>
      <c r="E204" s="3"/>
      <c r="F204" s="4" t="s">
        <v>905</v>
      </c>
      <c r="G204" s="41" t="s">
        <v>519</v>
      </c>
      <c r="H204" s="75" t="s">
        <v>518</v>
      </c>
      <c r="I204" s="3"/>
      <c r="J204" s="3"/>
      <c r="K204" s="3"/>
      <c r="L204" s="3"/>
      <c r="M204" s="3"/>
      <c r="N204" s="10"/>
      <c r="O204" s="18"/>
      <c r="Q204" s="111">
        <v>258</v>
      </c>
      <c r="R204" s="114">
        <v>3</v>
      </c>
      <c r="S204" s="114">
        <v>97</v>
      </c>
      <c r="T204" s="1"/>
      <c r="U204" s="1"/>
      <c r="V204" s="1"/>
      <c r="W204" s="1"/>
      <c r="X204" s="1"/>
    </row>
    <row r="205" spans="1:24" x14ac:dyDescent="0.2">
      <c r="A205" s="142"/>
      <c r="B205" s="138"/>
      <c r="C205" s="19" t="s">
        <v>1004</v>
      </c>
      <c r="D205" s="3"/>
      <c r="E205" s="3"/>
      <c r="F205" s="75" t="s">
        <v>905</v>
      </c>
      <c r="G205" s="3"/>
      <c r="H205" s="3"/>
      <c r="I205" s="3"/>
      <c r="J205" s="3"/>
      <c r="K205" s="3"/>
      <c r="L205" s="3"/>
      <c r="M205" s="3"/>
      <c r="N205" s="13"/>
      <c r="O205" s="18" t="s">
        <v>144</v>
      </c>
      <c r="Q205" s="112">
        <v>282</v>
      </c>
      <c r="R205" s="1"/>
      <c r="S205" s="1"/>
      <c r="T205" s="107"/>
      <c r="U205" s="107"/>
      <c r="V205" s="1"/>
      <c r="W205" s="1"/>
      <c r="X205" s="1"/>
    </row>
    <row r="206" spans="1:24" x14ac:dyDescent="0.2">
      <c r="A206" s="142"/>
      <c r="B206" s="138"/>
      <c r="C206" s="19" t="s">
        <v>1005</v>
      </c>
      <c r="D206" s="3"/>
      <c r="E206" s="3"/>
      <c r="F206" s="4" t="s">
        <v>1006</v>
      </c>
      <c r="G206" s="3"/>
      <c r="H206" s="3"/>
      <c r="I206" s="3"/>
      <c r="J206" s="3"/>
      <c r="K206" s="3"/>
      <c r="L206" s="3"/>
      <c r="M206" s="3"/>
      <c r="N206" s="13"/>
      <c r="O206" s="18"/>
      <c r="Q206" s="112">
        <v>257</v>
      </c>
      <c r="R206" s="1"/>
      <c r="S206" s="1"/>
      <c r="T206" s="107"/>
      <c r="U206" s="107"/>
      <c r="V206" s="1"/>
      <c r="W206" s="1"/>
      <c r="X206" s="1"/>
    </row>
    <row r="207" spans="1:24" x14ac:dyDescent="0.2">
      <c r="A207" s="142"/>
      <c r="B207" s="138"/>
      <c r="C207" s="19" t="s">
        <v>134</v>
      </c>
      <c r="D207" s="3"/>
      <c r="E207" s="3" t="s">
        <v>35</v>
      </c>
      <c r="F207" s="75" t="s">
        <v>905</v>
      </c>
      <c r="G207" s="3"/>
      <c r="H207" s="3"/>
      <c r="I207" s="3"/>
      <c r="J207" s="3"/>
      <c r="K207" s="3"/>
      <c r="L207" s="3"/>
      <c r="M207" s="3"/>
      <c r="N207" s="4"/>
      <c r="O207" s="14"/>
      <c r="Q207" s="112">
        <v>287</v>
      </c>
      <c r="R207" s="1"/>
      <c r="S207" s="1"/>
      <c r="T207" s="1"/>
      <c r="U207" s="1"/>
      <c r="V207" s="1"/>
      <c r="W207" s="1"/>
      <c r="X207" s="1"/>
    </row>
    <row r="208" spans="1:24" x14ac:dyDescent="0.2">
      <c r="A208" s="142"/>
      <c r="B208" s="138"/>
      <c r="C208" s="19" t="s">
        <v>134</v>
      </c>
      <c r="D208" s="3"/>
      <c r="E208" s="3" t="s">
        <v>689</v>
      </c>
      <c r="F208" s="75" t="s">
        <v>905</v>
      </c>
      <c r="G208" s="3"/>
      <c r="H208" s="3"/>
      <c r="I208" s="3"/>
      <c r="J208" s="3"/>
      <c r="K208" s="3"/>
      <c r="L208" s="3"/>
      <c r="M208" s="3"/>
      <c r="N208" s="4"/>
      <c r="O208" s="14"/>
      <c r="Q208" s="112">
        <v>287</v>
      </c>
      <c r="R208" s="1"/>
      <c r="S208" s="1"/>
      <c r="T208" s="1"/>
      <c r="U208" s="1"/>
      <c r="V208" s="1"/>
      <c r="W208" s="1"/>
      <c r="X208" s="1"/>
    </row>
    <row r="210" spans="2:8" x14ac:dyDescent="0.2">
      <c r="B210" s="1" t="s">
        <v>20</v>
      </c>
      <c r="H210" s="2"/>
    </row>
    <row r="211" spans="2:8" x14ac:dyDescent="0.2">
      <c r="B211" s="1"/>
      <c r="G211" s="2"/>
    </row>
    <row r="212" spans="2:8" x14ac:dyDescent="0.2">
      <c r="B212" s="50" t="s">
        <v>25</v>
      </c>
      <c r="C212" s="2" t="s">
        <v>23</v>
      </c>
      <c r="D212" s="2"/>
      <c r="E212" s="2"/>
    </row>
    <row r="213" spans="2:8" x14ac:dyDescent="0.2">
      <c r="B213" s="1" t="s">
        <v>21</v>
      </c>
      <c r="C213" s="2" t="s">
        <v>26</v>
      </c>
      <c r="D213" s="2"/>
      <c r="E213" s="2"/>
      <c r="G213" s="2"/>
    </row>
    <row r="214" spans="2:8" x14ac:dyDescent="0.2">
      <c r="B214" s="15" t="s">
        <v>22</v>
      </c>
      <c r="C214" s="2" t="s">
        <v>24</v>
      </c>
      <c r="D214" s="2"/>
      <c r="E214" s="2"/>
    </row>
    <row r="215" spans="2:8" x14ac:dyDescent="0.2">
      <c r="B215" s="51" t="s">
        <v>64</v>
      </c>
      <c r="C215" s="2" t="s">
        <v>65</v>
      </c>
      <c r="D215" s="2"/>
      <c r="E215" s="2"/>
    </row>
    <row r="216" spans="2:8" x14ac:dyDescent="0.2">
      <c r="B216" s="22" t="s">
        <v>79</v>
      </c>
      <c r="C216" s="2" t="s">
        <v>80</v>
      </c>
      <c r="D216" s="2"/>
      <c r="E216" s="2"/>
    </row>
    <row r="217" spans="2:8" x14ac:dyDescent="0.2">
      <c r="B217" s="7" t="s">
        <v>27</v>
      </c>
      <c r="C217" s="2" t="s">
        <v>177</v>
      </c>
      <c r="D217" s="2"/>
      <c r="E217" s="2"/>
    </row>
    <row r="219" spans="2:8" x14ac:dyDescent="0.2">
      <c r="B219" s="45" t="s">
        <v>30</v>
      </c>
    </row>
    <row r="221" spans="2:8" x14ac:dyDescent="0.2">
      <c r="B221" t="s">
        <v>31</v>
      </c>
      <c r="C221" s="2" t="s">
        <v>32</v>
      </c>
    </row>
    <row r="223" spans="2:8" x14ac:dyDescent="0.2">
      <c r="B223" s="2" t="s">
        <v>33</v>
      </c>
    </row>
    <row r="225" spans="2:5" x14ac:dyDescent="0.2">
      <c r="B225" s="2" t="s">
        <v>74</v>
      </c>
    </row>
    <row r="226" spans="2:5" x14ac:dyDescent="0.2">
      <c r="B226" s="2" t="s">
        <v>38</v>
      </c>
      <c r="C226" s="2" t="s">
        <v>81</v>
      </c>
      <c r="D226" s="2"/>
      <c r="E226" s="2"/>
    </row>
    <row r="227" spans="2:5" x14ac:dyDescent="0.2">
      <c r="B227" s="2" t="s">
        <v>75</v>
      </c>
      <c r="C227" s="2" t="s">
        <v>82</v>
      </c>
      <c r="D227" s="2"/>
      <c r="E227" s="2"/>
    </row>
    <row r="228" spans="2:5" x14ac:dyDescent="0.2">
      <c r="B228" s="2" t="s">
        <v>76</v>
      </c>
      <c r="C228" s="2" t="s">
        <v>482</v>
      </c>
      <c r="D228" s="2"/>
      <c r="E228" s="2"/>
    </row>
    <row r="229" spans="2:5" x14ac:dyDescent="0.2">
      <c r="B229" s="2" t="s">
        <v>11</v>
      </c>
      <c r="C229" s="2" t="s">
        <v>77</v>
      </c>
      <c r="D229" s="2"/>
      <c r="E229" s="2"/>
    </row>
  </sheetData>
  <mergeCells count="32">
    <mergeCell ref="B37:B55"/>
    <mergeCell ref="B56:B74"/>
    <mergeCell ref="B117:B125"/>
    <mergeCell ref="B126:B127"/>
    <mergeCell ref="B106:B116"/>
    <mergeCell ref="B83:B98"/>
    <mergeCell ref="B99:B105"/>
    <mergeCell ref="A25:A125"/>
    <mergeCell ref="B20:B24"/>
    <mergeCell ref="A2:A24"/>
    <mergeCell ref="B163:B167"/>
    <mergeCell ref="B168:B174"/>
    <mergeCell ref="A126:A208"/>
    <mergeCell ref="B75:B82"/>
    <mergeCell ref="B178:B189"/>
    <mergeCell ref="B190:B202"/>
    <mergeCell ref="B175:B177"/>
    <mergeCell ref="B2:B19"/>
    <mergeCell ref="B203:B208"/>
    <mergeCell ref="B143:B162"/>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9"/>
  <sheetViews>
    <sheetView tabSelected="1" zoomScale="115" zoomScaleNormal="115" workbookViewId="0">
      <pane ySplit="1" topLeftCell="A2" activePane="bottomLeft" state="frozen"/>
      <selection pane="bottomLeft" activeCell="K23" sqref="K23"/>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28.140625" style="30" bestFit="1" customWidth="1"/>
    <col min="6" max="6" width="6.140625" style="27" bestFit="1" customWidth="1"/>
    <col min="7" max="7" width="5.140625" style="27" bestFit="1" customWidth="1"/>
    <col min="8" max="10" width="5.85546875" style="27" bestFit="1"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841</v>
      </c>
      <c r="I1" s="26" t="s">
        <v>652</v>
      </c>
      <c r="J1" s="26" t="s">
        <v>651</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621</v>
      </c>
      <c r="Y1" s="25" t="s">
        <v>46</v>
      </c>
      <c r="Z1" s="25" t="s">
        <v>15</v>
      </c>
    </row>
    <row r="2" spans="1:26" ht="13.15" customHeight="1" x14ac:dyDescent="0.2">
      <c r="A2" s="30">
        <v>1</v>
      </c>
      <c r="B2" s="30" t="s">
        <v>28</v>
      </c>
      <c r="C2" s="30" t="s">
        <v>48</v>
      </c>
      <c r="D2" s="30" t="s">
        <v>48</v>
      </c>
      <c r="E2" s="33" t="s">
        <v>90</v>
      </c>
      <c r="F2" s="28" t="s">
        <v>127</v>
      </c>
      <c r="G2" s="28"/>
      <c r="H2" s="28" t="s">
        <v>111</v>
      </c>
      <c r="I2" s="28"/>
      <c r="J2" s="28"/>
      <c r="K2" s="28"/>
      <c r="L2" s="55">
        <f>VLOOKUP($A2, Stat!$A$1:$C$1000, 2,0)</f>
        <v>15</v>
      </c>
      <c r="M2" s="55">
        <f>VLOOKUP($A2, Stat!$A$1:$C$1000, 3,0)</f>
        <v>1</v>
      </c>
      <c r="N2" s="27">
        <v>1</v>
      </c>
      <c r="R2" s="29"/>
      <c r="S2" s="29"/>
      <c r="T2" s="29"/>
      <c r="U2" s="30">
        <v>0</v>
      </c>
      <c r="V2" s="30">
        <v>-1</v>
      </c>
      <c r="Y2" s="30" t="s">
        <v>87</v>
      </c>
    </row>
    <row r="3" spans="1:26" ht="13.15" customHeight="1" x14ac:dyDescent="0.2">
      <c r="A3" s="30">
        <v>2</v>
      </c>
      <c r="B3" s="30" t="s">
        <v>28</v>
      </c>
      <c r="C3" s="30" t="s">
        <v>11</v>
      </c>
      <c r="D3" s="30" t="s">
        <v>394</v>
      </c>
      <c r="E3" s="33" t="s">
        <v>545</v>
      </c>
      <c r="F3" s="28" t="s">
        <v>303</v>
      </c>
      <c r="G3" s="28"/>
      <c r="H3" s="28" t="s">
        <v>111</v>
      </c>
      <c r="I3" s="28"/>
      <c r="J3" s="28"/>
      <c r="K3" s="28"/>
      <c r="L3" s="55">
        <f>VLOOKUP($A3, Stat!$A$1:$C$1000, 2,0)</f>
        <v>8</v>
      </c>
      <c r="M3" s="55">
        <f>VLOOKUP($A3, Stat!$A$1:$C$1000, 3,0)</f>
        <v>2</v>
      </c>
      <c r="N3" s="27">
        <v>1</v>
      </c>
      <c r="R3" s="29"/>
      <c r="S3" s="29"/>
      <c r="T3" s="29"/>
      <c r="U3" s="30">
        <v>50</v>
      </c>
      <c r="V3" s="30">
        <v>0</v>
      </c>
      <c r="W3" s="30">
        <v>10</v>
      </c>
      <c r="Y3" s="30" t="s">
        <v>207</v>
      </c>
      <c r="Z3" s="30" t="s">
        <v>470</v>
      </c>
    </row>
    <row r="4" spans="1:26" ht="13.15" customHeight="1" x14ac:dyDescent="0.2">
      <c r="A4" s="30">
        <v>3</v>
      </c>
      <c r="B4" s="30" t="s">
        <v>13</v>
      </c>
      <c r="C4" s="30" t="s">
        <v>107</v>
      </c>
      <c r="D4" s="30" t="s">
        <v>860</v>
      </c>
      <c r="E4" s="30" t="s">
        <v>519</v>
      </c>
      <c r="H4" s="28" t="s">
        <v>111</v>
      </c>
      <c r="L4" s="27">
        <f>VLOOKUP($A4, Stat!$A$1:$C$1000, 2,0)</f>
        <v>0</v>
      </c>
      <c r="M4" s="27">
        <f>VLOOKUP($A4, Stat!$A$1:$C$1000, 3,0)</f>
        <v>0</v>
      </c>
      <c r="N4" s="58"/>
      <c r="U4" s="30">
        <v>0</v>
      </c>
      <c r="V4" s="30">
        <v>0</v>
      </c>
      <c r="Z4" s="30" t="s">
        <v>435</v>
      </c>
    </row>
    <row r="5" spans="1:26" ht="13.15" customHeight="1" x14ac:dyDescent="0.2">
      <c r="A5" s="30">
        <v>8</v>
      </c>
      <c r="B5" s="30" t="s">
        <v>28</v>
      </c>
      <c r="C5" s="30" t="s">
        <v>594</v>
      </c>
      <c r="D5" s="30" t="s">
        <v>5</v>
      </c>
      <c r="E5" s="33" t="s">
        <v>51</v>
      </c>
      <c r="F5" s="28" t="s">
        <v>127</v>
      </c>
      <c r="G5" s="28"/>
      <c r="H5" s="28" t="s">
        <v>111</v>
      </c>
      <c r="I5" s="28"/>
      <c r="J5" s="28"/>
      <c r="K5" s="28"/>
      <c r="L5" s="55">
        <f>VLOOKUP($A5, Stat!$A$1:$C$1000, 2,0)</f>
        <v>491</v>
      </c>
      <c r="M5" s="55">
        <f>VLOOKUP($A5, Stat!$A$1:$C$1000, 3,0)</f>
        <v>1</v>
      </c>
      <c r="N5" s="58"/>
      <c r="R5" s="29"/>
      <c r="S5" s="29"/>
      <c r="T5" s="29"/>
      <c r="U5" s="30">
        <v>0</v>
      </c>
      <c r="V5" s="30">
        <v>-1</v>
      </c>
      <c r="Z5" s="30" t="s">
        <v>352</v>
      </c>
    </row>
    <row r="6" spans="1:26" ht="13.15" customHeight="1" x14ac:dyDescent="0.2">
      <c r="A6" s="30">
        <v>10</v>
      </c>
      <c r="B6" s="30" t="s">
        <v>28</v>
      </c>
      <c r="C6" s="30" t="s">
        <v>566</v>
      </c>
      <c r="D6" s="30" t="s">
        <v>558</v>
      </c>
      <c r="E6" s="33" t="s">
        <v>146</v>
      </c>
      <c r="F6" s="69" t="s">
        <v>218</v>
      </c>
      <c r="G6" s="29"/>
      <c r="H6" s="28" t="s">
        <v>111</v>
      </c>
      <c r="I6" s="29"/>
      <c r="J6" s="29"/>
      <c r="K6" s="28" t="s">
        <v>226</v>
      </c>
      <c r="L6" s="55">
        <f>VLOOKUP($A6, Stat!$A$1:$C$1000, 2,0)</f>
        <v>39</v>
      </c>
      <c r="M6" s="55">
        <f>VLOOKUP($A6, Stat!$A$1:$C$1000, 3,0)</f>
        <v>1</v>
      </c>
      <c r="O6" s="27">
        <v>1</v>
      </c>
      <c r="R6" s="29"/>
      <c r="S6" s="29"/>
      <c r="T6" s="29"/>
      <c r="U6" s="30">
        <v>0</v>
      </c>
      <c r="V6" s="30">
        <v>-1</v>
      </c>
      <c r="Y6" s="30" t="s">
        <v>864</v>
      </c>
    </row>
    <row r="7" spans="1:26" ht="13.15" customHeight="1" x14ac:dyDescent="0.2">
      <c r="A7" s="30">
        <v>12</v>
      </c>
      <c r="B7" s="30" t="s">
        <v>28</v>
      </c>
      <c r="C7" s="30" t="s">
        <v>566</v>
      </c>
      <c r="D7" s="30" t="s">
        <v>548</v>
      </c>
      <c r="E7" s="33" t="s">
        <v>550</v>
      </c>
      <c r="F7" s="29"/>
      <c r="G7" s="29"/>
      <c r="H7" s="28" t="s">
        <v>111</v>
      </c>
      <c r="I7" s="29"/>
      <c r="J7" s="29"/>
      <c r="K7" s="29"/>
      <c r="L7" s="55">
        <f>VLOOKUP($A7, Stat!$A$1:$C$1000, 2,0)</f>
        <v>108</v>
      </c>
      <c r="M7" s="55">
        <f>VLOOKUP($A7, Stat!$A$1:$C$1000, 3,0)</f>
        <v>39</v>
      </c>
      <c r="N7" s="27">
        <v>1</v>
      </c>
      <c r="R7" s="28" t="s">
        <v>112</v>
      </c>
      <c r="S7" s="29"/>
      <c r="T7" s="29"/>
      <c r="U7" s="30">
        <v>100</v>
      </c>
      <c r="V7" s="30">
        <v>0</v>
      </c>
      <c r="Z7" s="30" t="s">
        <v>153</v>
      </c>
    </row>
    <row r="8" spans="1:26" ht="13.15" customHeight="1" x14ac:dyDescent="0.2">
      <c r="A8" s="30">
        <v>15</v>
      </c>
      <c r="B8" s="30" t="s">
        <v>28</v>
      </c>
      <c r="C8" s="30" t="s">
        <v>12</v>
      </c>
      <c r="D8" s="30" t="s">
        <v>138</v>
      </c>
      <c r="E8" s="33" t="s">
        <v>316</v>
      </c>
      <c r="F8" s="69" t="s">
        <v>218</v>
      </c>
      <c r="G8" s="28"/>
      <c r="H8" s="28" t="s">
        <v>111</v>
      </c>
      <c r="I8" s="28"/>
      <c r="J8" s="28"/>
      <c r="K8" s="28" t="s">
        <v>226</v>
      </c>
      <c r="L8" s="55">
        <f>VLOOKUP($A8, Stat!$A$1:$C$1000, 2,0)</f>
        <v>36</v>
      </c>
      <c r="M8" s="55">
        <f>VLOOKUP($A8, Stat!$A$1:$C$1000, 3,0)</f>
        <v>2</v>
      </c>
      <c r="O8" s="27">
        <v>1</v>
      </c>
      <c r="Q8" s="27">
        <v>1</v>
      </c>
      <c r="R8" s="29"/>
      <c r="S8" s="28"/>
      <c r="T8" s="28"/>
      <c r="U8" s="30">
        <v>0</v>
      </c>
      <c r="V8" s="30">
        <v>0</v>
      </c>
      <c r="Z8" s="30" t="s">
        <v>870</v>
      </c>
    </row>
    <row r="9" spans="1:26" ht="13.15" customHeight="1" x14ac:dyDescent="0.2">
      <c r="A9" s="30">
        <v>16</v>
      </c>
      <c r="B9" s="30" t="s">
        <v>28</v>
      </c>
      <c r="C9" s="30" t="s">
        <v>12</v>
      </c>
      <c r="D9" s="30" t="s">
        <v>138</v>
      </c>
      <c r="E9" s="33" t="s">
        <v>317</v>
      </c>
      <c r="F9" s="69" t="s">
        <v>218</v>
      </c>
      <c r="G9" s="28"/>
      <c r="H9" s="28" t="s">
        <v>111</v>
      </c>
      <c r="I9" s="28"/>
      <c r="J9" s="28"/>
      <c r="K9" s="28" t="s">
        <v>226</v>
      </c>
      <c r="L9" s="55">
        <f>VLOOKUP($A9, Stat!$A$1:$C$1000, 2,0)</f>
        <v>20</v>
      </c>
      <c r="M9" s="55">
        <f>VLOOKUP($A9, Stat!$A$1:$C$1000, 3,0)</f>
        <v>1</v>
      </c>
      <c r="O9" s="27">
        <v>1</v>
      </c>
      <c r="R9" s="29"/>
      <c r="S9" s="28"/>
      <c r="T9" s="28"/>
      <c r="U9" s="30">
        <v>0</v>
      </c>
      <c r="V9" s="30">
        <v>0</v>
      </c>
      <c r="Z9" s="30" t="s">
        <v>870</v>
      </c>
    </row>
    <row r="10" spans="1:26" ht="13.15" customHeight="1" x14ac:dyDescent="0.2">
      <c r="A10" s="30">
        <v>17</v>
      </c>
      <c r="B10" s="30" t="s">
        <v>13</v>
      </c>
      <c r="C10" s="30" t="s">
        <v>13</v>
      </c>
      <c r="D10" s="30" t="s">
        <v>521</v>
      </c>
      <c r="E10" s="33" t="s">
        <v>323</v>
      </c>
      <c r="F10" s="28" t="s">
        <v>218</v>
      </c>
      <c r="G10" s="28"/>
      <c r="H10" s="28" t="s">
        <v>111</v>
      </c>
      <c r="I10" s="28"/>
      <c r="J10" s="28"/>
      <c r="K10" s="28" t="s">
        <v>336</v>
      </c>
      <c r="L10" s="55">
        <f>VLOOKUP($A10, Stat!$A$1:$C$1000, 2,0)</f>
        <v>6</v>
      </c>
      <c r="M10" s="55">
        <f>VLOOKUP($A10, Stat!$A$1:$C$1000, 3,0)</f>
        <v>0</v>
      </c>
      <c r="N10" s="58"/>
      <c r="O10" s="27">
        <v>1</v>
      </c>
      <c r="R10" s="28"/>
      <c r="S10" s="29"/>
      <c r="T10" s="28" t="s">
        <v>335</v>
      </c>
      <c r="U10" s="30">
        <v>0</v>
      </c>
      <c r="V10" s="30">
        <v>0</v>
      </c>
      <c r="Y10" s="30" t="s">
        <v>866</v>
      </c>
    </row>
    <row r="11" spans="1:26" ht="13.15" customHeight="1" x14ac:dyDescent="0.2">
      <c r="A11" s="30">
        <v>18</v>
      </c>
      <c r="B11" s="30" t="s">
        <v>28</v>
      </c>
      <c r="C11" s="30" t="s">
        <v>11</v>
      </c>
      <c r="D11" s="30" t="s">
        <v>397</v>
      </c>
      <c r="E11" s="33" t="s">
        <v>545</v>
      </c>
      <c r="F11" s="28" t="s">
        <v>303</v>
      </c>
      <c r="G11" s="29"/>
      <c r="H11" s="28" t="s">
        <v>111</v>
      </c>
      <c r="I11" s="29"/>
      <c r="J11" s="29"/>
      <c r="K11" s="28"/>
      <c r="L11" s="55">
        <f>VLOOKUP($A11, Stat!$A$1:$C$1000, 2,0)</f>
        <v>4</v>
      </c>
      <c r="M11" s="55">
        <f>VLOOKUP($A11, Stat!$A$1:$C$1000, 3,0)</f>
        <v>0</v>
      </c>
      <c r="N11" s="56">
        <v>1</v>
      </c>
      <c r="R11" s="29"/>
      <c r="S11" s="29"/>
      <c r="T11" s="29"/>
      <c r="U11" s="30">
        <v>0</v>
      </c>
      <c r="V11" s="30">
        <v>0</v>
      </c>
      <c r="W11" s="30">
        <v>2345</v>
      </c>
      <c r="Y11" s="30" t="s">
        <v>195</v>
      </c>
    </row>
    <row r="12" spans="1:26" ht="13.15" customHeight="1" x14ac:dyDescent="0.2">
      <c r="A12" s="30">
        <v>19</v>
      </c>
      <c r="B12" s="30" t="s">
        <v>28</v>
      </c>
      <c r="C12" s="30" t="s">
        <v>11</v>
      </c>
      <c r="D12" s="30" t="s">
        <v>397</v>
      </c>
      <c r="E12" s="33" t="s">
        <v>492</v>
      </c>
      <c r="F12" s="28" t="s">
        <v>303</v>
      </c>
      <c r="G12" s="29"/>
      <c r="H12" s="28" t="s">
        <v>111</v>
      </c>
      <c r="I12" s="29"/>
      <c r="J12" s="29"/>
      <c r="K12" s="28"/>
      <c r="L12" s="55">
        <f>VLOOKUP($A12, Stat!$A$1:$C$1000, 2,0)</f>
        <v>33</v>
      </c>
      <c r="M12" s="55">
        <f>VLOOKUP($A12, Stat!$A$1:$C$1000, 3,0)</f>
        <v>21</v>
      </c>
      <c r="N12" s="27">
        <v>1</v>
      </c>
      <c r="R12" s="28" t="s">
        <v>172</v>
      </c>
      <c r="S12" s="29"/>
      <c r="T12" s="29"/>
      <c r="U12" s="30">
        <v>50</v>
      </c>
      <c r="V12" s="30">
        <v>0</v>
      </c>
      <c r="W12" s="30">
        <v>2345</v>
      </c>
      <c r="Y12" s="30" t="s">
        <v>195</v>
      </c>
    </row>
    <row r="13" spans="1:26" ht="13.15" customHeight="1" x14ac:dyDescent="0.2">
      <c r="A13" s="30">
        <v>20</v>
      </c>
      <c r="B13" s="30" t="s">
        <v>13</v>
      </c>
      <c r="C13" s="30" t="s">
        <v>13</v>
      </c>
      <c r="D13" s="30" t="s">
        <v>522</v>
      </c>
      <c r="E13" s="33" t="s">
        <v>326</v>
      </c>
      <c r="F13" s="28" t="s">
        <v>218</v>
      </c>
      <c r="G13" s="28"/>
      <c r="H13" s="28" t="s">
        <v>111</v>
      </c>
      <c r="I13" s="28"/>
      <c r="J13" s="28"/>
      <c r="K13" s="28" t="s">
        <v>337</v>
      </c>
      <c r="L13" s="55">
        <f>VLOOKUP($A13, Stat!$A$1:$C$1000, 2,0)</f>
        <v>5</v>
      </c>
      <c r="M13" s="55">
        <f>VLOOKUP($A13, Stat!$A$1:$C$1000, 3,0)</f>
        <v>0</v>
      </c>
      <c r="N13" s="58"/>
      <c r="O13" s="27">
        <v>1</v>
      </c>
      <c r="R13" s="28"/>
      <c r="S13" s="29"/>
      <c r="T13" s="28" t="s">
        <v>335</v>
      </c>
      <c r="U13" s="30">
        <v>0</v>
      </c>
      <c r="V13" s="30">
        <v>0</v>
      </c>
      <c r="Y13" s="30" t="s">
        <v>867</v>
      </c>
    </row>
    <row r="14" spans="1:26" ht="13.15" customHeight="1" x14ac:dyDescent="0.2">
      <c r="A14" s="30">
        <v>21</v>
      </c>
      <c r="B14" s="30" t="s">
        <v>28</v>
      </c>
      <c r="C14" s="30" t="s">
        <v>566</v>
      </c>
      <c r="D14" s="30" t="s">
        <v>547</v>
      </c>
      <c r="E14" s="33" t="s">
        <v>69</v>
      </c>
      <c r="F14" s="29"/>
      <c r="G14" s="29"/>
      <c r="H14" s="28" t="s">
        <v>111</v>
      </c>
      <c r="I14" s="29"/>
      <c r="J14" s="29"/>
      <c r="K14" s="29"/>
      <c r="L14" s="55">
        <f>VLOOKUP($A14, Stat!$A$1:$C$1000, 2,0)</f>
        <v>198</v>
      </c>
      <c r="M14" s="55">
        <f>VLOOKUP($A14, Stat!$A$1:$C$1000, 3,0)</f>
        <v>1</v>
      </c>
      <c r="N14" s="58"/>
      <c r="Q14" s="27">
        <v>1</v>
      </c>
      <c r="R14" s="29"/>
      <c r="S14" s="29"/>
      <c r="T14" s="29"/>
      <c r="U14" s="30">
        <v>0</v>
      </c>
      <c r="V14" s="30">
        <v>-1</v>
      </c>
      <c r="Z14" s="30" t="s">
        <v>149</v>
      </c>
    </row>
    <row r="15" spans="1:26" ht="13.15" customHeight="1" x14ac:dyDescent="0.2">
      <c r="A15" s="30">
        <v>22</v>
      </c>
      <c r="B15" s="30" t="s">
        <v>28</v>
      </c>
      <c r="C15" s="30" t="s">
        <v>594</v>
      </c>
      <c r="D15" s="30" t="s">
        <v>5</v>
      </c>
      <c r="E15" s="33" t="s">
        <v>50</v>
      </c>
      <c r="F15" s="28" t="s">
        <v>127</v>
      </c>
      <c r="G15" s="28"/>
      <c r="H15" s="28" t="s">
        <v>111</v>
      </c>
      <c r="I15" s="28"/>
      <c r="J15" s="28"/>
      <c r="K15" s="28"/>
      <c r="L15" s="55">
        <f>VLOOKUP($A15, Stat!$A$1:$C$1000, 2,0)</f>
        <v>24</v>
      </c>
      <c r="M15" s="55">
        <f>VLOOKUP($A15, Stat!$A$1:$C$1000, 3,0)</f>
        <v>12</v>
      </c>
      <c r="N15" s="27">
        <v>1</v>
      </c>
      <c r="R15" s="29"/>
      <c r="S15" s="29"/>
      <c r="T15" s="29"/>
      <c r="U15" s="30">
        <v>0</v>
      </c>
      <c r="V15" s="30">
        <v>-1</v>
      </c>
      <c r="Z15" s="30" t="s">
        <v>353</v>
      </c>
    </row>
    <row r="16" spans="1:26" ht="13.15" customHeight="1" x14ac:dyDescent="0.2">
      <c r="A16" s="30">
        <v>23</v>
      </c>
      <c r="B16" s="30" t="s">
        <v>13</v>
      </c>
      <c r="C16" s="30" t="s">
        <v>13</v>
      </c>
      <c r="D16" s="30" t="s">
        <v>331</v>
      </c>
      <c r="E16" s="33" t="s">
        <v>334</v>
      </c>
      <c r="F16" s="28" t="s">
        <v>218</v>
      </c>
      <c r="G16" s="28"/>
      <c r="H16" s="28" t="s">
        <v>111</v>
      </c>
      <c r="I16" s="28" t="s">
        <v>682</v>
      </c>
      <c r="J16" s="28"/>
      <c r="K16" s="28" t="s">
        <v>336</v>
      </c>
      <c r="L16" s="55">
        <f>VLOOKUP($A16, Stat!$A$1:$C$1000, 2,0)</f>
        <v>19</v>
      </c>
      <c r="M16" s="55">
        <f>VLOOKUP($A16, Stat!$A$1:$C$1000, 3,0)</f>
        <v>1</v>
      </c>
      <c r="N16" s="57"/>
      <c r="R16" s="28"/>
      <c r="S16" s="29"/>
      <c r="T16" s="28" t="s">
        <v>335</v>
      </c>
      <c r="U16" s="30">
        <v>0</v>
      </c>
      <c r="V16" s="30">
        <v>0</v>
      </c>
      <c r="Z16" s="30" t="s">
        <v>364</v>
      </c>
    </row>
    <row r="17" spans="1:26" ht="13.15" customHeight="1" x14ac:dyDescent="0.2">
      <c r="A17" s="30">
        <v>24</v>
      </c>
      <c r="B17" s="30" t="s">
        <v>13</v>
      </c>
      <c r="C17" s="30" t="s">
        <v>502</v>
      </c>
      <c r="D17" s="30" t="s">
        <v>795</v>
      </c>
      <c r="E17" s="33" t="s">
        <v>698</v>
      </c>
      <c r="F17" s="28" t="s">
        <v>217</v>
      </c>
      <c r="G17" s="29"/>
      <c r="H17" s="28" t="s">
        <v>111</v>
      </c>
      <c r="I17" s="29"/>
      <c r="J17" s="29"/>
      <c r="K17" s="28" t="s">
        <v>966</v>
      </c>
      <c r="L17" s="55">
        <f>VLOOKUP($A17, Stat!$A$1:$C$1000, 2,0)</f>
        <v>54</v>
      </c>
      <c r="M17" s="55">
        <f>VLOOKUP($A17, Stat!$A$1:$C$1000, 3,0)</f>
        <v>9</v>
      </c>
      <c r="N17" s="27">
        <v>1</v>
      </c>
      <c r="R17" s="29"/>
      <c r="S17" s="29"/>
      <c r="T17" s="29"/>
      <c r="U17" s="30">
        <v>0</v>
      </c>
      <c r="V17" s="30">
        <v>0</v>
      </c>
      <c r="X17" s="30" t="s">
        <v>693</v>
      </c>
    </row>
    <row r="18" spans="1:26" ht="13.15" customHeight="1" x14ac:dyDescent="0.2">
      <c r="A18" s="30">
        <v>25</v>
      </c>
      <c r="B18" s="30" t="s">
        <v>28</v>
      </c>
      <c r="C18" s="30" t="s">
        <v>594</v>
      </c>
      <c r="D18" s="30" t="s">
        <v>605</v>
      </c>
      <c r="E18" s="30" t="s">
        <v>2</v>
      </c>
      <c r="F18" s="27">
        <v>5</v>
      </c>
      <c r="H18" s="28" t="s">
        <v>111</v>
      </c>
      <c r="N18" s="27">
        <v>1</v>
      </c>
      <c r="U18" s="30">
        <v>50</v>
      </c>
      <c r="V18" s="30">
        <v>0</v>
      </c>
      <c r="Y18" s="30" t="s">
        <v>347</v>
      </c>
    </row>
    <row r="19" spans="1:26" ht="13.15" customHeight="1" x14ac:dyDescent="0.2">
      <c r="A19" s="30">
        <v>26</v>
      </c>
      <c r="B19" s="30" t="s">
        <v>28</v>
      </c>
      <c r="C19" s="30" t="s">
        <v>594</v>
      </c>
      <c r="D19" s="30" t="s">
        <v>605</v>
      </c>
      <c r="E19" s="33" t="s">
        <v>3</v>
      </c>
      <c r="F19" s="27">
        <v>5</v>
      </c>
      <c r="G19" s="29"/>
      <c r="H19" s="28" t="s">
        <v>111</v>
      </c>
      <c r="I19" s="29"/>
      <c r="J19" s="29"/>
      <c r="K19" s="29"/>
      <c r="L19" s="55"/>
      <c r="M19" s="55"/>
      <c r="N19" s="27">
        <v>1</v>
      </c>
      <c r="R19" s="29"/>
      <c r="S19" s="29"/>
      <c r="T19" s="29"/>
      <c r="U19" s="30">
        <v>50</v>
      </c>
      <c r="V19" s="30">
        <v>0</v>
      </c>
      <c r="Y19" s="30" t="s">
        <v>347</v>
      </c>
    </row>
    <row r="20" spans="1:26" ht="13.15" customHeight="1" x14ac:dyDescent="0.2">
      <c r="A20" s="30">
        <v>27</v>
      </c>
      <c r="B20" s="30" t="s">
        <v>28</v>
      </c>
      <c r="C20" s="30" t="s">
        <v>594</v>
      </c>
      <c r="D20" s="30" t="s">
        <v>605</v>
      </c>
      <c r="E20" s="30" t="s">
        <v>4</v>
      </c>
      <c r="F20" s="27">
        <v>5</v>
      </c>
      <c r="H20" s="28" t="s">
        <v>111</v>
      </c>
      <c r="N20" s="27">
        <v>1</v>
      </c>
      <c r="U20" s="30">
        <v>100</v>
      </c>
      <c r="V20" s="30">
        <v>0</v>
      </c>
      <c r="Y20" s="30" t="s">
        <v>347</v>
      </c>
    </row>
    <row r="21" spans="1:26" ht="13.15" customHeight="1" x14ac:dyDescent="0.2">
      <c r="A21" s="30">
        <v>28</v>
      </c>
      <c r="B21" s="30" t="s">
        <v>28</v>
      </c>
      <c r="C21" s="30" t="s">
        <v>594</v>
      </c>
      <c r="D21" s="30" t="s">
        <v>605</v>
      </c>
      <c r="E21" s="30" t="s">
        <v>34</v>
      </c>
      <c r="F21" s="27">
        <v>5</v>
      </c>
      <c r="H21" s="28" t="s">
        <v>111</v>
      </c>
      <c r="N21" s="27">
        <v>1</v>
      </c>
      <c r="U21" s="30">
        <v>100</v>
      </c>
      <c r="V21" s="30">
        <v>0</v>
      </c>
      <c r="Y21" s="30" t="s">
        <v>347</v>
      </c>
    </row>
    <row r="22" spans="1:26" ht="13.15" customHeight="1" x14ac:dyDescent="0.2">
      <c r="A22" s="30">
        <v>30</v>
      </c>
      <c r="B22" s="30" t="s">
        <v>95</v>
      </c>
      <c r="C22" s="30" t="s">
        <v>727</v>
      </c>
      <c r="D22" s="30" t="s">
        <v>641</v>
      </c>
      <c r="E22" s="33" t="s">
        <v>62</v>
      </c>
      <c r="F22" s="29" t="s">
        <v>219</v>
      </c>
      <c r="G22" s="29"/>
      <c r="H22" s="28" t="s">
        <v>111</v>
      </c>
      <c r="I22" s="29"/>
      <c r="J22" s="29"/>
      <c r="K22" s="29" t="s">
        <v>1007</v>
      </c>
      <c r="L22" s="57">
        <f>VLOOKUP($A22, Stat!$A$1:$C$1000, 2,0)</f>
        <v>0</v>
      </c>
      <c r="M22" s="57">
        <f>VLOOKUP($A22, Stat!$A$1:$C$1000, 3,0)</f>
        <v>0</v>
      </c>
      <c r="N22" s="27">
        <v>1</v>
      </c>
      <c r="R22" s="29"/>
      <c r="S22" s="29"/>
      <c r="U22" s="30">
        <v>100</v>
      </c>
      <c r="V22" s="30">
        <v>0</v>
      </c>
      <c r="Z22" s="30" t="s">
        <v>471</v>
      </c>
    </row>
    <row r="23" spans="1:26" ht="13.15" customHeight="1" x14ac:dyDescent="0.2">
      <c r="A23" s="30">
        <v>31</v>
      </c>
      <c r="B23" s="30" t="s">
        <v>28</v>
      </c>
      <c r="C23" s="30" t="s">
        <v>11</v>
      </c>
      <c r="D23" s="30" t="s">
        <v>394</v>
      </c>
      <c r="E23" s="33" t="s">
        <v>492</v>
      </c>
      <c r="F23" s="28" t="s">
        <v>303</v>
      </c>
      <c r="G23" s="28"/>
      <c r="H23" s="28" t="s">
        <v>111</v>
      </c>
      <c r="I23" s="28"/>
      <c r="J23" s="28"/>
      <c r="K23" s="28"/>
      <c r="L23" s="55">
        <f>VLOOKUP($A23, Stat!$A$1:$C$1000, 2,0)</f>
        <v>29</v>
      </c>
      <c r="M23" s="55">
        <f>VLOOKUP($A23, Stat!$A$1:$C$1000, 3,0)</f>
        <v>3</v>
      </c>
      <c r="N23" s="56"/>
      <c r="R23" s="28" t="s">
        <v>129</v>
      </c>
      <c r="S23" s="29"/>
      <c r="T23" s="29"/>
      <c r="U23" s="30">
        <v>100</v>
      </c>
      <c r="V23" s="30">
        <v>0</v>
      </c>
      <c r="W23" s="30">
        <v>10</v>
      </c>
      <c r="Y23" s="30" t="s">
        <v>207</v>
      </c>
    </row>
    <row r="24" spans="1:26" ht="13.15" customHeight="1" x14ac:dyDescent="0.2">
      <c r="A24" s="30">
        <v>36</v>
      </c>
      <c r="B24" s="30" t="s">
        <v>13</v>
      </c>
      <c r="C24" s="30" t="s">
        <v>495</v>
      </c>
      <c r="D24" s="30" t="s">
        <v>787</v>
      </c>
      <c r="E24" s="30" t="s">
        <v>903</v>
      </c>
      <c r="F24" s="28"/>
      <c r="G24" s="28"/>
      <c r="H24" s="28" t="s">
        <v>111</v>
      </c>
      <c r="I24" s="29"/>
      <c r="J24" s="29"/>
      <c r="K24" s="28"/>
      <c r="L24" s="55"/>
      <c r="M24" s="55"/>
      <c r="N24" s="58"/>
      <c r="R24" s="28" t="s">
        <v>736</v>
      </c>
      <c r="S24" s="29"/>
      <c r="T24" s="29"/>
      <c r="U24" s="30">
        <v>100</v>
      </c>
      <c r="V24" s="30">
        <v>0</v>
      </c>
      <c r="Z24" s="30" t="s">
        <v>507</v>
      </c>
    </row>
    <row r="25" spans="1:26" ht="13.15" customHeight="1" x14ac:dyDescent="0.2">
      <c r="A25" s="30">
        <v>39</v>
      </c>
      <c r="B25" s="30" t="s">
        <v>28</v>
      </c>
      <c r="C25" s="30" t="s">
        <v>566</v>
      </c>
      <c r="D25" s="30" t="s">
        <v>558</v>
      </c>
      <c r="E25" s="33" t="s">
        <v>145</v>
      </c>
      <c r="F25" s="69" t="s">
        <v>218</v>
      </c>
      <c r="G25" s="29"/>
      <c r="H25" s="28" t="s">
        <v>111</v>
      </c>
      <c r="I25" s="29"/>
      <c r="J25" s="29"/>
      <c r="K25" s="28" t="s">
        <v>226</v>
      </c>
      <c r="L25" s="55">
        <f>VLOOKUP($A25, Stat!$A$1:$C$1000, 2,0)</f>
        <v>21</v>
      </c>
      <c r="M25" s="55">
        <f>VLOOKUP($A25, Stat!$A$1:$C$1000, 3,0)</f>
        <v>0</v>
      </c>
      <c r="N25" s="58"/>
      <c r="R25" s="29"/>
      <c r="S25" s="29"/>
      <c r="T25" s="29"/>
      <c r="U25" s="30">
        <v>50</v>
      </c>
      <c r="V25" s="30">
        <v>0</v>
      </c>
      <c r="Y25" s="30" t="s">
        <v>864</v>
      </c>
    </row>
    <row r="26" spans="1:26" ht="13.15" customHeight="1" x14ac:dyDescent="0.2">
      <c r="A26" s="30">
        <v>41</v>
      </c>
      <c r="B26" s="30" t="s">
        <v>95</v>
      </c>
      <c r="C26" s="30" t="s">
        <v>95</v>
      </c>
      <c r="D26" s="30" t="s">
        <v>477</v>
      </c>
      <c r="E26" s="30" t="s">
        <v>35</v>
      </c>
      <c r="H26" s="28" t="s">
        <v>111</v>
      </c>
      <c r="L26" s="55">
        <f>VLOOKUP($A26, Stat!$A$1:$C$1000, 2,0)</f>
        <v>15</v>
      </c>
      <c r="M26" s="55">
        <f>VLOOKUP($A26, Stat!$A$1:$C$1000, 3,0)</f>
        <v>12</v>
      </c>
      <c r="N26" s="27">
        <v>1</v>
      </c>
      <c r="U26" s="30">
        <v>50</v>
      </c>
      <c r="V26" s="30">
        <v>0</v>
      </c>
      <c r="Z26" s="30" t="s">
        <v>189</v>
      </c>
    </row>
    <row r="27" spans="1:26" ht="13.15" customHeight="1" x14ac:dyDescent="0.2">
      <c r="A27" s="30">
        <v>42</v>
      </c>
      <c r="B27" s="30" t="s">
        <v>28</v>
      </c>
      <c r="C27" s="30" t="s">
        <v>49</v>
      </c>
      <c r="D27" s="30" t="s">
        <v>610</v>
      </c>
      <c r="E27" s="33" t="s">
        <v>2</v>
      </c>
      <c r="F27" s="28" t="s">
        <v>127</v>
      </c>
      <c r="G27" s="28"/>
      <c r="H27" s="28" t="s">
        <v>111</v>
      </c>
      <c r="I27" s="28"/>
      <c r="J27" s="28"/>
      <c r="K27" s="28"/>
      <c r="L27" s="55">
        <f>VLOOKUP($A27, Stat!$A$1:$C$1000, 2,0)</f>
        <v>199</v>
      </c>
      <c r="M27" s="55">
        <f>VLOOKUP($A27, Stat!$A$1:$C$1000, 3,0)</f>
        <v>0</v>
      </c>
      <c r="N27" s="57"/>
      <c r="P27" s="27">
        <v>999</v>
      </c>
      <c r="R27" s="29"/>
      <c r="S27" s="29"/>
      <c r="T27" s="29"/>
      <c r="U27" s="30">
        <v>0</v>
      </c>
      <c r="V27" s="30">
        <v>-1</v>
      </c>
      <c r="Y27" s="30" t="s">
        <v>340</v>
      </c>
    </row>
    <row r="28" spans="1:26" ht="13.15" customHeight="1" x14ac:dyDescent="0.2">
      <c r="A28" s="30">
        <v>43</v>
      </c>
      <c r="B28" s="30" t="s">
        <v>28</v>
      </c>
      <c r="C28" s="30" t="s">
        <v>49</v>
      </c>
      <c r="D28" s="30" t="s">
        <v>610</v>
      </c>
      <c r="E28" s="33" t="s">
        <v>3</v>
      </c>
      <c r="F28" s="28" t="s">
        <v>127</v>
      </c>
      <c r="G28" s="28"/>
      <c r="H28" s="28" t="s">
        <v>111</v>
      </c>
      <c r="I28" s="28"/>
      <c r="J28" s="28"/>
      <c r="K28" s="28"/>
      <c r="L28" s="55">
        <f>VLOOKUP($A28, Stat!$A$1:$C$1000, 2,0)</f>
        <v>88</v>
      </c>
      <c r="M28" s="55">
        <f>VLOOKUP($A28, Stat!$A$1:$C$1000, 3,0)</f>
        <v>0</v>
      </c>
      <c r="N28" s="57"/>
      <c r="P28" s="27">
        <v>999</v>
      </c>
      <c r="R28" s="29"/>
      <c r="S28" s="29"/>
      <c r="T28" s="29"/>
      <c r="U28" s="30">
        <v>0</v>
      </c>
      <c r="V28" s="30">
        <v>-1</v>
      </c>
      <c r="Y28" s="30" t="s">
        <v>340</v>
      </c>
    </row>
    <row r="29" spans="1:26" ht="13.15" customHeight="1" x14ac:dyDescent="0.2">
      <c r="A29" s="30">
        <v>44</v>
      </c>
      <c r="B29" s="30" t="s">
        <v>28</v>
      </c>
      <c r="C29" s="30" t="s">
        <v>49</v>
      </c>
      <c r="D29" s="30" t="s">
        <v>610</v>
      </c>
      <c r="E29" s="33" t="s">
        <v>4</v>
      </c>
      <c r="F29" s="28" t="s">
        <v>127</v>
      </c>
      <c r="G29" s="28"/>
      <c r="H29" s="28" t="s">
        <v>111</v>
      </c>
      <c r="I29" s="28"/>
      <c r="J29" s="28"/>
      <c r="K29" s="28"/>
      <c r="L29" s="55">
        <f>VLOOKUP($A29, Stat!$A$1:$C$1000, 2,0)</f>
        <v>76</v>
      </c>
      <c r="M29" s="55">
        <f>VLOOKUP($A29, Stat!$A$1:$C$1000, 3,0)</f>
        <v>0</v>
      </c>
      <c r="N29" s="57"/>
      <c r="P29" s="27">
        <v>999</v>
      </c>
      <c r="R29" s="29"/>
      <c r="S29" s="29"/>
      <c r="T29" s="29"/>
      <c r="U29" s="30">
        <v>0</v>
      </c>
      <c r="V29" s="30">
        <v>-1</v>
      </c>
      <c r="Y29" s="30" t="s">
        <v>340</v>
      </c>
    </row>
    <row r="30" spans="1:26" ht="13.15" customHeight="1" x14ac:dyDescent="0.2">
      <c r="A30" s="30">
        <v>45</v>
      </c>
      <c r="B30" s="30" t="s">
        <v>28</v>
      </c>
      <c r="C30" s="30" t="s">
        <v>49</v>
      </c>
      <c r="D30" s="30" t="s">
        <v>610</v>
      </c>
      <c r="E30" s="33" t="s">
        <v>34</v>
      </c>
      <c r="F30" s="28" t="s">
        <v>127</v>
      </c>
      <c r="G30" s="28"/>
      <c r="H30" s="28" t="s">
        <v>111</v>
      </c>
      <c r="I30" s="28"/>
      <c r="J30" s="28"/>
      <c r="K30" s="28"/>
      <c r="L30" s="55">
        <f>VLOOKUP($A30, Stat!$A$1:$C$1000, 2,0)</f>
        <v>3</v>
      </c>
      <c r="M30" s="55">
        <f>VLOOKUP($A30, Stat!$A$1:$C$1000, 3,0)</f>
        <v>0</v>
      </c>
      <c r="N30" s="57"/>
      <c r="P30" s="27">
        <v>999</v>
      </c>
      <c r="R30" s="29"/>
      <c r="S30" s="29"/>
      <c r="T30" s="29"/>
      <c r="U30" s="30">
        <v>0</v>
      </c>
      <c r="V30" s="30">
        <v>-1</v>
      </c>
      <c r="Y30" s="30" t="s">
        <v>340</v>
      </c>
    </row>
    <row r="31" spans="1:26" ht="13.15" customHeight="1" x14ac:dyDescent="0.2">
      <c r="A31" s="30">
        <v>47</v>
      </c>
      <c r="B31" s="30" t="s">
        <v>13</v>
      </c>
      <c r="C31" s="30" t="s">
        <v>719</v>
      </c>
      <c r="D31" s="30" t="s">
        <v>762</v>
      </c>
      <c r="E31" s="33" t="s">
        <v>497</v>
      </c>
      <c r="F31" s="28" t="s">
        <v>111</v>
      </c>
      <c r="G31" s="29"/>
      <c r="H31" s="28" t="s">
        <v>111</v>
      </c>
      <c r="I31" s="29"/>
      <c r="J31" s="29"/>
      <c r="K31" s="29"/>
      <c r="L31" s="55">
        <f>VLOOKUP($A31, Stat!$A$1:$C$1000, 2,0)</f>
        <v>108</v>
      </c>
      <c r="M31" s="55">
        <f>VLOOKUP($A31, Stat!$A$1:$C$1000, 3,0)</f>
        <v>5</v>
      </c>
      <c r="R31" s="29"/>
      <c r="S31" s="29"/>
      <c r="T31" s="29"/>
      <c r="U31" s="30">
        <v>50</v>
      </c>
      <c r="V31" s="30">
        <v>0</v>
      </c>
      <c r="Z31" s="30" t="s">
        <v>208</v>
      </c>
    </row>
    <row r="32" spans="1:26" ht="13.15" customHeight="1" x14ac:dyDescent="0.2">
      <c r="A32" s="30">
        <v>48</v>
      </c>
      <c r="B32" s="30" t="s">
        <v>13</v>
      </c>
      <c r="C32" s="30" t="s">
        <v>13</v>
      </c>
      <c r="D32" s="30" t="s">
        <v>528</v>
      </c>
      <c r="E32" s="33" t="s">
        <v>529</v>
      </c>
      <c r="F32" s="28" t="s">
        <v>111</v>
      </c>
      <c r="G32" s="28"/>
      <c r="H32" s="28" t="s">
        <v>111</v>
      </c>
      <c r="I32" s="28"/>
      <c r="J32" s="28"/>
      <c r="K32" s="28"/>
      <c r="L32" s="55">
        <f>VLOOKUP($A32, Stat!$A$1:$C$1000, 2,0)</f>
        <v>1</v>
      </c>
      <c r="M32" s="55">
        <f>VLOOKUP($A32, Stat!$A$1:$C$1000, 3,0)</f>
        <v>1</v>
      </c>
      <c r="N32" s="27">
        <v>1</v>
      </c>
      <c r="R32" s="28"/>
      <c r="S32" s="29"/>
      <c r="T32" s="28" t="s">
        <v>335</v>
      </c>
      <c r="U32" s="30">
        <v>50</v>
      </c>
      <c r="V32" s="30">
        <v>0</v>
      </c>
      <c r="Z32" s="30" t="s">
        <v>922</v>
      </c>
    </row>
    <row r="33" spans="1:26" ht="13.15" customHeight="1" x14ac:dyDescent="0.2">
      <c r="A33" s="30">
        <v>53</v>
      </c>
      <c r="B33" s="30" t="s">
        <v>28</v>
      </c>
      <c r="C33" s="30" t="s">
        <v>49</v>
      </c>
      <c r="D33" s="30" t="s">
        <v>47</v>
      </c>
      <c r="E33" s="33" t="s">
        <v>2</v>
      </c>
      <c r="F33" s="28" t="s">
        <v>127</v>
      </c>
      <c r="G33" s="28"/>
      <c r="H33" s="28" t="s">
        <v>111</v>
      </c>
      <c r="I33" s="28"/>
      <c r="J33" s="28"/>
      <c r="K33" s="28"/>
      <c r="L33" s="55">
        <f>VLOOKUP($A33, Stat!$A$1:$C$1000, 2,0)</f>
        <v>44</v>
      </c>
      <c r="M33" s="55">
        <f>VLOOKUP($A33, Stat!$A$1:$C$1000, 3,0)</f>
        <v>0</v>
      </c>
      <c r="N33" s="57"/>
      <c r="R33" s="29"/>
      <c r="S33" s="29"/>
      <c r="T33" s="29"/>
      <c r="U33" s="30">
        <v>0</v>
      </c>
      <c r="V33" s="30">
        <v>-1</v>
      </c>
      <c r="Y33" s="30" t="s">
        <v>342</v>
      </c>
    </row>
    <row r="34" spans="1:26" ht="13.15" customHeight="1" x14ac:dyDescent="0.2">
      <c r="A34" s="30">
        <v>54</v>
      </c>
      <c r="B34" s="30" t="s">
        <v>28</v>
      </c>
      <c r="C34" s="30" t="s">
        <v>49</v>
      </c>
      <c r="D34" s="30" t="s">
        <v>47</v>
      </c>
      <c r="E34" s="33" t="s">
        <v>3</v>
      </c>
      <c r="F34" s="28" t="s">
        <v>127</v>
      </c>
      <c r="G34" s="28"/>
      <c r="H34" s="28" t="s">
        <v>111</v>
      </c>
      <c r="I34" s="28"/>
      <c r="J34" s="28"/>
      <c r="K34" s="28"/>
      <c r="L34" s="55">
        <f>VLOOKUP($A34, Stat!$A$1:$C$1000, 2,0)</f>
        <v>28</v>
      </c>
      <c r="M34" s="55">
        <f>VLOOKUP($A34, Stat!$A$1:$C$1000, 3,0)</f>
        <v>0</v>
      </c>
      <c r="N34" s="57"/>
      <c r="R34" s="29"/>
      <c r="S34" s="29"/>
      <c r="T34" s="29"/>
      <c r="U34" s="30">
        <v>0</v>
      </c>
      <c r="V34" s="30">
        <v>-1</v>
      </c>
      <c r="Y34" s="30" t="s">
        <v>342</v>
      </c>
    </row>
    <row r="35" spans="1:26" ht="13.15" customHeight="1" x14ac:dyDescent="0.2">
      <c r="A35" s="30">
        <v>55</v>
      </c>
      <c r="B35" s="30" t="s">
        <v>28</v>
      </c>
      <c r="C35" s="30" t="s">
        <v>49</v>
      </c>
      <c r="D35" s="30" t="s">
        <v>47</v>
      </c>
      <c r="E35" s="33" t="s">
        <v>4</v>
      </c>
      <c r="F35" s="28" t="s">
        <v>127</v>
      </c>
      <c r="G35" s="28"/>
      <c r="H35" s="28" t="s">
        <v>111</v>
      </c>
      <c r="I35" s="28"/>
      <c r="J35" s="28"/>
      <c r="K35" s="28"/>
      <c r="L35" s="55">
        <f>VLOOKUP($A35, Stat!$A$1:$C$1000, 2,0)</f>
        <v>41</v>
      </c>
      <c r="M35" s="55">
        <f>VLOOKUP($A35, Stat!$A$1:$C$1000, 3,0)</f>
        <v>0</v>
      </c>
      <c r="N35" s="57"/>
      <c r="R35" s="29"/>
      <c r="S35" s="29"/>
      <c r="T35" s="29"/>
      <c r="U35" s="30">
        <v>0</v>
      </c>
      <c r="V35" s="30">
        <v>-1</v>
      </c>
      <c r="Y35" s="30" t="s">
        <v>342</v>
      </c>
    </row>
    <row r="36" spans="1:26" ht="13.15" customHeight="1" x14ac:dyDescent="0.2">
      <c r="A36" s="30">
        <v>56</v>
      </c>
      <c r="B36" s="30" t="s">
        <v>28</v>
      </c>
      <c r="C36" s="30" t="s">
        <v>49</v>
      </c>
      <c r="D36" s="30" t="s">
        <v>47</v>
      </c>
      <c r="E36" s="33" t="s">
        <v>34</v>
      </c>
      <c r="F36" s="28" t="s">
        <v>127</v>
      </c>
      <c r="G36" s="28"/>
      <c r="H36" s="28" t="s">
        <v>111</v>
      </c>
      <c r="I36" s="28"/>
      <c r="J36" s="28"/>
      <c r="K36" s="28"/>
      <c r="L36" s="55">
        <f>VLOOKUP($A36, Stat!$A$1:$C$1000, 2,0)</f>
        <v>32</v>
      </c>
      <c r="M36" s="55">
        <f>VLOOKUP($A36, Stat!$A$1:$C$1000, 3,0)</f>
        <v>0</v>
      </c>
      <c r="N36" s="57"/>
      <c r="R36" s="29"/>
      <c r="S36" s="29"/>
      <c r="T36" s="29"/>
      <c r="U36" s="30">
        <v>0</v>
      </c>
      <c r="V36" s="30">
        <v>-1</v>
      </c>
      <c r="Y36" s="30" t="s">
        <v>342</v>
      </c>
    </row>
    <row r="37" spans="1:26" ht="13.15" customHeight="1" x14ac:dyDescent="0.2">
      <c r="A37" s="30">
        <v>57</v>
      </c>
      <c r="B37" s="30" t="s">
        <v>13</v>
      </c>
      <c r="C37" s="30" t="s">
        <v>13</v>
      </c>
      <c r="D37" s="30" t="s">
        <v>331</v>
      </c>
      <c r="E37" s="33" t="s">
        <v>332</v>
      </c>
      <c r="F37" s="28" t="s">
        <v>218</v>
      </c>
      <c r="G37" s="28"/>
      <c r="H37" s="28" t="s">
        <v>111</v>
      </c>
      <c r="I37" s="28"/>
      <c r="J37" s="28"/>
      <c r="K37" s="28" t="s">
        <v>336</v>
      </c>
      <c r="L37" s="55">
        <f>VLOOKUP($A37, Stat!$A$1:$C$1000, 2,0)</f>
        <v>535</v>
      </c>
      <c r="M37" s="55">
        <f>VLOOKUP($A37, Stat!$A$1:$C$1000, 3,0)</f>
        <v>1</v>
      </c>
      <c r="N37" s="58"/>
      <c r="R37" s="28"/>
      <c r="S37" s="29"/>
      <c r="T37" s="28" t="s">
        <v>335</v>
      </c>
      <c r="U37" s="30">
        <v>0</v>
      </c>
      <c r="V37" s="30">
        <v>-1</v>
      </c>
      <c r="Z37" s="30" t="s">
        <v>365</v>
      </c>
    </row>
    <row r="38" spans="1:26" ht="13.15" customHeight="1" x14ac:dyDescent="0.2">
      <c r="A38" s="30">
        <v>58</v>
      </c>
      <c r="B38" s="30" t="s">
        <v>28</v>
      </c>
      <c r="C38" s="30" t="s">
        <v>594</v>
      </c>
      <c r="D38" s="30" t="s">
        <v>5</v>
      </c>
      <c r="E38" s="33" t="s">
        <v>16</v>
      </c>
      <c r="F38" s="28" t="s">
        <v>127</v>
      </c>
      <c r="G38" s="28"/>
      <c r="H38" s="28" t="s">
        <v>111</v>
      </c>
      <c r="I38" s="28"/>
      <c r="J38" s="28"/>
      <c r="K38" s="28"/>
      <c r="L38" s="55">
        <f>VLOOKUP($A38, Stat!$A$1:$C$1000, 2,0)</f>
        <v>175</v>
      </c>
      <c r="M38" s="55">
        <f>VLOOKUP($A38, Stat!$A$1:$C$1000, 3,0)</f>
        <v>33</v>
      </c>
      <c r="N38" s="27">
        <v>1</v>
      </c>
      <c r="R38" s="29"/>
      <c r="S38" s="29"/>
      <c r="T38" s="29"/>
      <c r="U38" s="30">
        <v>0</v>
      </c>
      <c r="V38" s="30">
        <v>-1</v>
      </c>
      <c r="Z38" s="30" t="s">
        <v>354</v>
      </c>
    </row>
    <row r="39" spans="1:26" ht="13.15" customHeight="1" x14ac:dyDescent="0.2">
      <c r="A39" s="30">
        <v>59</v>
      </c>
      <c r="B39" s="30" t="s">
        <v>28</v>
      </c>
      <c r="C39" s="30" t="s">
        <v>594</v>
      </c>
      <c r="D39" s="30" t="s">
        <v>598</v>
      </c>
      <c r="E39" s="33" t="s">
        <v>2</v>
      </c>
      <c r="F39" s="28" t="s">
        <v>127</v>
      </c>
      <c r="G39" s="28"/>
      <c r="H39" s="28" t="s">
        <v>111</v>
      </c>
      <c r="I39" s="28"/>
      <c r="J39" s="28"/>
      <c r="K39" s="28"/>
      <c r="L39" s="55">
        <f>VLOOKUP($A39, Stat!$A$1:$C$1000, 2,0)</f>
        <v>170</v>
      </c>
      <c r="M39" s="55">
        <f>VLOOKUP($A39, Stat!$A$1:$C$1000, 3,0)</f>
        <v>0</v>
      </c>
      <c r="N39" s="74"/>
      <c r="R39" s="29"/>
      <c r="S39" s="29"/>
      <c r="T39" s="29"/>
      <c r="U39" s="30">
        <v>0</v>
      </c>
      <c r="V39" s="30">
        <v>1</v>
      </c>
      <c r="Y39" s="30" t="s">
        <v>346</v>
      </c>
    </row>
    <row r="40" spans="1:26" ht="13.15" customHeight="1" x14ac:dyDescent="0.2">
      <c r="A40" s="30">
        <v>60</v>
      </c>
      <c r="B40" s="30" t="s">
        <v>28</v>
      </c>
      <c r="C40" s="30" t="s">
        <v>594</v>
      </c>
      <c r="D40" s="30" t="s">
        <v>598</v>
      </c>
      <c r="E40" s="33" t="s">
        <v>3</v>
      </c>
      <c r="F40" s="28" t="s">
        <v>127</v>
      </c>
      <c r="G40" s="28"/>
      <c r="H40" s="28" t="s">
        <v>111</v>
      </c>
      <c r="I40" s="28"/>
      <c r="J40" s="28"/>
      <c r="K40" s="28"/>
      <c r="L40" s="55">
        <f>VLOOKUP($A40, Stat!$A$1:$C$1000, 2,0)</f>
        <v>44</v>
      </c>
      <c r="M40" s="55">
        <f>VLOOKUP($A40, Stat!$A$1:$C$1000, 3,0)</f>
        <v>6</v>
      </c>
      <c r="N40" s="58"/>
      <c r="R40" s="29"/>
      <c r="S40" s="29"/>
      <c r="T40" s="29"/>
      <c r="U40" s="30">
        <v>0</v>
      </c>
      <c r="V40" s="30">
        <v>1</v>
      </c>
      <c r="Y40" s="30" t="s">
        <v>346</v>
      </c>
    </row>
    <row r="41" spans="1:26" ht="13.15" customHeight="1" x14ac:dyDescent="0.2">
      <c r="A41" s="30">
        <v>61</v>
      </c>
      <c r="B41" s="30" t="s">
        <v>28</v>
      </c>
      <c r="C41" s="30" t="s">
        <v>594</v>
      </c>
      <c r="D41" s="30" t="s">
        <v>598</v>
      </c>
      <c r="E41" s="33" t="s">
        <v>4</v>
      </c>
      <c r="F41" s="28" t="s">
        <v>127</v>
      </c>
      <c r="G41" s="28"/>
      <c r="H41" s="28" t="s">
        <v>111</v>
      </c>
      <c r="I41" s="28"/>
      <c r="J41" s="28"/>
      <c r="K41" s="28"/>
      <c r="L41" s="55">
        <f>VLOOKUP($A41, Stat!$A$1:$C$1000, 2,0)</f>
        <v>38</v>
      </c>
      <c r="M41" s="55">
        <f>VLOOKUP($A41, Stat!$A$1:$C$1000, 3,0)</f>
        <v>5</v>
      </c>
      <c r="N41" s="58"/>
      <c r="R41" s="28"/>
      <c r="S41" s="29"/>
      <c r="T41" s="29"/>
      <c r="U41" s="30">
        <v>0</v>
      </c>
      <c r="V41" s="30">
        <v>1</v>
      </c>
      <c r="Y41" s="30" t="s">
        <v>346</v>
      </c>
    </row>
    <row r="42" spans="1:26" ht="13.15" customHeight="1" x14ac:dyDescent="0.2">
      <c r="A42" s="30">
        <v>62</v>
      </c>
      <c r="B42" s="30" t="s">
        <v>28</v>
      </c>
      <c r="C42" s="30" t="s">
        <v>594</v>
      </c>
      <c r="D42" s="30" t="s">
        <v>598</v>
      </c>
      <c r="E42" s="33" t="s">
        <v>34</v>
      </c>
      <c r="F42" s="28" t="s">
        <v>127</v>
      </c>
      <c r="G42" s="28"/>
      <c r="H42" s="28" t="s">
        <v>111</v>
      </c>
      <c r="I42" s="28"/>
      <c r="J42" s="28"/>
      <c r="K42" s="28"/>
      <c r="L42" s="55">
        <f>VLOOKUP($A42, Stat!$A$1:$C$1000, 2,0)</f>
        <v>23</v>
      </c>
      <c r="M42" s="55">
        <f>VLOOKUP($A42, Stat!$A$1:$C$1000, 3,0)</f>
        <v>10</v>
      </c>
      <c r="N42" s="58">
        <v>1</v>
      </c>
      <c r="R42" s="29"/>
      <c r="S42" s="29"/>
      <c r="T42" s="29"/>
      <c r="U42" s="30">
        <v>50</v>
      </c>
      <c r="V42" s="30">
        <v>0</v>
      </c>
      <c r="Y42" s="30" t="s">
        <v>346</v>
      </c>
    </row>
    <row r="43" spans="1:26" ht="13.15" customHeight="1" x14ac:dyDescent="0.2">
      <c r="A43" s="30">
        <v>63</v>
      </c>
      <c r="B43" s="30" t="s">
        <v>28</v>
      </c>
      <c r="C43" s="30" t="s">
        <v>594</v>
      </c>
      <c r="D43" s="30" t="s">
        <v>600</v>
      </c>
      <c r="E43" s="33" t="s">
        <v>2</v>
      </c>
      <c r="F43" s="28" t="s">
        <v>127</v>
      </c>
      <c r="G43" s="28"/>
      <c r="H43" s="28" t="s">
        <v>111</v>
      </c>
      <c r="I43" s="28"/>
      <c r="J43" s="28"/>
      <c r="K43" s="28"/>
      <c r="L43" s="55">
        <f>VLOOKUP($A43, Stat!$A$1:$C$1000, 2,0)</f>
        <v>18</v>
      </c>
      <c r="M43" s="55">
        <f>VLOOKUP($A43, Stat!$A$1:$C$1000, 3,0)</f>
        <v>5</v>
      </c>
      <c r="N43" s="27">
        <v>1</v>
      </c>
      <c r="R43" s="28" t="s">
        <v>568</v>
      </c>
      <c r="S43" s="29"/>
      <c r="T43" s="29"/>
      <c r="U43" s="30">
        <v>0</v>
      </c>
      <c r="V43" s="30">
        <v>1</v>
      </c>
      <c r="Y43" s="30" t="s">
        <v>348</v>
      </c>
    </row>
    <row r="44" spans="1:26" ht="13.15" customHeight="1" x14ac:dyDescent="0.2">
      <c r="A44" s="30">
        <v>64</v>
      </c>
      <c r="B44" s="30" t="s">
        <v>28</v>
      </c>
      <c r="C44" s="30" t="s">
        <v>594</v>
      </c>
      <c r="D44" s="30" t="s">
        <v>600</v>
      </c>
      <c r="E44" s="33" t="s">
        <v>3</v>
      </c>
      <c r="F44" s="28" t="s">
        <v>127</v>
      </c>
      <c r="G44" s="28"/>
      <c r="H44" s="28" t="s">
        <v>111</v>
      </c>
      <c r="I44" s="28"/>
      <c r="J44" s="28"/>
      <c r="K44" s="28"/>
      <c r="L44" s="55">
        <f>VLOOKUP($A44, Stat!$A$1:$C$1000, 2,0)</f>
        <v>6</v>
      </c>
      <c r="M44" s="55">
        <f>VLOOKUP($A44, Stat!$A$1:$C$1000, 3,0)</f>
        <v>2</v>
      </c>
      <c r="N44" s="27">
        <v>1</v>
      </c>
      <c r="R44" s="28" t="s">
        <v>569</v>
      </c>
      <c r="S44" s="29"/>
      <c r="T44" s="29"/>
      <c r="U44" s="30">
        <v>0</v>
      </c>
      <c r="V44" s="30">
        <v>0</v>
      </c>
      <c r="Y44" s="30" t="s">
        <v>348</v>
      </c>
    </row>
    <row r="45" spans="1:26" ht="13.15" customHeight="1" x14ac:dyDescent="0.2">
      <c r="A45" s="30">
        <v>65</v>
      </c>
      <c r="B45" s="30" t="s">
        <v>28</v>
      </c>
      <c r="C45" s="30" t="s">
        <v>594</v>
      </c>
      <c r="D45" s="30" t="s">
        <v>600</v>
      </c>
      <c r="E45" s="33" t="s">
        <v>4</v>
      </c>
      <c r="F45" s="28" t="s">
        <v>127</v>
      </c>
      <c r="G45" s="28"/>
      <c r="H45" s="28" t="s">
        <v>111</v>
      </c>
      <c r="I45" s="28"/>
      <c r="J45" s="28"/>
      <c r="K45" s="28"/>
      <c r="L45" s="55">
        <f>VLOOKUP($A45, Stat!$A$1:$C$1000, 2,0)</f>
        <v>7</v>
      </c>
      <c r="M45" s="55">
        <f>VLOOKUP($A45, Stat!$A$1:$C$1000, 3,0)</f>
        <v>2</v>
      </c>
      <c r="N45" s="27">
        <v>1</v>
      </c>
      <c r="R45" s="28" t="s">
        <v>570</v>
      </c>
      <c r="S45" s="29"/>
      <c r="T45" s="29"/>
      <c r="U45" s="30">
        <v>50</v>
      </c>
      <c r="V45" s="30">
        <v>0</v>
      </c>
      <c r="Y45" s="30" t="s">
        <v>348</v>
      </c>
    </row>
    <row r="46" spans="1:26" ht="13.15" customHeight="1" x14ac:dyDescent="0.2">
      <c r="A46" s="30">
        <v>66</v>
      </c>
      <c r="B46" s="30" t="s">
        <v>28</v>
      </c>
      <c r="C46" s="30" t="s">
        <v>594</v>
      </c>
      <c r="D46" s="30" t="s">
        <v>600</v>
      </c>
      <c r="E46" s="33" t="s">
        <v>34</v>
      </c>
      <c r="F46" s="28" t="s">
        <v>127</v>
      </c>
      <c r="G46" s="28"/>
      <c r="H46" s="28" t="s">
        <v>111</v>
      </c>
      <c r="I46" s="28"/>
      <c r="J46" s="28"/>
      <c r="K46" s="28"/>
      <c r="L46" s="55">
        <f>VLOOKUP($A46, Stat!$A$1:$C$1000, 2,0)</f>
        <v>2</v>
      </c>
      <c r="M46" s="55">
        <f>VLOOKUP($A46, Stat!$A$1:$C$1000, 3,0)</f>
        <v>2</v>
      </c>
      <c r="N46" s="27">
        <v>1</v>
      </c>
      <c r="R46" s="28" t="s">
        <v>571</v>
      </c>
      <c r="S46" s="29"/>
      <c r="T46" s="29"/>
      <c r="U46" s="30">
        <v>100</v>
      </c>
      <c r="V46" s="30">
        <v>0</v>
      </c>
      <c r="Y46" s="30" t="s">
        <v>348</v>
      </c>
    </row>
    <row r="47" spans="1:26" ht="13.15" customHeight="1" x14ac:dyDescent="0.2">
      <c r="A47" s="30">
        <v>67</v>
      </c>
      <c r="B47" s="30" t="s">
        <v>28</v>
      </c>
      <c r="C47" s="30" t="s">
        <v>12</v>
      </c>
      <c r="D47" s="30" t="s">
        <v>53</v>
      </c>
      <c r="E47" s="33" t="s">
        <v>111</v>
      </c>
      <c r="F47" s="69"/>
      <c r="G47" s="29"/>
      <c r="H47" s="28" t="s">
        <v>111</v>
      </c>
      <c r="I47" s="29"/>
      <c r="J47" s="29"/>
      <c r="K47" s="28"/>
      <c r="L47" s="55">
        <f>VLOOKUP($A47, Stat!$A$1:$C$1000, 2,0)</f>
        <v>174</v>
      </c>
      <c r="M47" s="55">
        <f>VLOOKUP($A47, Stat!$A$1:$C$1000, 3,0)</f>
        <v>45</v>
      </c>
      <c r="N47" s="58">
        <v>1</v>
      </c>
      <c r="R47" s="29"/>
      <c r="S47" s="29"/>
      <c r="T47" s="29"/>
      <c r="U47" s="30">
        <v>0</v>
      </c>
      <c r="V47" s="30">
        <v>-1</v>
      </c>
      <c r="Y47" s="30" t="s">
        <v>362</v>
      </c>
    </row>
    <row r="48" spans="1:26" ht="13.15" customHeight="1" x14ac:dyDescent="0.2">
      <c r="A48" s="30">
        <v>68</v>
      </c>
      <c r="B48" s="30" t="s">
        <v>28</v>
      </c>
      <c r="C48" s="30" t="s">
        <v>12</v>
      </c>
      <c r="D48" s="30" t="s">
        <v>53</v>
      </c>
      <c r="E48" s="33" t="s">
        <v>54</v>
      </c>
      <c r="F48" s="69"/>
      <c r="G48" s="29"/>
      <c r="H48" s="28" t="s">
        <v>111</v>
      </c>
      <c r="I48" s="29"/>
      <c r="J48" s="29"/>
      <c r="K48" s="28"/>
      <c r="L48" s="55">
        <f>VLOOKUP($A48, Stat!$A$1:$C$1000, 2,0)</f>
        <v>20</v>
      </c>
      <c r="M48" s="55">
        <f>VLOOKUP($A48, Stat!$A$1:$C$1000, 3,0)</f>
        <v>10</v>
      </c>
      <c r="N48" s="27">
        <v>1</v>
      </c>
      <c r="R48" s="29"/>
      <c r="S48" s="29"/>
      <c r="T48" s="29"/>
      <c r="U48" s="30">
        <v>0</v>
      </c>
      <c r="V48" s="30">
        <v>-1</v>
      </c>
      <c r="Y48" s="30" t="s">
        <v>362</v>
      </c>
    </row>
    <row r="49" spans="1:26" ht="13.15" customHeight="1" x14ac:dyDescent="0.2">
      <c r="A49" s="30">
        <v>69</v>
      </c>
      <c r="B49" s="30" t="s">
        <v>28</v>
      </c>
      <c r="C49" s="30" t="s">
        <v>12</v>
      </c>
      <c r="D49" s="30" t="s">
        <v>53</v>
      </c>
      <c r="E49" s="33" t="s">
        <v>55</v>
      </c>
      <c r="F49" s="69"/>
      <c r="G49" s="29"/>
      <c r="H49" s="28" t="s">
        <v>111</v>
      </c>
      <c r="I49" s="29"/>
      <c r="J49" s="29"/>
      <c r="K49" s="28"/>
      <c r="L49" s="55">
        <f>VLOOKUP($A49, Stat!$A$1:$C$1000, 2,0)</f>
        <v>69</v>
      </c>
      <c r="M49" s="55">
        <f>VLOOKUP($A49, Stat!$A$1:$C$1000, 3,0)</f>
        <v>24</v>
      </c>
      <c r="N49" s="27">
        <v>1</v>
      </c>
      <c r="R49" s="29"/>
      <c r="S49" s="29"/>
      <c r="T49" s="29"/>
      <c r="U49" s="30">
        <v>0</v>
      </c>
      <c r="V49" s="30">
        <v>0</v>
      </c>
      <c r="Y49" s="30" t="s">
        <v>362</v>
      </c>
    </row>
    <row r="50" spans="1:26" ht="13.15" customHeight="1" x14ac:dyDescent="0.2">
      <c r="A50" s="30">
        <v>70</v>
      </c>
      <c r="B50" s="30" t="s">
        <v>28</v>
      </c>
      <c r="C50" s="30" t="s">
        <v>566</v>
      </c>
      <c r="D50" s="30" t="s">
        <v>557</v>
      </c>
      <c r="E50" s="30" t="s">
        <v>445</v>
      </c>
      <c r="F50" s="27">
        <v>9</v>
      </c>
      <c r="H50" s="28" t="s">
        <v>111</v>
      </c>
      <c r="K50" s="61" t="s">
        <v>271</v>
      </c>
      <c r="U50" s="30">
        <v>50</v>
      </c>
      <c r="V50" s="30">
        <v>0</v>
      </c>
      <c r="Y50" s="30" t="s">
        <v>863</v>
      </c>
      <c r="Z50" s="30" t="s">
        <v>871</v>
      </c>
    </row>
    <row r="51" spans="1:26" ht="13.15" customHeight="1" x14ac:dyDescent="0.2">
      <c r="A51" s="30">
        <v>71</v>
      </c>
      <c r="B51" s="30" t="s">
        <v>28</v>
      </c>
      <c r="C51" s="30" t="s">
        <v>566</v>
      </c>
      <c r="D51" s="30" t="s">
        <v>557</v>
      </c>
      <c r="E51" s="30" t="s">
        <v>446</v>
      </c>
      <c r="F51" s="27">
        <v>9</v>
      </c>
      <c r="H51" s="28" t="s">
        <v>111</v>
      </c>
      <c r="K51" s="61" t="s">
        <v>271</v>
      </c>
      <c r="U51" s="30">
        <v>50</v>
      </c>
      <c r="V51" s="30">
        <v>0</v>
      </c>
      <c r="Y51" s="30" t="s">
        <v>863</v>
      </c>
      <c r="Z51" s="30" t="s">
        <v>871</v>
      </c>
    </row>
    <row r="52" spans="1:26" ht="13.15" customHeight="1" x14ac:dyDescent="0.2">
      <c r="A52" s="30">
        <v>72</v>
      </c>
      <c r="B52" s="30" t="s">
        <v>13</v>
      </c>
      <c r="C52" s="30" t="s">
        <v>41</v>
      </c>
      <c r="D52" s="30" t="s">
        <v>992</v>
      </c>
      <c r="E52" s="30" t="s">
        <v>412</v>
      </c>
      <c r="F52" s="28" t="s">
        <v>216</v>
      </c>
      <c r="G52" s="28" t="s">
        <v>126</v>
      </c>
      <c r="H52" s="28"/>
      <c r="I52" s="28"/>
      <c r="J52" s="28"/>
      <c r="K52" s="27" t="s">
        <v>941</v>
      </c>
      <c r="N52" s="27">
        <v>1</v>
      </c>
      <c r="U52" s="30">
        <v>0</v>
      </c>
      <c r="V52" s="30">
        <v>1</v>
      </c>
      <c r="Z52" s="30" t="s">
        <v>916</v>
      </c>
    </row>
    <row r="53" spans="1:26" ht="13.15" customHeight="1" x14ac:dyDescent="0.2">
      <c r="A53" s="30">
        <v>73</v>
      </c>
      <c r="B53" s="30" t="s">
        <v>13</v>
      </c>
      <c r="C53" s="30" t="s">
        <v>41</v>
      </c>
      <c r="D53" s="30" t="s">
        <v>992</v>
      </c>
      <c r="E53" s="30" t="s">
        <v>413</v>
      </c>
      <c r="F53" s="28" t="s">
        <v>216</v>
      </c>
      <c r="G53" s="28" t="s">
        <v>126</v>
      </c>
      <c r="H53" s="28"/>
      <c r="I53" s="28"/>
      <c r="J53" s="28"/>
      <c r="K53" s="27" t="s">
        <v>941</v>
      </c>
      <c r="N53" s="27">
        <v>1</v>
      </c>
      <c r="U53" s="30">
        <v>50</v>
      </c>
      <c r="V53" s="30">
        <v>0</v>
      </c>
      <c r="Z53" s="30" t="s">
        <v>917</v>
      </c>
    </row>
    <row r="54" spans="1:26" ht="13.15" customHeight="1" x14ac:dyDescent="0.2">
      <c r="A54" s="30">
        <v>74</v>
      </c>
      <c r="B54" s="30" t="s">
        <v>28</v>
      </c>
      <c r="C54" s="30" t="s">
        <v>648</v>
      </c>
      <c r="D54" s="30" t="s">
        <v>541</v>
      </c>
      <c r="E54" s="33" t="s">
        <v>542</v>
      </c>
      <c r="F54" s="28" t="s">
        <v>128</v>
      </c>
      <c r="G54" s="29"/>
      <c r="H54" s="28" t="s">
        <v>111</v>
      </c>
      <c r="I54" s="29"/>
      <c r="J54" s="29"/>
      <c r="K54" s="28" t="s">
        <v>307</v>
      </c>
      <c r="L54" s="55">
        <f>VLOOKUP($A54, Stat!$A$1:$C$1000, 2,0)</f>
        <v>31</v>
      </c>
      <c r="M54" s="55">
        <f>VLOOKUP($A54, Stat!$A$1:$C$1000, 3,0)</f>
        <v>4</v>
      </c>
      <c r="N54" s="27">
        <v>1</v>
      </c>
      <c r="R54" s="29"/>
      <c r="S54" s="29"/>
      <c r="T54" s="29"/>
      <c r="U54" s="30">
        <v>50</v>
      </c>
      <c r="V54" s="30">
        <v>0</v>
      </c>
      <c r="Z54" s="30" t="s">
        <v>751</v>
      </c>
    </row>
    <row r="55" spans="1:26" ht="13.15" customHeight="1" x14ac:dyDescent="0.2">
      <c r="A55" s="30">
        <v>76</v>
      </c>
      <c r="B55" s="30" t="s">
        <v>13</v>
      </c>
      <c r="C55" s="30" t="s">
        <v>41</v>
      </c>
      <c r="D55" s="30" t="s">
        <v>992</v>
      </c>
      <c r="E55" s="30" t="s">
        <v>853</v>
      </c>
      <c r="F55" s="28" t="s">
        <v>216</v>
      </c>
      <c r="G55" s="28" t="s">
        <v>126</v>
      </c>
      <c r="H55" s="28"/>
      <c r="I55" s="28"/>
      <c r="J55" s="28"/>
      <c r="K55" s="27" t="s">
        <v>941</v>
      </c>
      <c r="N55" s="27">
        <v>1</v>
      </c>
      <c r="U55" s="30">
        <v>100</v>
      </c>
      <c r="V55" s="30">
        <v>0</v>
      </c>
      <c r="Z55" s="30" t="s">
        <v>850</v>
      </c>
    </row>
    <row r="56" spans="1:26" ht="13.15" customHeight="1" x14ac:dyDescent="0.2">
      <c r="A56" s="30">
        <v>77</v>
      </c>
      <c r="B56" s="30" t="s">
        <v>13</v>
      </c>
      <c r="C56" s="30" t="s">
        <v>13</v>
      </c>
      <c r="D56" s="30" t="s">
        <v>331</v>
      </c>
      <c r="E56" s="33" t="s">
        <v>363</v>
      </c>
      <c r="F56" s="28" t="s">
        <v>218</v>
      </c>
      <c r="G56" s="28"/>
      <c r="H56" s="28" t="s">
        <v>111</v>
      </c>
      <c r="I56" s="28"/>
      <c r="J56" s="28"/>
      <c r="K56" s="28" t="s">
        <v>336</v>
      </c>
      <c r="L56" s="55">
        <f>VLOOKUP($A56, Stat!$A$1:$C$1000, 2,0)</f>
        <v>612</v>
      </c>
      <c r="M56" s="55">
        <f>VLOOKUP($A56, Stat!$A$1:$C$1000, 3,0)</f>
        <v>0</v>
      </c>
      <c r="N56" s="74"/>
      <c r="R56" s="28"/>
      <c r="S56" s="29"/>
      <c r="T56" s="28" t="s">
        <v>335</v>
      </c>
      <c r="U56" s="30">
        <v>0</v>
      </c>
      <c r="V56" s="30">
        <v>-1</v>
      </c>
      <c r="Z56" s="30" t="s">
        <v>366</v>
      </c>
    </row>
    <row r="57" spans="1:26" ht="13.15" customHeight="1" x14ac:dyDescent="0.2">
      <c r="A57" s="30">
        <v>78</v>
      </c>
      <c r="B57" s="30" t="s">
        <v>28</v>
      </c>
      <c r="C57" s="30" t="s">
        <v>566</v>
      </c>
      <c r="D57" s="30" t="s">
        <v>547</v>
      </c>
      <c r="E57" s="33" t="s">
        <v>68</v>
      </c>
      <c r="F57" s="29"/>
      <c r="G57" s="29"/>
      <c r="H57" s="28" t="s">
        <v>111</v>
      </c>
      <c r="I57" s="29"/>
      <c r="J57" s="29"/>
      <c r="K57" s="29"/>
      <c r="L57" s="55">
        <f>VLOOKUP($A57, Stat!$A$1:$C$1000, 2,0)</f>
        <v>71</v>
      </c>
      <c r="M57" s="55">
        <f>VLOOKUP($A57, Stat!$A$1:$C$1000, 3,0)</f>
        <v>1</v>
      </c>
      <c r="Q57" s="27">
        <v>1</v>
      </c>
      <c r="R57" s="29"/>
      <c r="S57" s="29"/>
      <c r="T57" s="29"/>
      <c r="U57" s="30">
        <v>0</v>
      </c>
      <c r="V57" s="30">
        <v>-1</v>
      </c>
      <c r="Z57" s="30" t="s">
        <v>149</v>
      </c>
    </row>
    <row r="58" spans="1:26" ht="13.15" customHeight="1" x14ac:dyDescent="0.2">
      <c r="A58" s="30">
        <v>79</v>
      </c>
      <c r="B58" s="30" t="s">
        <v>28</v>
      </c>
      <c r="C58" s="30" t="s">
        <v>566</v>
      </c>
      <c r="D58" s="30" t="s">
        <v>547</v>
      </c>
      <c r="E58" s="33" t="s">
        <v>70</v>
      </c>
      <c r="F58" s="29"/>
      <c r="G58" s="29"/>
      <c r="H58" s="28" t="s">
        <v>111</v>
      </c>
      <c r="I58" s="29"/>
      <c r="J58" s="29"/>
      <c r="K58" s="29"/>
      <c r="L58" s="55">
        <f>VLOOKUP($A58, Stat!$A$1:$C$1000, 2,0)</f>
        <v>94</v>
      </c>
      <c r="M58" s="55">
        <f>VLOOKUP($A58, Stat!$A$1:$C$1000, 3,0)</f>
        <v>0</v>
      </c>
      <c r="N58" s="58"/>
      <c r="Q58" s="27">
        <v>1</v>
      </c>
      <c r="R58" s="29"/>
      <c r="S58" s="29"/>
      <c r="T58" s="29"/>
      <c r="U58" s="30">
        <v>0</v>
      </c>
      <c r="V58" s="30">
        <v>-1</v>
      </c>
      <c r="Z58" s="30" t="s">
        <v>149</v>
      </c>
    </row>
    <row r="59" spans="1:26" ht="13.15" customHeight="1" x14ac:dyDescent="0.2">
      <c r="A59" s="30">
        <v>83</v>
      </c>
      <c r="B59" s="30" t="s">
        <v>13</v>
      </c>
      <c r="C59" s="30" t="s">
        <v>495</v>
      </c>
      <c r="D59" s="30" t="s">
        <v>960</v>
      </c>
      <c r="E59" s="33" t="s">
        <v>498</v>
      </c>
      <c r="F59" s="28"/>
      <c r="G59" s="28"/>
      <c r="H59" s="28" t="s">
        <v>111</v>
      </c>
      <c r="I59" s="29"/>
      <c r="J59" s="29"/>
      <c r="K59" s="29"/>
      <c r="L59" s="55">
        <f>VLOOKUP($A59, Stat!$A$1:$C$1000, 2,0)</f>
        <v>219</v>
      </c>
      <c r="M59" s="55">
        <f>VLOOKUP($A59, Stat!$A$1:$C$1000, 3,0)</f>
        <v>21</v>
      </c>
      <c r="N59" s="58"/>
      <c r="R59" s="28" t="s">
        <v>132</v>
      </c>
      <c r="S59" s="29"/>
      <c r="T59" s="29"/>
      <c r="U59" s="30">
        <v>100</v>
      </c>
      <c r="V59" s="30">
        <v>0</v>
      </c>
    </row>
    <row r="60" spans="1:26" ht="13.15" customHeight="1" x14ac:dyDescent="0.2">
      <c r="A60" s="30">
        <v>84</v>
      </c>
      <c r="B60" s="30" t="s">
        <v>13</v>
      </c>
      <c r="C60" s="30" t="s">
        <v>41</v>
      </c>
      <c r="D60" s="30" t="s">
        <v>483</v>
      </c>
      <c r="E60" s="33" t="s">
        <v>40</v>
      </c>
      <c r="F60" s="28" t="s">
        <v>216</v>
      </c>
      <c r="G60" s="28" t="s">
        <v>111</v>
      </c>
      <c r="H60" s="28"/>
      <c r="I60" s="28"/>
      <c r="J60" s="28"/>
      <c r="K60" s="27" t="s">
        <v>941</v>
      </c>
      <c r="L60" s="55">
        <f>VLOOKUP($A60, Stat!$A$1:$C$1000, 2,0)</f>
        <v>32</v>
      </c>
      <c r="M60" s="55">
        <f>VLOOKUP($A60, Stat!$A$1:$C$1000, 3,0)</f>
        <v>5</v>
      </c>
      <c r="N60" s="27">
        <v>1</v>
      </c>
      <c r="R60" s="29"/>
      <c r="S60" s="29"/>
      <c r="T60" s="29"/>
      <c r="U60" s="30">
        <v>100</v>
      </c>
      <c r="V60" s="30">
        <v>0</v>
      </c>
    </row>
    <row r="61" spans="1:26" ht="13.15" customHeight="1" x14ac:dyDescent="0.2">
      <c r="A61" s="30">
        <v>85</v>
      </c>
      <c r="B61" s="30" t="s">
        <v>13</v>
      </c>
      <c r="C61" s="30" t="s">
        <v>41</v>
      </c>
      <c r="D61" s="30" t="s">
        <v>483</v>
      </c>
      <c r="E61" s="33" t="s">
        <v>175</v>
      </c>
      <c r="F61" s="28" t="s">
        <v>216</v>
      </c>
      <c r="G61" s="28" t="s">
        <v>111</v>
      </c>
      <c r="H61" s="28"/>
      <c r="I61" s="28"/>
      <c r="J61" s="28"/>
      <c r="K61" s="27" t="s">
        <v>941</v>
      </c>
      <c r="L61" s="55">
        <f>VLOOKUP($A61, Stat!$A$1:$C$1000, 2,0)</f>
        <v>0</v>
      </c>
      <c r="M61" s="55">
        <f>VLOOKUP($A61, Stat!$A$1:$C$1000, 3,0)</f>
        <v>0</v>
      </c>
      <c r="N61" s="27">
        <v>1</v>
      </c>
      <c r="R61" s="29"/>
      <c r="S61" s="29"/>
      <c r="T61" s="29"/>
      <c r="U61" s="30">
        <v>50</v>
      </c>
      <c r="V61" s="30">
        <v>0</v>
      </c>
      <c r="X61" s="30" t="s">
        <v>623</v>
      </c>
    </row>
    <row r="62" spans="1:26" ht="13.15" customHeight="1" x14ac:dyDescent="0.2">
      <c r="A62" s="30">
        <v>88</v>
      </c>
      <c r="B62" s="30" t="s">
        <v>95</v>
      </c>
      <c r="C62" s="30" t="s">
        <v>95</v>
      </c>
      <c r="D62" s="30" t="s">
        <v>481</v>
      </c>
      <c r="E62" s="33" t="s">
        <v>88</v>
      </c>
      <c r="F62" s="69" t="s">
        <v>127</v>
      </c>
      <c r="G62" s="28"/>
      <c r="H62" s="28" t="s">
        <v>111</v>
      </c>
      <c r="I62" s="28"/>
      <c r="J62" s="28"/>
      <c r="K62" s="28"/>
      <c r="L62" s="55">
        <f>VLOOKUP($A62, Stat!$A$1:$C$1000, 2,0)</f>
        <v>47</v>
      </c>
      <c r="M62" s="55">
        <f>VLOOKUP($A62, Stat!$A$1:$C$1000, 3,0)</f>
        <v>12</v>
      </c>
      <c r="N62" s="27">
        <v>1</v>
      </c>
      <c r="R62" s="29"/>
      <c r="S62" s="29"/>
      <c r="T62" s="29"/>
      <c r="U62" s="30">
        <v>50</v>
      </c>
      <c r="V62" s="30">
        <v>0</v>
      </c>
      <c r="Z62" s="30" t="s">
        <v>378</v>
      </c>
    </row>
    <row r="63" spans="1:26" ht="13.15" customHeight="1" x14ac:dyDescent="0.2">
      <c r="A63" s="30">
        <v>89</v>
      </c>
      <c r="B63" s="30" t="s">
        <v>13</v>
      </c>
      <c r="C63" s="30" t="s">
        <v>928</v>
      </c>
      <c r="D63" s="30" t="s">
        <v>499</v>
      </c>
      <c r="E63" s="33" t="s">
        <v>414</v>
      </c>
      <c r="F63" s="69" t="s">
        <v>218</v>
      </c>
      <c r="G63" s="28" t="s">
        <v>111</v>
      </c>
      <c r="H63" s="28" t="s">
        <v>111</v>
      </c>
      <c r="I63" s="29"/>
      <c r="J63" s="29"/>
      <c r="K63" s="28" t="s">
        <v>964</v>
      </c>
      <c r="L63" s="55">
        <f>VLOOKUP($A63, Stat!$A$1:$C$1000, 2,0)</f>
        <v>27</v>
      </c>
      <c r="M63" s="55">
        <f>VLOOKUP($A63, Stat!$A$1:$C$1000, 3,0)</f>
        <v>0</v>
      </c>
      <c r="N63" s="58"/>
      <c r="R63" s="29"/>
      <c r="S63" s="29"/>
      <c r="T63" s="29"/>
      <c r="U63" s="30">
        <v>50</v>
      </c>
      <c r="V63" s="30">
        <v>0</v>
      </c>
      <c r="Y63" s="30" t="s">
        <v>868</v>
      </c>
    </row>
    <row r="64" spans="1:26" ht="13.15" customHeight="1" x14ac:dyDescent="0.2">
      <c r="A64" s="30">
        <v>90</v>
      </c>
      <c r="B64" s="30" t="s">
        <v>13</v>
      </c>
      <c r="C64" s="30" t="s">
        <v>928</v>
      </c>
      <c r="D64" s="30" t="s">
        <v>500</v>
      </c>
      <c r="E64" s="30" t="s">
        <v>414</v>
      </c>
      <c r="F64" s="69" t="s">
        <v>218</v>
      </c>
      <c r="G64" s="28" t="s">
        <v>111</v>
      </c>
      <c r="H64" s="28" t="s">
        <v>111</v>
      </c>
      <c r="I64" s="29"/>
      <c r="J64" s="29"/>
      <c r="K64" s="28" t="s">
        <v>965</v>
      </c>
      <c r="U64" s="30">
        <v>50</v>
      </c>
      <c r="V64" s="30">
        <v>0</v>
      </c>
      <c r="Y64" s="30" t="s">
        <v>869</v>
      </c>
    </row>
    <row r="65" spans="1:26" ht="13.15" customHeight="1" x14ac:dyDescent="0.2">
      <c r="A65" s="30">
        <v>91</v>
      </c>
      <c r="B65" s="30" t="s">
        <v>13</v>
      </c>
      <c r="C65" s="30" t="s">
        <v>41</v>
      </c>
      <c r="D65" s="30" t="s">
        <v>43</v>
      </c>
      <c r="E65" s="33" t="s">
        <v>498</v>
      </c>
      <c r="F65" s="28" t="s">
        <v>129</v>
      </c>
      <c r="G65" s="28" t="s">
        <v>111</v>
      </c>
      <c r="H65" s="28" t="s">
        <v>111</v>
      </c>
      <c r="I65" s="29"/>
      <c r="J65" s="29"/>
      <c r="K65" s="29"/>
      <c r="L65" s="55">
        <f>VLOOKUP($A65, Stat!$A$1:$C$1000, 2,0)</f>
        <v>6</v>
      </c>
      <c r="M65" s="55">
        <f>VLOOKUP($A65, Stat!$A$1:$C$1000, 3,0)</f>
        <v>2</v>
      </c>
      <c r="N65" s="27">
        <v>1</v>
      </c>
      <c r="R65" s="29"/>
      <c r="S65" s="29"/>
      <c r="T65" s="29"/>
      <c r="U65" s="30">
        <v>50</v>
      </c>
      <c r="V65" s="30">
        <v>0</v>
      </c>
      <c r="Z65" s="30" t="s">
        <v>718</v>
      </c>
    </row>
    <row r="66" spans="1:26" ht="13.15" customHeight="1" x14ac:dyDescent="0.2">
      <c r="A66" s="30">
        <v>92</v>
      </c>
      <c r="B66" s="30" t="s">
        <v>13</v>
      </c>
      <c r="C66" s="30" t="s">
        <v>13</v>
      </c>
      <c r="D66" s="30" t="s">
        <v>331</v>
      </c>
      <c r="E66" s="33" t="s">
        <v>333</v>
      </c>
      <c r="F66" s="28" t="s">
        <v>218</v>
      </c>
      <c r="G66" s="28"/>
      <c r="H66" s="28" t="s">
        <v>111</v>
      </c>
      <c r="I66" s="28"/>
      <c r="J66" s="28"/>
      <c r="K66" s="28" t="s">
        <v>336</v>
      </c>
      <c r="L66" s="55">
        <f>VLOOKUP($A66, Stat!$A$1:$C$1000, 2,0)</f>
        <v>103</v>
      </c>
      <c r="M66" s="55">
        <f>VLOOKUP($A66, Stat!$A$1:$C$1000, 3,0)</f>
        <v>1</v>
      </c>
      <c r="R66" s="28"/>
      <c r="S66" s="29"/>
      <c r="T66" s="28" t="s">
        <v>335</v>
      </c>
      <c r="U66" s="30">
        <v>0</v>
      </c>
      <c r="V66" s="30">
        <v>-1</v>
      </c>
      <c r="Z66" s="30" t="s">
        <v>367</v>
      </c>
    </row>
    <row r="67" spans="1:26" ht="13.15" customHeight="1" x14ac:dyDescent="0.2">
      <c r="A67" s="30">
        <v>93</v>
      </c>
      <c r="B67" s="30" t="s">
        <v>95</v>
      </c>
      <c r="C67" s="30" t="s">
        <v>727</v>
      </c>
      <c r="D67" s="30" t="s">
        <v>508</v>
      </c>
      <c r="E67" s="33" t="s">
        <v>111</v>
      </c>
      <c r="F67" s="29"/>
      <c r="G67" s="29"/>
      <c r="H67" s="28" t="s">
        <v>111</v>
      </c>
      <c r="I67" s="29"/>
      <c r="J67" s="29"/>
      <c r="K67" s="29"/>
      <c r="L67" s="55">
        <f>VLOOKUP($A67, Stat!$A$1:$C$1000, 2,0)</f>
        <v>36</v>
      </c>
      <c r="M67" s="55">
        <f>VLOOKUP($A67, Stat!$A$1:$C$1000, 3,0)</f>
        <v>0</v>
      </c>
      <c r="N67" s="58"/>
      <c r="Q67" s="27">
        <v>1</v>
      </c>
      <c r="R67" s="29"/>
      <c r="S67" s="29"/>
      <c r="T67" s="29"/>
      <c r="U67" s="30">
        <v>0</v>
      </c>
      <c r="V67" s="30">
        <v>-1</v>
      </c>
      <c r="W67" s="30">
        <v>2</v>
      </c>
    </row>
    <row r="68" spans="1:26" ht="13.15" customHeight="1" x14ac:dyDescent="0.2">
      <c r="A68" s="30">
        <v>94</v>
      </c>
      <c r="B68" s="30" t="s">
        <v>95</v>
      </c>
      <c r="C68" s="30" t="s">
        <v>727</v>
      </c>
      <c r="D68" s="30" t="s">
        <v>508</v>
      </c>
      <c r="E68" s="33" t="s">
        <v>129</v>
      </c>
      <c r="F68" s="29"/>
      <c r="G68" s="29"/>
      <c r="H68" s="28" t="s">
        <v>111</v>
      </c>
      <c r="I68" s="29"/>
      <c r="J68" s="29"/>
      <c r="K68" s="29"/>
      <c r="L68" s="55">
        <f>VLOOKUP($A68, Stat!$A$1:$C$1000, 2,0)</f>
        <v>6</v>
      </c>
      <c r="M68" s="55">
        <f>VLOOKUP($A68, Stat!$A$1:$C$1000, 3,0)</f>
        <v>0</v>
      </c>
      <c r="N68" s="58"/>
      <c r="Q68" s="27">
        <v>1</v>
      </c>
      <c r="R68" s="28" t="s">
        <v>117</v>
      </c>
      <c r="S68" s="29"/>
      <c r="T68" s="29"/>
      <c r="U68" s="30">
        <v>50</v>
      </c>
      <c r="V68" s="30">
        <v>0</v>
      </c>
      <c r="W68" s="30">
        <v>2</v>
      </c>
    </row>
    <row r="69" spans="1:26" ht="13.15" customHeight="1" x14ac:dyDescent="0.2">
      <c r="A69" s="30">
        <v>95</v>
      </c>
      <c r="B69" s="30" t="s">
        <v>95</v>
      </c>
      <c r="C69" s="30" t="s">
        <v>727</v>
      </c>
      <c r="D69" s="30" t="s">
        <v>508</v>
      </c>
      <c r="E69" s="33" t="s">
        <v>35</v>
      </c>
      <c r="F69" s="29"/>
      <c r="G69" s="29"/>
      <c r="H69" s="28" t="s">
        <v>111</v>
      </c>
      <c r="I69" s="29"/>
      <c r="J69" s="29"/>
      <c r="K69" s="29"/>
      <c r="L69" s="55">
        <f>VLOOKUP($A69, Stat!$A$1:$C$1000, 2,0)</f>
        <v>22</v>
      </c>
      <c r="M69" s="55">
        <f>VLOOKUP($A69, Stat!$A$1:$C$1000, 3,0)</f>
        <v>0</v>
      </c>
      <c r="N69" s="58"/>
      <c r="Q69" s="27">
        <v>1</v>
      </c>
      <c r="R69" s="28" t="s">
        <v>116</v>
      </c>
      <c r="S69" s="29"/>
      <c r="T69" s="29"/>
      <c r="U69" s="30">
        <v>50</v>
      </c>
      <c r="V69" s="30">
        <v>0</v>
      </c>
      <c r="W69" s="30">
        <v>2</v>
      </c>
    </row>
    <row r="70" spans="1:26" ht="13.15" customHeight="1" x14ac:dyDescent="0.2">
      <c r="A70" s="30">
        <v>97</v>
      </c>
      <c r="B70" s="30" t="s">
        <v>13</v>
      </c>
      <c r="C70" s="30" t="s">
        <v>107</v>
      </c>
      <c r="D70" s="30" t="s">
        <v>860</v>
      </c>
      <c r="E70" s="30" t="s">
        <v>518</v>
      </c>
      <c r="H70" s="28" t="s">
        <v>111</v>
      </c>
      <c r="L70" s="55">
        <f>VLOOKUP($A70, Stat!$A$1:$C$1000, 2,0)</f>
        <v>3</v>
      </c>
      <c r="M70" s="55">
        <f>VLOOKUP($A70, Stat!$A$1:$C$1000, 3,0)</f>
        <v>0</v>
      </c>
      <c r="N70" s="57"/>
      <c r="U70" s="30">
        <v>50</v>
      </c>
      <c r="V70" s="30">
        <v>0</v>
      </c>
      <c r="Z70" s="30" t="s">
        <v>520</v>
      </c>
    </row>
    <row r="71" spans="1:26" ht="13.15" customHeight="1" x14ac:dyDescent="0.2">
      <c r="A71" s="30">
        <v>99</v>
      </c>
      <c r="B71" s="30" t="s">
        <v>13</v>
      </c>
      <c r="C71" s="30" t="s">
        <v>13</v>
      </c>
      <c r="D71" s="30" t="s">
        <v>536</v>
      </c>
      <c r="E71" s="33" t="s">
        <v>538</v>
      </c>
      <c r="F71" s="28" t="s">
        <v>111</v>
      </c>
      <c r="G71" s="28"/>
      <c r="H71" s="28" t="s">
        <v>111</v>
      </c>
      <c r="I71" s="28"/>
      <c r="J71" s="28"/>
      <c r="K71" s="28"/>
      <c r="L71" s="55">
        <f>VLOOKUP($A71, Stat!$A$1:$C$1000, 2,0)</f>
        <v>28</v>
      </c>
      <c r="M71" s="55">
        <f>VLOOKUP($A71, Stat!$A$1:$C$1000, 3,0)</f>
        <v>1</v>
      </c>
      <c r="N71" s="58"/>
      <c r="R71" s="28"/>
      <c r="S71" s="29"/>
      <c r="T71" s="28" t="s">
        <v>335</v>
      </c>
      <c r="U71" s="30">
        <v>50</v>
      </c>
      <c r="V71" s="30">
        <v>0</v>
      </c>
      <c r="Y71" s="30" t="s">
        <v>906</v>
      </c>
      <c r="Z71" s="30" t="s">
        <v>318</v>
      </c>
    </row>
    <row r="72" spans="1:26" ht="13.15" customHeight="1" x14ac:dyDescent="0.2">
      <c r="A72" s="30">
        <v>100</v>
      </c>
      <c r="B72" s="30" t="s">
        <v>28</v>
      </c>
      <c r="C72" s="30" t="s">
        <v>49</v>
      </c>
      <c r="D72" s="30" t="s">
        <v>410</v>
      </c>
      <c r="E72" s="33" t="s">
        <v>52</v>
      </c>
      <c r="F72" s="28" t="s">
        <v>127</v>
      </c>
      <c r="G72" s="28"/>
      <c r="H72" s="28" t="s">
        <v>111</v>
      </c>
      <c r="I72" s="28"/>
      <c r="J72" s="28"/>
      <c r="K72" s="28"/>
      <c r="L72" s="57">
        <f>VLOOKUP($A72, Stat!$A$1:$C$1000, 2,0)</f>
        <v>0</v>
      </c>
      <c r="M72" s="57">
        <f>VLOOKUP($A72, Stat!$A$1:$C$1000, 3,0)</f>
        <v>0</v>
      </c>
      <c r="N72" s="57"/>
      <c r="R72" s="29"/>
      <c r="S72" s="29"/>
      <c r="T72" s="29"/>
      <c r="U72" s="30">
        <v>0</v>
      </c>
      <c r="V72" s="30">
        <v>0</v>
      </c>
      <c r="Y72" s="30" t="s">
        <v>173</v>
      </c>
    </row>
    <row r="73" spans="1:26" ht="13.15" customHeight="1" x14ac:dyDescent="0.2">
      <c r="A73" s="30">
        <v>101</v>
      </c>
      <c r="B73" s="30" t="s">
        <v>28</v>
      </c>
      <c r="C73" s="30" t="s">
        <v>49</v>
      </c>
      <c r="D73" s="30" t="s">
        <v>410</v>
      </c>
      <c r="E73" s="33" t="s">
        <v>3</v>
      </c>
      <c r="F73" s="28" t="s">
        <v>127</v>
      </c>
      <c r="G73" s="28"/>
      <c r="H73" s="28" t="s">
        <v>111</v>
      </c>
      <c r="I73" s="28"/>
      <c r="J73" s="28"/>
      <c r="K73" s="28"/>
      <c r="L73" s="55">
        <f>VLOOKUP($A73, Stat!$A$1:$C$1000, 2,0)</f>
        <v>94</v>
      </c>
      <c r="M73" s="55">
        <f>VLOOKUP($A73, Stat!$A$1:$C$1000, 3,0)</f>
        <v>0</v>
      </c>
      <c r="N73" s="57"/>
      <c r="R73" s="29"/>
      <c r="S73" s="29"/>
      <c r="T73" s="29"/>
      <c r="U73" s="30">
        <v>0</v>
      </c>
      <c r="V73" s="30">
        <v>-1</v>
      </c>
      <c r="Y73" s="30" t="s">
        <v>173</v>
      </c>
    </row>
    <row r="74" spans="1:26" ht="13.15" customHeight="1" x14ac:dyDescent="0.2">
      <c r="A74" s="30">
        <v>102</v>
      </c>
      <c r="B74" s="30" t="s">
        <v>28</v>
      </c>
      <c r="C74" s="30" t="s">
        <v>49</v>
      </c>
      <c r="D74" s="30" t="s">
        <v>410</v>
      </c>
      <c r="E74" s="33" t="s">
        <v>4</v>
      </c>
      <c r="F74" s="28" t="s">
        <v>127</v>
      </c>
      <c r="G74" s="28"/>
      <c r="H74" s="28" t="s">
        <v>111</v>
      </c>
      <c r="I74" s="28"/>
      <c r="J74" s="28"/>
      <c r="K74" s="28"/>
      <c r="L74" s="55">
        <f>VLOOKUP($A74, Stat!$A$1:$C$1000, 2,0)</f>
        <v>69</v>
      </c>
      <c r="M74" s="55">
        <f>VLOOKUP($A74, Stat!$A$1:$C$1000, 3,0)</f>
        <v>0</v>
      </c>
      <c r="N74" s="57"/>
      <c r="R74" s="29"/>
      <c r="S74" s="29"/>
      <c r="T74" s="29"/>
      <c r="U74" s="30">
        <v>0</v>
      </c>
      <c r="V74" s="30">
        <v>-1</v>
      </c>
      <c r="Y74" s="30" t="s">
        <v>173</v>
      </c>
    </row>
    <row r="75" spans="1:26" ht="13.15" customHeight="1" x14ac:dyDescent="0.2">
      <c r="A75" s="30">
        <v>103</v>
      </c>
      <c r="B75" s="30" t="s">
        <v>28</v>
      </c>
      <c r="C75" s="30" t="s">
        <v>49</v>
      </c>
      <c r="D75" s="30" t="s">
        <v>410</v>
      </c>
      <c r="E75" s="33" t="s">
        <v>34</v>
      </c>
      <c r="F75" s="28" t="s">
        <v>127</v>
      </c>
      <c r="G75" s="28"/>
      <c r="H75" s="28" t="s">
        <v>111</v>
      </c>
      <c r="I75" s="28"/>
      <c r="J75" s="28"/>
      <c r="K75" s="28"/>
      <c r="L75" s="55">
        <f>VLOOKUP($A75, Stat!$A$1:$C$1000, 2,0)</f>
        <v>39</v>
      </c>
      <c r="M75" s="55">
        <f>VLOOKUP($A75, Stat!$A$1:$C$1000, 3,0)</f>
        <v>0</v>
      </c>
      <c r="N75" s="57"/>
      <c r="R75" s="29"/>
      <c r="S75" s="29"/>
      <c r="T75" s="29"/>
      <c r="U75" s="30">
        <v>0</v>
      </c>
      <c r="V75" s="30">
        <v>-1</v>
      </c>
      <c r="Y75" s="30" t="s">
        <v>173</v>
      </c>
    </row>
    <row r="76" spans="1:26" ht="13.15" customHeight="1" x14ac:dyDescent="0.2">
      <c r="A76" s="30">
        <v>104</v>
      </c>
      <c r="B76" s="30" t="s">
        <v>28</v>
      </c>
      <c r="C76" s="30" t="s">
        <v>49</v>
      </c>
      <c r="D76" s="30" t="s">
        <v>45</v>
      </c>
      <c r="E76" s="33" t="s">
        <v>52</v>
      </c>
      <c r="F76" s="28" t="s">
        <v>127</v>
      </c>
      <c r="G76" s="28"/>
      <c r="H76" s="28" t="s">
        <v>111</v>
      </c>
      <c r="I76" s="28"/>
      <c r="J76" s="28"/>
      <c r="K76" s="28"/>
      <c r="L76" s="57">
        <f>VLOOKUP($A76, Stat!$A$1:$C$1000, 2,0)</f>
        <v>0</v>
      </c>
      <c r="M76" s="57">
        <f>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127</v>
      </c>
      <c r="G77" s="28"/>
      <c r="H77" s="28" t="s">
        <v>111</v>
      </c>
      <c r="I77" s="28"/>
      <c r="J77" s="28"/>
      <c r="K77" s="28"/>
      <c r="L77" s="55">
        <f>VLOOKUP($A77, Stat!$A$1:$C$1000, 2,0)</f>
        <v>0</v>
      </c>
      <c r="M77" s="55">
        <f>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127</v>
      </c>
      <c r="G78" s="28"/>
      <c r="H78" s="28" t="s">
        <v>111</v>
      </c>
      <c r="I78" s="28"/>
      <c r="J78" s="28"/>
      <c r="K78" s="28"/>
      <c r="L78" s="57">
        <f>VLOOKUP($A78, Stat!$A$1:$C$1000, 2,0)</f>
        <v>0</v>
      </c>
      <c r="M78" s="57">
        <f>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127</v>
      </c>
      <c r="G79" s="28"/>
      <c r="H79" s="28" t="s">
        <v>111</v>
      </c>
      <c r="I79" s="28"/>
      <c r="J79" s="28"/>
      <c r="K79" s="28"/>
      <c r="L79" s="57">
        <f>VLOOKUP($A79, Stat!$A$1:$C$1000, 2,0)</f>
        <v>0</v>
      </c>
      <c r="M79" s="57">
        <f>VLOOKUP($A79, Stat!$A$1:$C$1000, 3,0)</f>
        <v>0</v>
      </c>
      <c r="N79" s="57"/>
      <c r="R79" s="29"/>
      <c r="S79" s="29"/>
      <c r="T79" s="29"/>
      <c r="U79" s="30">
        <v>0</v>
      </c>
      <c r="V79" s="30">
        <v>-1</v>
      </c>
    </row>
    <row r="80" spans="1:26" ht="13.15" customHeight="1" x14ac:dyDescent="0.2">
      <c r="A80" s="30">
        <v>108</v>
      </c>
      <c r="B80" s="30" t="s">
        <v>28</v>
      </c>
      <c r="C80" s="30" t="s">
        <v>594</v>
      </c>
      <c r="D80" s="30" t="s">
        <v>597</v>
      </c>
      <c r="E80" s="33" t="s">
        <v>2</v>
      </c>
      <c r="F80" s="28" t="s">
        <v>127</v>
      </c>
      <c r="G80" s="28"/>
      <c r="H80" s="28" t="s">
        <v>111</v>
      </c>
      <c r="I80" s="28"/>
      <c r="J80" s="28"/>
      <c r="K80" s="28"/>
      <c r="L80" s="55">
        <f>VLOOKUP($A80, Stat!$A$1:$C$1000, 2,0)</f>
        <v>73</v>
      </c>
      <c r="M80" s="55">
        <f>VLOOKUP($A80, Stat!$A$1:$C$1000, 3,0)</f>
        <v>0</v>
      </c>
      <c r="N80" s="74"/>
      <c r="R80" s="28" t="s">
        <v>616</v>
      </c>
      <c r="S80" s="29"/>
      <c r="T80" s="29"/>
      <c r="U80" s="30">
        <v>0</v>
      </c>
      <c r="V80" s="30">
        <v>-1</v>
      </c>
      <c r="Y80" s="30" t="s">
        <v>345</v>
      </c>
    </row>
    <row r="81" spans="1:26" ht="13.15" customHeight="1" x14ac:dyDescent="0.2">
      <c r="A81" s="30">
        <v>109</v>
      </c>
      <c r="B81" s="30" t="s">
        <v>28</v>
      </c>
      <c r="C81" s="30" t="s">
        <v>594</v>
      </c>
      <c r="D81" s="30" t="s">
        <v>597</v>
      </c>
      <c r="E81" s="33" t="s">
        <v>3</v>
      </c>
      <c r="F81" s="28" t="s">
        <v>127</v>
      </c>
      <c r="G81" s="28"/>
      <c r="H81" s="28" t="s">
        <v>111</v>
      </c>
      <c r="I81" s="28"/>
      <c r="J81" s="28"/>
      <c r="K81" s="28"/>
      <c r="L81" s="55">
        <f>VLOOKUP($A81, Stat!$A$1:$C$1000, 2,0)</f>
        <v>11</v>
      </c>
      <c r="M81" s="55">
        <f>VLOOKUP($A81, Stat!$A$1:$C$1000, 3,0)</f>
        <v>5</v>
      </c>
      <c r="N81" s="27">
        <v>1</v>
      </c>
      <c r="R81" s="28" t="s">
        <v>617</v>
      </c>
      <c r="S81" s="29"/>
      <c r="T81" s="29"/>
      <c r="U81" s="30">
        <v>0</v>
      </c>
      <c r="V81" s="30">
        <v>0</v>
      </c>
      <c r="Y81" s="30" t="s">
        <v>345</v>
      </c>
    </row>
    <row r="82" spans="1:26" ht="13.15" customHeight="1" x14ac:dyDescent="0.2">
      <c r="A82" s="30">
        <v>110</v>
      </c>
      <c r="B82" s="30" t="s">
        <v>28</v>
      </c>
      <c r="C82" s="30" t="s">
        <v>594</v>
      </c>
      <c r="D82" s="30" t="s">
        <v>597</v>
      </c>
      <c r="E82" s="33" t="s">
        <v>4</v>
      </c>
      <c r="F82" s="28" t="s">
        <v>127</v>
      </c>
      <c r="G82" s="28"/>
      <c r="H82" s="28" t="s">
        <v>111</v>
      </c>
      <c r="I82" s="28"/>
      <c r="J82" s="28"/>
      <c r="K82" s="28"/>
      <c r="L82" s="55">
        <f>VLOOKUP($A82, Stat!$A$1:$C$1000, 2,0)</f>
        <v>9</v>
      </c>
      <c r="M82" s="55">
        <f>VLOOKUP($A82, Stat!$A$1:$C$1000, 3,0)</f>
        <v>3</v>
      </c>
      <c r="N82" s="27">
        <v>1</v>
      </c>
      <c r="R82" s="28" t="s">
        <v>618</v>
      </c>
      <c r="S82" s="29"/>
      <c r="T82" s="29"/>
      <c r="U82" s="30">
        <v>100</v>
      </c>
      <c r="V82" s="30">
        <v>0</v>
      </c>
      <c r="Y82" s="30" t="s">
        <v>345</v>
      </c>
    </row>
    <row r="83" spans="1:26" ht="13.15" customHeight="1" x14ac:dyDescent="0.2">
      <c r="A83" s="30">
        <v>111</v>
      </c>
      <c r="B83" s="30" t="s">
        <v>28</v>
      </c>
      <c r="C83" s="30" t="s">
        <v>594</v>
      </c>
      <c r="D83" s="30" t="s">
        <v>597</v>
      </c>
      <c r="E83" s="33" t="s">
        <v>34</v>
      </c>
      <c r="F83" s="28" t="s">
        <v>127</v>
      </c>
      <c r="G83" s="28"/>
      <c r="H83" s="28" t="s">
        <v>111</v>
      </c>
      <c r="I83" s="28"/>
      <c r="J83" s="28"/>
      <c r="K83" s="28"/>
      <c r="L83" s="55">
        <f>VLOOKUP($A83, Stat!$A$1:$C$1000, 2,0)</f>
        <v>2</v>
      </c>
      <c r="M83" s="55">
        <f>VLOOKUP($A83, Stat!$A$1:$C$1000, 3,0)</f>
        <v>1</v>
      </c>
      <c r="N83" s="27">
        <v>1</v>
      </c>
      <c r="R83" s="28" t="s">
        <v>619</v>
      </c>
      <c r="S83" s="29"/>
      <c r="T83" s="29"/>
      <c r="U83" s="30">
        <v>100</v>
      </c>
      <c r="V83" s="30">
        <v>0</v>
      </c>
      <c r="Y83" s="30" t="s">
        <v>345</v>
      </c>
    </row>
    <row r="84" spans="1:26" ht="13.15" customHeight="1" x14ac:dyDescent="0.2">
      <c r="A84" s="30">
        <v>112</v>
      </c>
      <c r="B84" s="30" t="s">
        <v>28</v>
      </c>
      <c r="C84" s="30" t="s">
        <v>48</v>
      </c>
      <c r="D84" s="30" t="s">
        <v>611</v>
      </c>
      <c r="E84" s="33" t="s">
        <v>2</v>
      </c>
      <c r="F84" s="28" t="s">
        <v>127</v>
      </c>
      <c r="G84" s="28"/>
      <c r="H84" s="28" t="s">
        <v>111</v>
      </c>
      <c r="I84" s="28"/>
      <c r="J84" s="28"/>
      <c r="K84" s="28"/>
      <c r="L84" s="55">
        <f>VLOOKUP($A84, Stat!$A$1:$C$1000, 2,0)</f>
        <v>151</v>
      </c>
      <c r="M84" s="55">
        <f>VLOOKUP($A84, Stat!$A$1:$C$1000, 3,0)</f>
        <v>0</v>
      </c>
      <c r="N84" s="74"/>
      <c r="R84" s="28" t="s">
        <v>156</v>
      </c>
      <c r="S84" s="29"/>
      <c r="T84" s="28"/>
      <c r="U84" s="30">
        <v>0</v>
      </c>
      <c r="V84" s="30">
        <v>-1</v>
      </c>
    </row>
    <row r="85" spans="1:26" ht="13.15" customHeight="1" x14ac:dyDescent="0.2">
      <c r="A85" s="30">
        <v>113</v>
      </c>
      <c r="B85" s="30" t="s">
        <v>28</v>
      </c>
      <c r="C85" s="30" t="s">
        <v>48</v>
      </c>
      <c r="D85" s="30" t="s">
        <v>611</v>
      </c>
      <c r="E85" s="33" t="s">
        <v>3</v>
      </c>
      <c r="F85" s="28" t="s">
        <v>127</v>
      </c>
      <c r="G85" s="28"/>
      <c r="H85" s="28" t="s">
        <v>111</v>
      </c>
      <c r="I85" s="28"/>
      <c r="J85" s="28"/>
      <c r="K85" s="28"/>
      <c r="L85" s="55">
        <f>VLOOKUP($A85, Stat!$A$1:$C$1000, 2,0)</f>
        <v>19</v>
      </c>
      <c r="M85" s="55">
        <f>VLOOKUP($A85, Stat!$A$1:$C$1000, 3,0)</f>
        <v>0</v>
      </c>
      <c r="N85" s="57"/>
      <c r="R85" s="28" t="s">
        <v>157</v>
      </c>
      <c r="S85" s="29"/>
      <c r="T85" s="28"/>
      <c r="U85" s="30">
        <v>0</v>
      </c>
      <c r="V85" s="30">
        <v>-1</v>
      </c>
    </row>
    <row r="86" spans="1:26" ht="13.15" customHeight="1" x14ac:dyDescent="0.2">
      <c r="A86" s="30">
        <v>114</v>
      </c>
      <c r="B86" s="30" t="s">
        <v>28</v>
      </c>
      <c r="C86" s="30" t="s">
        <v>48</v>
      </c>
      <c r="D86" s="30" t="s">
        <v>611</v>
      </c>
      <c r="E86" s="33" t="s">
        <v>4</v>
      </c>
      <c r="F86" s="28" t="s">
        <v>127</v>
      </c>
      <c r="G86" s="28"/>
      <c r="H86" s="28" t="s">
        <v>111</v>
      </c>
      <c r="I86" s="28"/>
      <c r="J86" s="28"/>
      <c r="K86" s="28"/>
      <c r="L86" s="55">
        <f>VLOOKUP($A86, Stat!$A$1:$C$1000, 2,0)</f>
        <v>8</v>
      </c>
      <c r="M86" s="55">
        <f>VLOOKUP($A86, Stat!$A$1:$C$1000, 3,0)</f>
        <v>0</v>
      </c>
      <c r="N86" s="57"/>
      <c r="R86" s="28" t="s">
        <v>158</v>
      </c>
      <c r="S86" s="29"/>
      <c r="T86" s="28"/>
      <c r="U86" s="30">
        <v>50</v>
      </c>
      <c r="V86" s="30">
        <v>0</v>
      </c>
    </row>
    <row r="87" spans="1:26" ht="13.15" customHeight="1" x14ac:dyDescent="0.2">
      <c r="A87" s="30">
        <v>115</v>
      </c>
      <c r="B87" s="30" t="s">
        <v>28</v>
      </c>
      <c r="C87" s="30" t="s">
        <v>48</v>
      </c>
      <c r="D87" s="30" t="s">
        <v>611</v>
      </c>
      <c r="E87" s="33" t="s">
        <v>34</v>
      </c>
      <c r="F87" s="28" t="s">
        <v>127</v>
      </c>
      <c r="G87" s="28"/>
      <c r="H87" s="28" t="s">
        <v>111</v>
      </c>
      <c r="I87" s="28"/>
      <c r="J87" s="28"/>
      <c r="K87" s="28"/>
      <c r="L87" s="55">
        <f>VLOOKUP($A87, Stat!$A$1:$C$1000, 2,0)</f>
        <v>24</v>
      </c>
      <c r="M87" s="55">
        <f>VLOOKUP($A87, Stat!$A$1:$C$1000, 3,0)</f>
        <v>0</v>
      </c>
      <c r="N87" s="57"/>
      <c r="R87" s="28" t="s">
        <v>159</v>
      </c>
      <c r="S87" s="29"/>
      <c r="T87" s="28"/>
      <c r="U87" s="30">
        <v>100</v>
      </c>
      <c r="V87" s="30">
        <v>0</v>
      </c>
    </row>
    <row r="88" spans="1:26" ht="13.15" customHeight="1" x14ac:dyDescent="0.2">
      <c r="A88" s="30">
        <v>116</v>
      </c>
      <c r="B88" s="30" t="s">
        <v>28</v>
      </c>
      <c r="C88" s="30" t="s">
        <v>48</v>
      </c>
      <c r="D88" s="30" t="s">
        <v>85</v>
      </c>
      <c r="E88" s="33" t="s">
        <v>2</v>
      </c>
      <c r="F88" s="28" t="s">
        <v>127</v>
      </c>
      <c r="G88" s="28"/>
      <c r="H88" s="28" t="s">
        <v>111</v>
      </c>
      <c r="I88" s="28"/>
      <c r="J88" s="28"/>
      <c r="K88" s="28"/>
      <c r="L88" s="55">
        <f>VLOOKUP($A88, Stat!$A$1:$C$1000, 2,0)</f>
        <v>43</v>
      </c>
      <c r="M88" s="55">
        <f>VLOOKUP($A88, Stat!$A$1:$C$1000, 3,0)</f>
        <v>0</v>
      </c>
      <c r="N88" s="57"/>
      <c r="R88" s="28" t="s">
        <v>156</v>
      </c>
      <c r="S88" s="29"/>
      <c r="T88" s="29"/>
      <c r="U88" s="30">
        <v>0</v>
      </c>
      <c r="V88" s="30">
        <v>-1</v>
      </c>
      <c r="Y88" s="30" t="s">
        <v>86</v>
      </c>
    </row>
    <row r="89" spans="1:26" ht="13.15" customHeight="1" x14ac:dyDescent="0.2">
      <c r="A89" s="30">
        <v>117</v>
      </c>
      <c r="B89" s="30" t="s">
        <v>28</v>
      </c>
      <c r="C89" s="30" t="s">
        <v>48</v>
      </c>
      <c r="D89" s="30" t="s">
        <v>85</v>
      </c>
      <c r="E89" s="33" t="s">
        <v>3</v>
      </c>
      <c r="F89" s="28" t="s">
        <v>127</v>
      </c>
      <c r="G89" s="28"/>
      <c r="H89" s="28" t="s">
        <v>111</v>
      </c>
      <c r="I89" s="28"/>
      <c r="J89" s="28"/>
      <c r="K89" s="28"/>
      <c r="L89" s="55">
        <f>VLOOKUP($A89, Stat!$A$1:$C$1000, 2,0)</f>
        <v>45</v>
      </c>
      <c r="M89" s="55">
        <f>VLOOKUP($A89, Stat!$A$1:$C$1000, 3,0)</f>
        <v>0</v>
      </c>
      <c r="N89" s="57"/>
      <c r="R89" s="28" t="s">
        <v>157</v>
      </c>
      <c r="S89" s="29"/>
      <c r="T89" s="29"/>
      <c r="U89" s="30">
        <v>0</v>
      </c>
      <c r="V89" s="30">
        <v>-1</v>
      </c>
      <c r="Y89" s="30" t="s">
        <v>86</v>
      </c>
    </row>
    <row r="90" spans="1:26" ht="13.15" customHeight="1" x14ac:dyDescent="0.2">
      <c r="A90" s="30">
        <v>118</v>
      </c>
      <c r="B90" s="30" t="s">
        <v>28</v>
      </c>
      <c r="C90" s="30" t="s">
        <v>48</v>
      </c>
      <c r="D90" s="30" t="s">
        <v>85</v>
      </c>
      <c r="E90" s="33" t="s">
        <v>4</v>
      </c>
      <c r="F90" s="28" t="s">
        <v>127</v>
      </c>
      <c r="G90" s="28"/>
      <c r="H90" s="28" t="s">
        <v>111</v>
      </c>
      <c r="I90" s="28"/>
      <c r="J90" s="28"/>
      <c r="K90" s="28"/>
      <c r="L90" s="55">
        <f>VLOOKUP($A90, Stat!$A$1:$C$1000, 2,0)</f>
        <v>25</v>
      </c>
      <c r="M90" s="55">
        <f>VLOOKUP($A90, Stat!$A$1:$C$1000, 3,0)</f>
        <v>0</v>
      </c>
      <c r="N90" s="57"/>
      <c r="R90" s="28" t="s">
        <v>158</v>
      </c>
      <c r="S90" s="29"/>
      <c r="T90" s="29"/>
      <c r="U90" s="30">
        <v>0</v>
      </c>
      <c r="V90" s="30">
        <v>-1</v>
      </c>
      <c r="Y90" s="30" t="s">
        <v>86</v>
      </c>
    </row>
    <row r="91" spans="1:26" ht="13.15" customHeight="1" x14ac:dyDescent="0.2">
      <c r="A91" s="30">
        <v>119</v>
      </c>
      <c r="B91" s="30" t="s">
        <v>28</v>
      </c>
      <c r="C91" s="30" t="s">
        <v>48</v>
      </c>
      <c r="D91" s="30" t="s">
        <v>85</v>
      </c>
      <c r="E91" s="33" t="s">
        <v>34</v>
      </c>
      <c r="F91" s="28" t="s">
        <v>127</v>
      </c>
      <c r="G91" s="28"/>
      <c r="H91" s="28" t="s">
        <v>111</v>
      </c>
      <c r="I91" s="28"/>
      <c r="J91" s="28"/>
      <c r="K91" s="28"/>
      <c r="L91" s="55">
        <f>VLOOKUP($A91, Stat!$A$1:$C$1000, 2,0)</f>
        <v>20</v>
      </c>
      <c r="M91" s="55">
        <f>VLOOKUP($A91, Stat!$A$1:$C$1000, 3,0)</f>
        <v>0</v>
      </c>
      <c r="N91" s="58"/>
      <c r="R91" s="28" t="s">
        <v>159</v>
      </c>
      <c r="S91" s="29"/>
      <c r="T91" s="29"/>
      <c r="U91" s="30">
        <v>0</v>
      </c>
      <c r="V91" s="30">
        <v>-1</v>
      </c>
      <c r="Y91" s="30" t="s">
        <v>86</v>
      </c>
    </row>
    <row r="92" spans="1:26" ht="13.15" customHeight="1" x14ac:dyDescent="0.2">
      <c r="A92" s="30">
        <v>120</v>
      </c>
      <c r="B92" s="30" t="s">
        <v>28</v>
      </c>
      <c r="C92" s="30" t="s">
        <v>49</v>
      </c>
      <c r="D92" s="30" t="s">
        <v>637</v>
      </c>
      <c r="E92" s="33" t="s">
        <v>2</v>
      </c>
      <c r="F92" s="28" t="s">
        <v>127</v>
      </c>
      <c r="G92" s="28"/>
      <c r="H92" s="28" t="s">
        <v>111</v>
      </c>
      <c r="I92" s="28"/>
      <c r="J92" s="28"/>
      <c r="K92" s="28"/>
      <c r="L92" s="55">
        <f>VLOOKUP($A92, Stat!$A$1:$C$1000, 2,0)</f>
        <v>84</v>
      </c>
      <c r="M92" s="55">
        <f>VLOOKUP($A92, Stat!$A$1:$C$1000, 3,0)</f>
        <v>0</v>
      </c>
      <c r="N92" s="57"/>
      <c r="P92" s="27">
        <v>999</v>
      </c>
      <c r="R92" s="28"/>
      <c r="S92" s="29"/>
      <c r="T92" s="29"/>
      <c r="U92" s="30">
        <v>0</v>
      </c>
      <c r="V92" s="30">
        <v>-1</v>
      </c>
      <c r="W92" s="30">
        <v>35</v>
      </c>
      <c r="Y92" s="30" t="s">
        <v>341</v>
      </c>
    </row>
    <row r="93" spans="1:26" ht="13.15" customHeight="1" x14ac:dyDescent="0.2">
      <c r="A93" s="30">
        <v>121</v>
      </c>
      <c r="B93" s="30" t="s">
        <v>28</v>
      </c>
      <c r="C93" s="30" t="s">
        <v>49</v>
      </c>
      <c r="D93" s="30" t="s">
        <v>637</v>
      </c>
      <c r="E93" s="33" t="s">
        <v>3</v>
      </c>
      <c r="F93" s="28" t="s">
        <v>127</v>
      </c>
      <c r="G93" s="28"/>
      <c r="H93" s="28" t="s">
        <v>111</v>
      </c>
      <c r="I93" s="28"/>
      <c r="J93" s="28"/>
      <c r="K93" s="28"/>
      <c r="L93" s="55">
        <f>VLOOKUP($A93, Stat!$A$1:$C$1000, 2,0)</f>
        <v>58</v>
      </c>
      <c r="M93" s="55">
        <f>VLOOKUP($A93, Stat!$A$1:$C$1000, 3,0)</f>
        <v>0</v>
      </c>
      <c r="N93" s="57"/>
      <c r="P93" s="27">
        <v>999</v>
      </c>
      <c r="R93" s="28"/>
      <c r="S93" s="29"/>
      <c r="T93" s="29"/>
      <c r="U93" s="30">
        <v>0</v>
      </c>
      <c r="V93" s="30">
        <v>-1</v>
      </c>
      <c r="W93" s="30">
        <v>35</v>
      </c>
      <c r="Y93" s="30" t="s">
        <v>341</v>
      </c>
    </row>
    <row r="94" spans="1:26" ht="13.15" customHeight="1" x14ac:dyDescent="0.2">
      <c r="A94" s="30">
        <v>122</v>
      </c>
      <c r="B94" s="30" t="s">
        <v>28</v>
      </c>
      <c r="C94" s="30" t="s">
        <v>49</v>
      </c>
      <c r="D94" s="30" t="s">
        <v>637</v>
      </c>
      <c r="E94" s="33" t="s">
        <v>4</v>
      </c>
      <c r="F94" s="28" t="s">
        <v>127</v>
      </c>
      <c r="G94" s="28"/>
      <c r="H94" s="28" t="s">
        <v>111</v>
      </c>
      <c r="I94" s="28"/>
      <c r="J94" s="28"/>
      <c r="K94" s="28"/>
      <c r="L94" s="55">
        <f>VLOOKUP($A94, Stat!$A$1:$C$1000, 2,0)</f>
        <v>23</v>
      </c>
      <c r="M94" s="55">
        <f>VLOOKUP($A94, Stat!$A$1:$C$1000, 3,0)</f>
        <v>0</v>
      </c>
      <c r="N94" s="57"/>
      <c r="P94" s="27">
        <v>999</v>
      </c>
      <c r="R94" s="28"/>
      <c r="S94" s="29"/>
      <c r="T94" s="29"/>
      <c r="U94" s="30">
        <v>0</v>
      </c>
      <c r="V94" s="30">
        <v>-1</v>
      </c>
      <c r="W94" s="30">
        <v>35</v>
      </c>
      <c r="Y94" s="30" t="s">
        <v>341</v>
      </c>
    </row>
    <row r="95" spans="1:26" ht="13.15" customHeight="1" x14ac:dyDescent="0.2">
      <c r="A95" s="30">
        <v>123</v>
      </c>
      <c r="B95" s="30" t="s">
        <v>28</v>
      </c>
      <c r="C95" s="30" t="s">
        <v>49</v>
      </c>
      <c r="D95" s="30" t="s">
        <v>637</v>
      </c>
      <c r="E95" s="33" t="s">
        <v>34</v>
      </c>
      <c r="F95" s="28" t="s">
        <v>127</v>
      </c>
      <c r="G95" s="28"/>
      <c r="H95" s="28" t="s">
        <v>111</v>
      </c>
      <c r="I95" s="28"/>
      <c r="J95" s="28"/>
      <c r="K95" s="28"/>
      <c r="L95" s="57">
        <f>VLOOKUP($A95, Stat!$A$1:$C$1000, 2,0)</f>
        <v>0</v>
      </c>
      <c r="M95" s="57">
        <f>VLOOKUP($A95, Stat!$A$1:$C$1000, 3,0)</f>
        <v>0</v>
      </c>
      <c r="N95" s="57"/>
      <c r="P95" s="27">
        <v>999</v>
      </c>
      <c r="R95" s="28"/>
      <c r="S95" s="29"/>
      <c r="T95" s="29"/>
      <c r="U95" s="30">
        <v>50</v>
      </c>
      <c r="V95" s="30">
        <v>0</v>
      </c>
      <c r="W95" s="30">
        <v>35</v>
      </c>
      <c r="Y95" s="30" t="s">
        <v>341</v>
      </c>
      <c r="Z95" s="30" t="s">
        <v>212</v>
      </c>
    </row>
    <row r="96" spans="1:26" ht="13.15" customHeight="1" x14ac:dyDescent="0.2">
      <c r="A96" s="30">
        <v>124</v>
      </c>
      <c r="B96" s="30" t="s">
        <v>28</v>
      </c>
      <c r="C96" s="30" t="s">
        <v>48</v>
      </c>
      <c r="D96" s="30" t="s">
        <v>48</v>
      </c>
      <c r="E96" s="33" t="s">
        <v>2</v>
      </c>
      <c r="F96" s="28" t="s">
        <v>127</v>
      </c>
      <c r="G96" s="28"/>
      <c r="H96" s="28" t="s">
        <v>111</v>
      </c>
      <c r="I96" s="28"/>
      <c r="J96" s="28"/>
      <c r="K96" s="28"/>
      <c r="L96" s="55">
        <f>VLOOKUP($A96, Stat!$A$1:$C$1000, 2,0)</f>
        <v>36</v>
      </c>
      <c r="M96" s="55">
        <f>VLOOKUP($A96, Stat!$A$1:$C$1000, 3,0)</f>
        <v>1</v>
      </c>
      <c r="R96" s="28" t="s">
        <v>156</v>
      </c>
      <c r="S96" s="29"/>
      <c r="T96" s="29"/>
      <c r="U96" s="30">
        <v>0</v>
      </c>
      <c r="V96" s="30">
        <v>-1</v>
      </c>
      <c r="Y96" s="30" t="s">
        <v>87</v>
      </c>
    </row>
    <row r="97" spans="1:26" ht="13.15" customHeight="1" x14ac:dyDescent="0.2">
      <c r="A97" s="30">
        <v>125</v>
      </c>
      <c r="B97" s="30" t="s">
        <v>28</v>
      </c>
      <c r="C97" s="30" t="s">
        <v>48</v>
      </c>
      <c r="D97" s="30" t="s">
        <v>48</v>
      </c>
      <c r="E97" s="33" t="s">
        <v>3</v>
      </c>
      <c r="F97" s="28" t="s">
        <v>127</v>
      </c>
      <c r="G97" s="28"/>
      <c r="H97" s="28" t="s">
        <v>111</v>
      </c>
      <c r="I97" s="28"/>
      <c r="J97" s="28"/>
      <c r="K97" s="28"/>
      <c r="L97" s="55">
        <f>VLOOKUP($A97, Stat!$A$1:$C$1000, 2,0)</f>
        <v>39</v>
      </c>
      <c r="M97" s="55">
        <f>VLOOKUP($A97, Stat!$A$1:$C$1000, 3,0)</f>
        <v>1</v>
      </c>
      <c r="R97" s="28" t="s">
        <v>157</v>
      </c>
      <c r="S97" s="29"/>
      <c r="T97" s="29"/>
      <c r="U97" s="30">
        <v>0</v>
      </c>
      <c r="V97" s="30">
        <v>0</v>
      </c>
      <c r="Y97" s="30" t="s">
        <v>87</v>
      </c>
      <c r="Z97" s="30" t="s">
        <v>174</v>
      </c>
    </row>
    <row r="98" spans="1:26" ht="13.15" customHeight="1" x14ac:dyDescent="0.2">
      <c r="A98" s="30">
        <v>126</v>
      </c>
      <c r="B98" s="30" t="s">
        <v>28</v>
      </c>
      <c r="C98" s="30" t="s">
        <v>48</v>
      </c>
      <c r="D98" s="30" t="s">
        <v>48</v>
      </c>
      <c r="E98" s="33" t="s">
        <v>4</v>
      </c>
      <c r="F98" s="28" t="s">
        <v>127</v>
      </c>
      <c r="G98" s="28"/>
      <c r="H98" s="28" t="s">
        <v>111</v>
      </c>
      <c r="I98" s="28"/>
      <c r="J98" s="28"/>
      <c r="K98" s="28"/>
      <c r="L98" s="55">
        <f>VLOOKUP($A98, Stat!$A$1:$C$1000, 2,0)</f>
        <v>60</v>
      </c>
      <c r="M98" s="55">
        <f>VLOOKUP($A98, Stat!$A$1:$C$1000, 3,0)</f>
        <v>1</v>
      </c>
      <c r="R98" s="28" t="s">
        <v>158</v>
      </c>
      <c r="S98" s="29"/>
      <c r="T98" s="29"/>
      <c r="U98" s="30">
        <v>50</v>
      </c>
      <c r="V98" s="30">
        <v>0</v>
      </c>
      <c r="Y98" s="30" t="s">
        <v>87</v>
      </c>
    </row>
    <row r="99" spans="1:26" ht="13.15" customHeight="1" x14ac:dyDescent="0.2">
      <c r="A99" s="30">
        <v>127</v>
      </c>
      <c r="B99" s="30" t="s">
        <v>28</v>
      </c>
      <c r="C99" s="30" t="s">
        <v>48</v>
      </c>
      <c r="D99" s="30" t="s">
        <v>48</v>
      </c>
      <c r="E99" s="33" t="s">
        <v>34</v>
      </c>
      <c r="F99" s="28" t="s">
        <v>127</v>
      </c>
      <c r="G99" s="28"/>
      <c r="H99" s="28" t="s">
        <v>111</v>
      </c>
      <c r="I99" s="28"/>
      <c r="J99" s="28"/>
      <c r="K99" s="28"/>
      <c r="L99" s="55">
        <f>VLOOKUP($A99, Stat!$A$1:$C$1000, 2,0)</f>
        <v>88</v>
      </c>
      <c r="M99" s="55">
        <f>VLOOKUP($A99, Stat!$A$1:$C$1000, 3,0)</f>
        <v>1</v>
      </c>
      <c r="R99" s="28" t="s">
        <v>159</v>
      </c>
      <c r="S99" s="29"/>
      <c r="T99" s="29"/>
      <c r="U99" s="30">
        <v>100</v>
      </c>
      <c r="V99" s="30">
        <v>0</v>
      </c>
      <c r="Y99" s="30" t="s">
        <v>87</v>
      </c>
    </row>
    <row r="100" spans="1:26" ht="13.15" customHeight="1" x14ac:dyDescent="0.2">
      <c r="A100" s="30">
        <v>128</v>
      </c>
      <c r="B100" s="30" t="s">
        <v>28</v>
      </c>
      <c r="C100" s="30" t="s">
        <v>594</v>
      </c>
      <c r="D100" s="30" t="s">
        <v>595</v>
      </c>
      <c r="E100" s="33" t="s">
        <v>2</v>
      </c>
      <c r="F100" s="28" t="s">
        <v>127</v>
      </c>
      <c r="G100" s="28"/>
      <c r="H100" s="28" t="s">
        <v>111</v>
      </c>
      <c r="I100" s="28"/>
      <c r="J100" s="28"/>
      <c r="K100" s="28"/>
      <c r="L100" s="55">
        <f>VLOOKUP($A100, Stat!$A$1:$C$1000, 2,0)</f>
        <v>126</v>
      </c>
      <c r="M100" s="55">
        <f>VLOOKUP($A100, Stat!$A$1:$C$1000, 3,0)</f>
        <v>0</v>
      </c>
      <c r="N100" s="74"/>
      <c r="R100" s="28" t="s">
        <v>576</v>
      </c>
      <c r="S100" s="29"/>
      <c r="T100" s="29"/>
      <c r="U100" s="30">
        <v>0</v>
      </c>
      <c r="V100" s="30">
        <v>-1</v>
      </c>
      <c r="Y100" s="30" t="s">
        <v>343</v>
      </c>
    </row>
    <row r="101" spans="1:26" ht="13.15" customHeight="1" x14ac:dyDescent="0.2">
      <c r="A101" s="30">
        <v>129</v>
      </c>
      <c r="B101" s="30" t="s">
        <v>28</v>
      </c>
      <c r="C101" s="30" t="s">
        <v>594</v>
      </c>
      <c r="D101" s="30" t="s">
        <v>595</v>
      </c>
      <c r="E101" s="33" t="s">
        <v>3</v>
      </c>
      <c r="F101" s="28" t="s">
        <v>127</v>
      </c>
      <c r="G101" s="28"/>
      <c r="H101" s="28" t="s">
        <v>111</v>
      </c>
      <c r="I101" s="28"/>
      <c r="J101" s="28"/>
      <c r="K101" s="28"/>
      <c r="L101" s="55">
        <f>VLOOKUP($A101, Stat!$A$1:$C$1000, 2,0)</f>
        <v>55</v>
      </c>
      <c r="M101" s="55">
        <f>VLOOKUP($A101, Stat!$A$1:$C$1000, 3,0)</f>
        <v>9</v>
      </c>
      <c r="N101" s="58"/>
      <c r="R101" s="28" t="s">
        <v>577</v>
      </c>
      <c r="S101" s="29"/>
      <c r="T101" s="29"/>
      <c r="U101" s="30">
        <v>0</v>
      </c>
      <c r="V101" s="30">
        <v>-1</v>
      </c>
      <c r="Y101" s="30" t="s">
        <v>343</v>
      </c>
    </row>
    <row r="102" spans="1:26" ht="13.15" customHeight="1" x14ac:dyDescent="0.2">
      <c r="A102" s="30">
        <v>130</v>
      </c>
      <c r="B102" s="30" t="s">
        <v>28</v>
      </c>
      <c r="C102" s="30" t="s">
        <v>594</v>
      </c>
      <c r="D102" s="30" t="s">
        <v>595</v>
      </c>
      <c r="E102" s="33" t="s">
        <v>4</v>
      </c>
      <c r="F102" s="28" t="s">
        <v>127</v>
      </c>
      <c r="G102" s="28"/>
      <c r="H102" s="28" t="s">
        <v>111</v>
      </c>
      <c r="I102" s="28"/>
      <c r="J102" s="28"/>
      <c r="K102" s="28"/>
      <c r="L102" s="55">
        <f>VLOOKUP($A102, Stat!$A$1:$C$1000, 2,0)</f>
        <v>38</v>
      </c>
      <c r="M102" s="55">
        <f>VLOOKUP($A102, Stat!$A$1:$C$1000, 3,0)</f>
        <v>5</v>
      </c>
      <c r="N102" s="58"/>
      <c r="R102" s="28" t="s">
        <v>578</v>
      </c>
      <c r="S102" s="29"/>
      <c r="T102" s="29"/>
      <c r="U102" s="30">
        <v>0</v>
      </c>
      <c r="V102" s="30">
        <v>-1</v>
      </c>
      <c r="Y102" s="30" t="s">
        <v>343</v>
      </c>
    </row>
    <row r="103" spans="1:26" ht="13.15" customHeight="1" x14ac:dyDescent="0.2">
      <c r="A103" s="30">
        <v>131</v>
      </c>
      <c r="B103" s="30" t="s">
        <v>28</v>
      </c>
      <c r="C103" s="30" t="s">
        <v>594</v>
      </c>
      <c r="D103" s="30" t="s">
        <v>595</v>
      </c>
      <c r="E103" s="33" t="s">
        <v>34</v>
      </c>
      <c r="F103" s="28" t="s">
        <v>127</v>
      </c>
      <c r="G103" s="28"/>
      <c r="H103" s="28" t="s">
        <v>111</v>
      </c>
      <c r="I103" s="28"/>
      <c r="J103" s="28"/>
      <c r="K103" s="28"/>
      <c r="L103" s="55">
        <f>VLOOKUP($A103, Stat!$A$1:$C$1000, 2,0)</f>
        <v>27</v>
      </c>
      <c r="M103" s="55">
        <f>VLOOKUP($A103, Stat!$A$1:$C$1000, 3,0)</f>
        <v>12</v>
      </c>
      <c r="N103" s="27">
        <v>1</v>
      </c>
      <c r="R103" s="28" t="s">
        <v>579</v>
      </c>
      <c r="S103" s="29"/>
      <c r="T103" s="29"/>
      <c r="U103" s="30">
        <v>50</v>
      </c>
      <c r="V103" s="30">
        <v>0</v>
      </c>
      <c r="Y103" s="30" t="s">
        <v>343</v>
      </c>
    </row>
    <row r="104" spans="1:26" ht="13.15" customHeight="1" x14ac:dyDescent="0.2">
      <c r="A104" s="30">
        <v>132</v>
      </c>
      <c r="B104" s="30" t="s">
        <v>28</v>
      </c>
      <c r="C104" s="30" t="s">
        <v>594</v>
      </c>
      <c r="D104" s="30" t="s">
        <v>599</v>
      </c>
      <c r="E104" s="33" t="s">
        <v>2</v>
      </c>
      <c r="F104" s="28" t="s">
        <v>127</v>
      </c>
      <c r="G104" s="28"/>
      <c r="H104" s="28" t="s">
        <v>111</v>
      </c>
      <c r="I104" s="28"/>
      <c r="J104" s="28"/>
      <c r="K104" s="28"/>
      <c r="L104" s="55">
        <f>VLOOKUP($A104, Stat!$A$1:$C$1000, 2,0)</f>
        <v>185</v>
      </c>
      <c r="M104" s="55">
        <f>VLOOKUP($A104, Stat!$A$1:$C$1000, 3,0)</f>
        <v>0</v>
      </c>
      <c r="N104" s="74"/>
      <c r="R104" s="29"/>
      <c r="S104" s="29"/>
      <c r="T104" s="29"/>
      <c r="U104" s="30">
        <v>0</v>
      </c>
      <c r="V104" s="30">
        <v>-1</v>
      </c>
      <c r="Y104" s="30" t="s">
        <v>347</v>
      </c>
    </row>
    <row r="105" spans="1:26" ht="13.15" customHeight="1" x14ac:dyDescent="0.2">
      <c r="A105" s="30">
        <v>133</v>
      </c>
      <c r="B105" s="30" t="s">
        <v>28</v>
      </c>
      <c r="C105" s="30" t="s">
        <v>594</v>
      </c>
      <c r="D105" s="30" t="s">
        <v>599</v>
      </c>
      <c r="E105" s="33" t="s">
        <v>3</v>
      </c>
      <c r="F105" s="28" t="s">
        <v>127</v>
      </c>
      <c r="G105" s="28"/>
      <c r="H105" s="28" t="s">
        <v>111</v>
      </c>
      <c r="I105" s="28"/>
      <c r="J105" s="28"/>
      <c r="K105" s="28"/>
      <c r="L105" s="55">
        <f>VLOOKUP($A105, Stat!$A$1:$C$1000, 2,0)</f>
        <v>70</v>
      </c>
      <c r="M105" s="55">
        <f>VLOOKUP($A105, Stat!$A$1:$C$1000, 3,0)</f>
        <v>7</v>
      </c>
      <c r="N105" s="58"/>
      <c r="R105" s="29"/>
      <c r="S105" s="29"/>
      <c r="T105" s="29"/>
      <c r="U105" s="30">
        <v>0</v>
      </c>
      <c r="V105" s="30">
        <v>1</v>
      </c>
      <c r="Y105" s="30" t="s">
        <v>347</v>
      </c>
    </row>
    <row r="106" spans="1:26" ht="13.15" customHeight="1" x14ac:dyDescent="0.2">
      <c r="A106" s="30">
        <v>134</v>
      </c>
      <c r="B106" s="30" t="s">
        <v>28</v>
      </c>
      <c r="C106" s="30" t="s">
        <v>594</v>
      </c>
      <c r="D106" s="30" t="s">
        <v>599</v>
      </c>
      <c r="E106" s="33" t="s">
        <v>4</v>
      </c>
      <c r="F106" s="28" t="s">
        <v>127</v>
      </c>
      <c r="G106" s="28"/>
      <c r="H106" s="28" t="s">
        <v>111</v>
      </c>
      <c r="I106" s="28"/>
      <c r="J106" s="28"/>
      <c r="K106" s="28"/>
      <c r="L106" s="55">
        <f>VLOOKUP($A106, Stat!$A$1:$C$1000, 2,0)</f>
        <v>36</v>
      </c>
      <c r="M106" s="55">
        <f>VLOOKUP($A106, Stat!$A$1:$C$1000, 3,0)</f>
        <v>6</v>
      </c>
      <c r="N106" s="58"/>
      <c r="R106" s="28"/>
      <c r="S106" s="29"/>
      <c r="T106" s="29"/>
      <c r="U106" s="30">
        <v>0</v>
      </c>
      <c r="V106" s="30">
        <v>1</v>
      </c>
      <c r="Y106" s="30" t="s">
        <v>347</v>
      </c>
    </row>
    <row r="107" spans="1:26" ht="13.15" customHeight="1" x14ac:dyDescent="0.2">
      <c r="A107" s="30">
        <v>135</v>
      </c>
      <c r="B107" s="30" t="s">
        <v>28</v>
      </c>
      <c r="C107" s="30" t="s">
        <v>594</v>
      </c>
      <c r="D107" s="30" t="s">
        <v>599</v>
      </c>
      <c r="E107" s="33" t="s">
        <v>34</v>
      </c>
      <c r="F107" s="28" t="s">
        <v>127</v>
      </c>
      <c r="G107" s="28"/>
      <c r="H107" s="28" t="s">
        <v>111</v>
      </c>
      <c r="I107" s="28"/>
      <c r="J107" s="28"/>
      <c r="K107" s="28"/>
      <c r="L107" s="55">
        <f>VLOOKUP($A107, Stat!$A$1:$C$1000, 2,0)</f>
        <v>13</v>
      </c>
      <c r="M107" s="55">
        <f>VLOOKUP($A107, Stat!$A$1:$C$1000, 3,0)</f>
        <v>4</v>
      </c>
      <c r="N107" s="27">
        <v>1</v>
      </c>
      <c r="R107" s="29"/>
      <c r="S107" s="29"/>
      <c r="T107" s="29"/>
      <c r="U107" s="30">
        <v>100</v>
      </c>
      <c r="V107" s="30">
        <v>0</v>
      </c>
      <c r="Y107" s="30" t="s">
        <v>347</v>
      </c>
    </row>
    <row r="108" spans="1:26" ht="13.15" customHeight="1" x14ac:dyDescent="0.2">
      <c r="A108" s="30">
        <v>136</v>
      </c>
      <c r="B108" s="30" t="s">
        <v>13</v>
      </c>
      <c r="C108" s="30" t="s">
        <v>502</v>
      </c>
      <c r="D108" s="30" t="s">
        <v>795</v>
      </c>
      <c r="E108" s="30" t="s">
        <v>737</v>
      </c>
      <c r="F108" s="27">
        <v>7</v>
      </c>
      <c r="G108" s="27">
        <v>3</v>
      </c>
      <c r="H108" s="28"/>
      <c r="K108" s="27" t="s">
        <v>941</v>
      </c>
      <c r="U108" s="30">
        <v>100</v>
      </c>
      <c r="V108" s="30">
        <v>0</v>
      </c>
      <c r="X108" s="30" t="s">
        <v>693</v>
      </c>
      <c r="Z108" s="30" t="s">
        <v>936</v>
      </c>
    </row>
    <row r="109" spans="1:26" ht="13.15" customHeight="1" x14ac:dyDescent="0.2">
      <c r="A109" s="30">
        <v>137</v>
      </c>
      <c r="B109" s="30" t="s">
        <v>13</v>
      </c>
      <c r="C109" s="30" t="s">
        <v>719</v>
      </c>
      <c r="D109" s="30" t="s">
        <v>496</v>
      </c>
      <c r="E109" s="30" t="s">
        <v>636</v>
      </c>
      <c r="F109" s="27">
        <v>1</v>
      </c>
      <c r="H109" s="28" t="s">
        <v>111</v>
      </c>
      <c r="U109" s="30">
        <v>50</v>
      </c>
      <c r="V109" s="30">
        <v>0</v>
      </c>
      <c r="Z109" s="30" t="s">
        <v>638</v>
      </c>
    </row>
    <row r="110" spans="1:26" ht="13.15" customHeight="1" x14ac:dyDescent="0.2">
      <c r="A110" s="30">
        <v>138</v>
      </c>
      <c r="B110" s="30" t="s">
        <v>95</v>
      </c>
      <c r="C110" s="30" t="s">
        <v>95</v>
      </c>
      <c r="D110" s="30" t="s">
        <v>946</v>
      </c>
      <c r="E110" s="30" t="s">
        <v>678</v>
      </c>
      <c r="H110" s="28" t="s">
        <v>111</v>
      </c>
      <c r="U110" s="30">
        <v>50</v>
      </c>
      <c r="V110" s="30">
        <v>0</v>
      </c>
      <c r="Z110" s="30" t="s">
        <v>907</v>
      </c>
    </row>
    <row r="111" spans="1:26" ht="13.15" customHeight="1" x14ac:dyDescent="0.2">
      <c r="A111" s="30">
        <v>140</v>
      </c>
      <c r="B111" s="30" t="s">
        <v>28</v>
      </c>
      <c r="C111" s="30" t="s">
        <v>594</v>
      </c>
      <c r="D111" s="30" t="s">
        <v>596</v>
      </c>
      <c r="E111" s="33" t="s">
        <v>2</v>
      </c>
      <c r="F111" s="28" t="s">
        <v>127</v>
      </c>
      <c r="G111" s="28"/>
      <c r="H111" s="28" t="s">
        <v>111</v>
      </c>
      <c r="I111" s="28"/>
      <c r="J111" s="28"/>
      <c r="K111" s="28"/>
      <c r="L111" s="55">
        <f>VLOOKUP($A111, Stat!$A$1:$C$1000, 2,0)</f>
        <v>69</v>
      </c>
      <c r="M111" s="55">
        <f>VLOOKUP($A111, Stat!$A$1:$C$1000, 3,0)</f>
        <v>1</v>
      </c>
      <c r="N111" s="58"/>
      <c r="R111" s="28" t="s">
        <v>612</v>
      </c>
      <c r="S111" s="29"/>
      <c r="T111" s="29"/>
      <c r="U111" s="30">
        <v>0</v>
      </c>
      <c r="V111" s="30">
        <v>-1</v>
      </c>
      <c r="Y111" s="30" t="s">
        <v>344</v>
      </c>
    </row>
    <row r="112" spans="1:26" ht="13.15" customHeight="1" x14ac:dyDescent="0.2">
      <c r="A112" s="30">
        <v>141</v>
      </c>
      <c r="B112" s="30" t="s">
        <v>28</v>
      </c>
      <c r="C112" s="30" t="s">
        <v>594</v>
      </c>
      <c r="D112" s="30" t="s">
        <v>596</v>
      </c>
      <c r="E112" s="33" t="s">
        <v>3</v>
      </c>
      <c r="F112" s="28" t="s">
        <v>127</v>
      </c>
      <c r="G112" s="28"/>
      <c r="H112" s="28" t="s">
        <v>111</v>
      </c>
      <c r="I112" s="28"/>
      <c r="J112" s="28"/>
      <c r="K112" s="28"/>
      <c r="L112" s="55">
        <f>VLOOKUP($A112, Stat!$A$1:$C$1000, 2,0)</f>
        <v>29</v>
      </c>
      <c r="M112" s="55">
        <f>VLOOKUP($A112, Stat!$A$1:$C$1000, 3,0)</f>
        <v>1</v>
      </c>
      <c r="N112" s="58"/>
      <c r="R112" s="28" t="s">
        <v>613</v>
      </c>
      <c r="S112" s="29"/>
      <c r="T112" s="29"/>
      <c r="U112" s="30">
        <v>0</v>
      </c>
      <c r="V112" s="30">
        <v>-1</v>
      </c>
      <c r="Y112" s="30" t="s">
        <v>344</v>
      </c>
    </row>
    <row r="113" spans="1:26" ht="13.15" customHeight="1" x14ac:dyDescent="0.2">
      <c r="A113" s="30">
        <v>142</v>
      </c>
      <c r="B113" s="30" t="s">
        <v>28</v>
      </c>
      <c r="C113" s="30" t="s">
        <v>594</v>
      </c>
      <c r="D113" s="30" t="s">
        <v>596</v>
      </c>
      <c r="E113" s="33" t="s">
        <v>4</v>
      </c>
      <c r="F113" s="28" t="s">
        <v>127</v>
      </c>
      <c r="G113" s="28"/>
      <c r="H113" s="28" t="s">
        <v>111</v>
      </c>
      <c r="I113" s="28"/>
      <c r="J113" s="28"/>
      <c r="K113" s="28"/>
      <c r="L113" s="55">
        <f>VLOOKUP($A113, Stat!$A$1:$C$1000, 2,0)</f>
        <v>13</v>
      </c>
      <c r="M113" s="55">
        <f>VLOOKUP($A113, Stat!$A$1:$C$1000, 3,0)</f>
        <v>3</v>
      </c>
      <c r="N113" s="27">
        <v>1</v>
      </c>
      <c r="R113" s="28" t="s">
        <v>614</v>
      </c>
      <c r="S113" s="29"/>
      <c r="T113" s="29"/>
      <c r="U113" s="30">
        <v>50</v>
      </c>
      <c r="V113" s="30">
        <v>0</v>
      </c>
      <c r="Y113" s="30" t="s">
        <v>344</v>
      </c>
    </row>
    <row r="114" spans="1:26" ht="13.15" customHeight="1" x14ac:dyDescent="0.2">
      <c r="A114" s="30">
        <v>143</v>
      </c>
      <c r="B114" s="30" t="s">
        <v>28</v>
      </c>
      <c r="C114" s="30" t="s">
        <v>594</v>
      </c>
      <c r="D114" s="30" t="s">
        <v>596</v>
      </c>
      <c r="E114" s="33" t="s">
        <v>34</v>
      </c>
      <c r="F114" s="28" t="s">
        <v>127</v>
      </c>
      <c r="G114" s="28"/>
      <c r="H114" s="28" t="s">
        <v>111</v>
      </c>
      <c r="I114" s="28"/>
      <c r="J114" s="28"/>
      <c r="K114" s="28"/>
      <c r="L114" s="55">
        <f>VLOOKUP($A114, Stat!$A$1:$C$1000, 2,0)</f>
        <v>6</v>
      </c>
      <c r="M114" s="55">
        <f>VLOOKUP($A114, Stat!$A$1:$C$1000, 3,0)</f>
        <v>4</v>
      </c>
      <c r="N114" s="27">
        <v>1</v>
      </c>
      <c r="R114" s="28" t="s">
        <v>615</v>
      </c>
      <c r="S114" s="29"/>
      <c r="T114" s="29"/>
      <c r="U114" s="30">
        <v>100</v>
      </c>
      <c r="V114" s="30">
        <v>0</v>
      </c>
      <c r="Y114" s="30" t="s">
        <v>344</v>
      </c>
    </row>
    <row r="115" spans="1:26" ht="13.15" customHeight="1" x14ac:dyDescent="0.2">
      <c r="A115" s="30">
        <v>144</v>
      </c>
      <c r="B115" s="30" t="s">
        <v>28</v>
      </c>
      <c r="C115" s="30" t="s">
        <v>49</v>
      </c>
      <c r="D115" s="30" t="s">
        <v>314</v>
      </c>
      <c r="E115" s="33" t="s">
        <v>2</v>
      </c>
      <c r="F115" s="28" t="s">
        <v>127</v>
      </c>
      <c r="G115" s="28"/>
      <c r="H115" s="28" t="s">
        <v>111</v>
      </c>
      <c r="I115" s="28"/>
      <c r="J115" s="28"/>
      <c r="K115" s="28"/>
      <c r="L115" s="55">
        <f>VLOOKUP($A115, Stat!$A$1:$C$1000, 2,0)</f>
        <v>0</v>
      </c>
      <c r="M115" s="57">
        <f>VLOOKUP($A115, Stat!$A$1:$C$1000, 3,0)</f>
        <v>0</v>
      </c>
      <c r="N115" s="57"/>
      <c r="R115" s="29"/>
      <c r="S115" s="29"/>
      <c r="T115" s="29"/>
      <c r="U115" s="30">
        <v>0</v>
      </c>
      <c r="V115" s="30">
        <v>-1</v>
      </c>
      <c r="Y115" s="30" t="s">
        <v>315</v>
      </c>
    </row>
    <row r="116" spans="1:26" ht="13.15" customHeight="1" x14ac:dyDescent="0.2">
      <c r="A116" s="30">
        <v>145</v>
      </c>
      <c r="B116" s="30" t="s">
        <v>28</v>
      </c>
      <c r="C116" s="30" t="s">
        <v>49</v>
      </c>
      <c r="D116" s="30" t="s">
        <v>314</v>
      </c>
      <c r="E116" s="33" t="s">
        <v>3</v>
      </c>
      <c r="F116" s="28" t="s">
        <v>127</v>
      </c>
      <c r="G116" s="28"/>
      <c r="H116" s="28" t="s">
        <v>111</v>
      </c>
      <c r="I116" s="28"/>
      <c r="J116" s="28"/>
      <c r="K116" s="28"/>
      <c r="L116" s="55">
        <f>VLOOKUP($A116, Stat!$A$1:$C$1000, 2,0)</f>
        <v>92</v>
      </c>
      <c r="M116" s="55">
        <f>VLOOKUP($A116, Stat!$A$1:$C$1000, 3,0)</f>
        <v>0</v>
      </c>
      <c r="N116" s="57"/>
      <c r="R116" s="29"/>
      <c r="S116" s="29"/>
      <c r="T116" s="29"/>
      <c r="U116" s="30">
        <v>0</v>
      </c>
      <c r="V116" s="30">
        <v>-1</v>
      </c>
      <c r="Y116" s="30" t="s">
        <v>315</v>
      </c>
    </row>
    <row r="117" spans="1:26" ht="13.15" customHeight="1" x14ac:dyDescent="0.2">
      <c r="A117" s="30">
        <v>146</v>
      </c>
      <c r="B117" s="30" t="s">
        <v>28</v>
      </c>
      <c r="C117" s="30" t="s">
        <v>49</v>
      </c>
      <c r="D117" s="30" t="s">
        <v>314</v>
      </c>
      <c r="E117" s="33" t="s">
        <v>4</v>
      </c>
      <c r="F117" s="28" t="s">
        <v>127</v>
      </c>
      <c r="G117" s="28"/>
      <c r="H117" s="28" t="s">
        <v>111</v>
      </c>
      <c r="I117" s="28"/>
      <c r="J117" s="28"/>
      <c r="K117" s="28"/>
      <c r="L117" s="55">
        <f>VLOOKUP($A117, Stat!$A$1:$C$1000, 2,0)</f>
        <v>127</v>
      </c>
      <c r="M117" s="55">
        <f>VLOOKUP($A117, Stat!$A$1:$C$1000, 3,0)</f>
        <v>0</v>
      </c>
      <c r="N117" s="57"/>
      <c r="R117" s="29"/>
      <c r="S117" s="29"/>
      <c r="T117" s="29"/>
      <c r="U117" s="30">
        <v>0</v>
      </c>
      <c r="V117" s="30">
        <v>-1</v>
      </c>
      <c r="Y117" s="30" t="s">
        <v>315</v>
      </c>
    </row>
    <row r="118" spans="1:26" ht="13.15" customHeight="1" x14ac:dyDescent="0.2">
      <c r="A118" s="30">
        <v>147</v>
      </c>
      <c r="B118" s="30" t="s">
        <v>28</v>
      </c>
      <c r="C118" s="30" t="s">
        <v>49</v>
      </c>
      <c r="D118" s="30" t="s">
        <v>314</v>
      </c>
      <c r="E118" s="33" t="s">
        <v>34</v>
      </c>
      <c r="F118" s="28" t="s">
        <v>127</v>
      </c>
      <c r="G118" s="28"/>
      <c r="H118" s="28" t="s">
        <v>111</v>
      </c>
      <c r="I118" s="28"/>
      <c r="J118" s="28"/>
      <c r="K118" s="28"/>
      <c r="L118" s="55">
        <f>VLOOKUP($A118, Stat!$A$1:$C$1000, 2,0)</f>
        <v>40</v>
      </c>
      <c r="M118" s="55">
        <f>VLOOKUP($A118, Stat!$A$1:$C$1000, 3,0)</f>
        <v>0</v>
      </c>
      <c r="N118" s="58"/>
      <c r="R118" s="29"/>
      <c r="S118" s="29"/>
      <c r="T118" s="29"/>
      <c r="U118" s="30">
        <v>0</v>
      </c>
      <c r="V118" s="30">
        <v>-1</v>
      </c>
      <c r="Y118" s="30" t="s">
        <v>315</v>
      </c>
    </row>
    <row r="119" spans="1:26" ht="13.15" customHeight="1" x14ac:dyDescent="0.2">
      <c r="A119" s="30">
        <v>148</v>
      </c>
      <c r="B119" s="30" t="s">
        <v>28</v>
      </c>
      <c r="C119" s="30" t="s">
        <v>594</v>
      </c>
      <c r="D119" s="30" t="s">
        <v>602</v>
      </c>
      <c r="E119" s="33" t="s">
        <v>2</v>
      </c>
      <c r="F119" s="28" t="s">
        <v>127</v>
      </c>
      <c r="G119" s="28"/>
      <c r="H119" s="28" t="s">
        <v>111</v>
      </c>
      <c r="I119" s="28"/>
      <c r="J119" s="28"/>
      <c r="K119" s="28"/>
      <c r="L119" s="55">
        <f>VLOOKUP($A119, Stat!$A$1:$C$1000, 2,0)</f>
        <v>20</v>
      </c>
      <c r="M119" s="55">
        <f>VLOOKUP($A119, Stat!$A$1:$C$1000, 3,0)</f>
        <v>1</v>
      </c>
      <c r="N119" s="58"/>
      <c r="R119" s="29">
        <v>132</v>
      </c>
      <c r="S119" s="29"/>
      <c r="T119" s="29"/>
      <c r="U119" s="30">
        <v>0</v>
      </c>
      <c r="V119" s="30">
        <v>1</v>
      </c>
      <c r="Y119" s="30" t="s">
        <v>350</v>
      </c>
    </row>
    <row r="120" spans="1:26" ht="13.15" customHeight="1" x14ac:dyDescent="0.2">
      <c r="A120" s="30">
        <v>149</v>
      </c>
      <c r="B120" s="30" t="s">
        <v>28</v>
      </c>
      <c r="C120" s="30" t="s">
        <v>594</v>
      </c>
      <c r="D120" s="30" t="s">
        <v>602</v>
      </c>
      <c r="E120" s="33" t="s">
        <v>3</v>
      </c>
      <c r="F120" s="28" t="s">
        <v>127</v>
      </c>
      <c r="G120" s="28"/>
      <c r="H120" s="28" t="s">
        <v>111</v>
      </c>
      <c r="I120" s="28"/>
      <c r="J120" s="28"/>
      <c r="K120" s="28"/>
      <c r="L120" s="55">
        <f>VLOOKUP($A120, Stat!$A$1:$C$1000, 2,0)</f>
        <v>5</v>
      </c>
      <c r="M120" s="55">
        <f>VLOOKUP($A120, Stat!$A$1:$C$1000, 3,0)</f>
        <v>2</v>
      </c>
      <c r="N120" s="27">
        <v>1</v>
      </c>
      <c r="R120" s="29">
        <v>133</v>
      </c>
      <c r="S120" s="29"/>
      <c r="T120" s="29"/>
      <c r="U120" s="30">
        <v>0</v>
      </c>
      <c r="V120" s="30">
        <v>0</v>
      </c>
      <c r="Y120" s="30" t="s">
        <v>350</v>
      </c>
    </row>
    <row r="121" spans="1:26" ht="13.15" customHeight="1" x14ac:dyDescent="0.2">
      <c r="A121" s="30">
        <v>150</v>
      </c>
      <c r="B121" s="30" t="s">
        <v>28</v>
      </c>
      <c r="C121" s="30" t="s">
        <v>594</v>
      </c>
      <c r="D121" s="30" t="s">
        <v>602</v>
      </c>
      <c r="E121" s="33" t="s">
        <v>4</v>
      </c>
      <c r="F121" s="28" t="s">
        <v>127</v>
      </c>
      <c r="G121" s="28"/>
      <c r="H121" s="28" t="s">
        <v>111</v>
      </c>
      <c r="I121" s="28"/>
      <c r="J121" s="28"/>
      <c r="K121" s="28"/>
      <c r="L121" s="55">
        <f>VLOOKUP($A121, Stat!$A$1:$C$1000, 2,0)</f>
        <v>4</v>
      </c>
      <c r="M121" s="55">
        <f>VLOOKUP($A121, Stat!$A$1:$C$1000, 3,0)</f>
        <v>2</v>
      </c>
      <c r="N121" s="27">
        <v>1</v>
      </c>
      <c r="R121" s="29">
        <v>134</v>
      </c>
      <c r="S121" s="29"/>
      <c r="T121" s="29"/>
      <c r="U121" s="30">
        <v>100</v>
      </c>
      <c r="V121" s="30">
        <v>0</v>
      </c>
      <c r="Y121" s="30" t="s">
        <v>350</v>
      </c>
    </row>
    <row r="122" spans="1:26" ht="13.15" customHeight="1" x14ac:dyDescent="0.2">
      <c r="A122" s="30">
        <v>151</v>
      </c>
      <c r="B122" s="30" t="s">
        <v>28</v>
      </c>
      <c r="C122" s="30" t="s">
        <v>594</v>
      </c>
      <c r="D122" s="30" t="s">
        <v>602</v>
      </c>
      <c r="E122" s="33" t="s">
        <v>34</v>
      </c>
      <c r="F122" s="28" t="s">
        <v>127</v>
      </c>
      <c r="G122" s="28"/>
      <c r="H122" s="28" t="s">
        <v>111</v>
      </c>
      <c r="I122" s="28"/>
      <c r="J122" s="28"/>
      <c r="K122" s="28"/>
      <c r="L122" s="55">
        <f>VLOOKUP($A122, Stat!$A$1:$C$1000, 2,0)</f>
        <v>0</v>
      </c>
      <c r="M122" s="55">
        <f>VLOOKUP($A122, Stat!$A$1:$C$1000, 3,0)</f>
        <v>0</v>
      </c>
      <c r="N122" s="27">
        <v>1</v>
      </c>
      <c r="R122" s="29">
        <v>135</v>
      </c>
      <c r="S122" s="29"/>
      <c r="T122" s="29"/>
      <c r="U122" s="30">
        <v>100</v>
      </c>
      <c r="V122" s="30">
        <v>0</v>
      </c>
      <c r="Y122" s="30" t="s">
        <v>350</v>
      </c>
    </row>
    <row r="123" spans="1:26" ht="13.15" customHeight="1" x14ac:dyDescent="0.2">
      <c r="A123" s="30">
        <v>152</v>
      </c>
      <c r="B123" s="30" t="s">
        <v>28</v>
      </c>
      <c r="C123" s="30" t="s">
        <v>648</v>
      </c>
      <c r="D123" s="30" t="s">
        <v>467</v>
      </c>
      <c r="E123" s="33" t="s">
        <v>56</v>
      </c>
      <c r="F123" s="69" t="s">
        <v>128</v>
      </c>
      <c r="G123" s="29"/>
      <c r="H123" s="28" t="s">
        <v>111</v>
      </c>
      <c r="I123" s="29"/>
      <c r="J123" s="29"/>
      <c r="K123" s="28" t="s">
        <v>298</v>
      </c>
      <c r="L123" s="55">
        <f>VLOOKUP($A123, Stat!$A$1:$C$1000, 2,0)</f>
        <v>1</v>
      </c>
      <c r="M123" s="55">
        <f>VLOOKUP($A123, Stat!$A$1:$C$1000, 3,0)</f>
        <v>1</v>
      </c>
      <c r="N123" s="27">
        <v>1</v>
      </c>
      <c r="R123" s="29"/>
      <c r="S123" s="29"/>
      <c r="T123" s="29"/>
      <c r="U123" s="30">
        <v>100</v>
      </c>
      <c r="V123" s="30">
        <v>0</v>
      </c>
      <c r="Y123" s="30" t="s">
        <v>369</v>
      </c>
      <c r="Z123" s="30" t="s">
        <v>104</v>
      </c>
    </row>
    <row r="124" spans="1:26" ht="13.15" customHeight="1" x14ac:dyDescent="0.2">
      <c r="A124" s="30">
        <v>153</v>
      </c>
      <c r="B124" s="30" t="s">
        <v>28</v>
      </c>
      <c r="C124" s="30" t="s">
        <v>648</v>
      </c>
      <c r="D124" s="30" t="s">
        <v>467</v>
      </c>
      <c r="E124" s="33" t="s">
        <v>57</v>
      </c>
      <c r="F124" s="69" t="s">
        <v>128</v>
      </c>
      <c r="G124" s="29"/>
      <c r="H124" s="28" t="s">
        <v>111</v>
      </c>
      <c r="I124" s="29"/>
      <c r="J124" s="29"/>
      <c r="K124" s="28" t="s">
        <v>298</v>
      </c>
      <c r="L124" s="55">
        <f>VLOOKUP($A124, Stat!$A$1:$C$1000, 2,0)</f>
        <v>3</v>
      </c>
      <c r="M124" s="55">
        <f>VLOOKUP($A124, Stat!$A$1:$C$1000, 3,0)</f>
        <v>2</v>
      </c>
      <c r="N124" s="27">
        <v>1</v>
      </c>
      <c r="R124" s="29"/>
      <c r="S124" s="29"/>
      <c r="T124" s="29"/>
      <c r="U124" s="30">
        <v>100</v>
      </c>
      <c r="V124" s="30">
        <v>0</v>
      </c>
      <c r="Y124" s="30" t="s">
        <v>369</v>
      </c>
      <c r="Z124" s="30" t="s">
        <v>104</v>
      </c>
    </row>
    <row r="125" spans="1:26" ht="13.15" customHeight="1" x14ac:dyDescent="0.2">
      <c r="A125" s="30">
        <v>154</v>
      </c>
      <c r="B125" s="30" t="s">
        <v>28</v>
      </c>
      <c r="C125" s="30" t="s">
        <v>648</v>
      </c>
      <c r="D125" s="30" t="s">
        <v>405</v>
      </c>
      <c r="E125" s="33" t="s">
        <v>58</v>
      </c>
      <c r="F125" s="69" t="s">
        <v>128</v>
      </c>
      <c r="G125" s="29"/>
      <c r="H125" s="28" t="s">
        <v>111</v>
      </c>
      <c r="I125" s="29"/>
      <c r="J125" s="29"/>
      <c r="K125" s="28" t="s">
        <v>298</v>
      </c>
      <c r="L125" s="55">
        <f>VLOOKUP($A125, Stat!$A$1:$C$1000, 2,0)</f>
        <v>15</v>
      </c>
      <c r="M125" s="55">
        <f>VLOOKUP($A125, Stat!$A$1:$C$1000, 3,0)</f>
        <v>3</v>
      </c>
      <c r="N125" s="27">
        <v>1</v>
      </c>
      <c r="R125" s="29"/>
      <c r="S125" s="29"/>
      <c r="T125" s="29"/>
      <c r="U125" s="30">
        <v>50</v>
      </c>
      <c r="V125" s="30">
        <v>0</v>
      </c>
      <c r="Z125" s="30" t="s">
        <v>105</v>
      </c>
    </row>
    <row r="126" spans="1:26" ht="13.15" customHeight="1" x14ac:dyDescent="0.2">
      <c r="A126" s="30">
        <v>155</v>
      </c>
      <c r="B126" s="30" t="s">
        <v>28</v>
      </c>
      <c r="C126" s="30" t="s">
        <v>648</v>
      </c>
      <c r="D126" s="30" t="s">
        <v>405</v>
      </c>
      <c r="E126" s="33" t="s">
        <v>59</v>
      </c>
      <c r="F126" s="69" t="s">
        <v>128</v>
      </c>
      <c r="G126" s="29"/>
      <c r="H126" s="28" t="s">
        <v>111</v>
      </c>
      <c r="I126" s="29"/>
      <c r="J126" s="29"/>
      <c r="K126" s="28" t="s">
        <v>298</v>
      </c>
      <c r="L126" s="55">
        <f>VLOOKUP($A126, Stat!$A$1:$C$1000, 2,0)</f>
        <v>4</v>
      </c>
      <c r="M126" s="55">
        <f>VLOOKUP($A126, Stat!$A$1:$C$1000, 3,0)</f>
        <v>1</v>
      </c>
      <c r="N126" s="27">
        <v>1</v>
      </c>
      <c r="R126" s="29"/>
      <c r="S126" s="29"/>
      <c r="T126" s="29"/>
      <c r="U126" s="30">
        <v>100</v>
      </c>
      <c r="V126" s="30">
        <v>0</v>
      </c>
      <c r="Z126" s="30" t="s">
        <v>105</v>
      </c>
    </row>
    <row r="127" spans="1:26" ht="13.15" customHeight="1" x14ac:dyDescent="0.2">
      <c r="A127" s="30">
        <v>156</v>
      </c>
      <c r="B127" s="30" t="s">
        <v>28</v>
      </c>
      <c r="C127" s="30" t="s">
        <v>648</v>
      </c>
      <c r="D127" s="30" t="s">
        <v>405</v>
      </c>
      <c r="E127" s="33" t="s">
        <v>60</v>
      </c>
      <c r="F127" s="69" t="s">
        <v>128</v>
      </c>
      <c r="G127" s="29"/>
      <c r="H127" s="28" t="s">
        <v>111</v>
      </c>
      <c r="I127" s="29"/>
      <c r="J127" s="29"/>
      <c r="K127" s="28" t="s">
        <v>298</v>
      </c>
      <c r="L127" s="55">
        <f>VLOOKUP($A127, Stat!$A$1:$C$1000, 2,0)</f>
        <v>7</v>
      </c>
      <c r="M127" s="55">
        <f>VLOOKUP($A127, Stat!$A$1:$C$1000, 3,0)</f>
        <v>3</v>
      </c>
      <c r="N127" s="27">
        <v>1</v>
      </c>
      <c r="R127" s="29"/>
      <c r="S127" s="29"/>
      <c r="T127" s="29"/>
      <c r="U127" s="30">
        <v>100</v>
      </c>
      <c r="V127" s="30">
        <v>0</v>
      </c>
      <c r="Z127" s="30" t="s">
        <v>105</v>
      </c>
    </row>
    <row r="128" spans="1:26" ht="13.15" customHeight="1" x14ac:dyDescent="0.2">
      <c r="A128" s="30">
        <v>157</v>
      </c>
      <c r="B128" s="30" t="s">
        <v>28</v>
      </c>
      <c r="C128" s="30" t="s">
        <v>648</v>
      </c>
      <c r="D128" s="30" t="s">
        <v>405</v>
      </c>
      <c r="E128" s="33" t="s">
        <v>61</v>
      </c>
      <c r="F128" s="69" t="s">
        <v>128</v>
      </c>
      <c r="G128" s="29"/>
      <c r="H128" s="28" t="s">
        <v>111</v>
      </c>
      <c r="I128" s="29"/>
      <c r="J128" s="29"/>
      <c r="K128" s="28" t="s">
        <v>298</v>
      </c>
      <c r="L128" s="55">
        <f>VLOOKUP($A128, Stat!$A$1:$C$1000, 2,0)</f>
        <v>3</v>
      </c>
      <c r="M128" s="55">
        <f>VLOOKUP($A128, Stat!$A$1:$C$1000, 3,0)</f>
        <v>1</v>
      </c>
      <c r="N128" s="27">
        <v>1</v>
      </c>
      <c r="R128" s="29"/>
      <c r="S128" s="29"/>
      <c r="T128" s="29"/>
      <c r="U128" s="30">
        <v>100</v>
      </c>
      <c r="V128" s="30">
        <v>0</v>
      </c>
      <c r="Z128" s="30" t="s">
        <v>105</v>
      </c>
    </row>
    <row r="129" spans="1:26" ht="13.15" customHeight="1" x14ac:dyDescent="0.2">
      <c r="A129" s="30">
        <v>158</v>
      </c>
      <c r="B129" s="30" t="s">
        <v>28</v>
      </c>
      <c r="C129" s="30" t="s">
        <v>648</v>
      </c>
      <c r="D129" s="30" t="s">
        <v>468</v>
      </c>
      <c r="E129" s="33" t="s">
        <v>56</v>
      </c>
      <c r="F129" s="69" t="s">
        <v>128</v>
      </c>
      <c r="G129" s="29"/>
      <c r="H129" s="28" t="s">
        <v>111</v>
      </c>
      <c r="I129" s="29"/>
      <c r="J129" s="29"/>
      <c r="K129" s="28" t="s">
        <v>298</v>
      </c>
      <c r="L129" s="55">
        <f>VLOOKUP($A129, Stat!$A$1:$C$1000, 2,0)</f>
        <v>7</v>
      </c>
      <c r="M129" s="55">
        <f>VLOOKUP($A129, Stat!$A$1:$C$1000, 3,0)</f>
        <v>3</v>
      </c>
      <c r="N129" s="27">
        <v>1</v>
      </c>
      <c r="R129" s="29"/>
      <c r="S129" s="29"/>
      <c r="T129" s="29"/>
      <c r="U129" s="30">
        <v>50</v>
      </c>
      <c r="V129" s="30">
        <v>0</v>
      </c>
      <c r="Y129" s="30" t="s">
        <v>799</v>
      </c>
    </row>
    <row r="130" spans="1:26" ht="13.15" customHeight="1" x14ac:dyDescent="0.2">
      <c r="A130" s="30">
        <v>159</v>
      </c>
      <c r="B130" s="30" t="s">
        <v>28</v>
      </c>
      <c r="C130" s="30" t="s">
        <v>648</v>
      </c>
      <c r="D130" s="30" t="s">
        <v>468</v>
      </c>
      <c r="E130" s="33" t="s">
        <v>57</v>
      </c>
      <c r="F130" s="69" t="s">
        <v>128</v>
      </c>
      <c r="G130" s="29"/>
      <c r="H130" s="28" t="s">
        <v>111</v>
      </c>
      <c r="I130" s="29"/>
      <c r="J130" s="29"/>
      <c r="K130" s="28" t="s">
        <v>298</v>
      </c>
      <c r="L130" s="55">
        <f>VLOOKUP($A130, Stat!$A$1:$C$1000, 2,0)</f>
        <v>3</v>
      </c>
      <c r="M130" s="55">
        <f>VLOOKUP($A130, Stat!$A$1:$C$1000, 3,0)</f>
        <v>1</v>
      </c>
      <c r="N130" s="27">
        <v>1</v>
      </c>
      <c r="R130" s="29"/>
      <c r="S130" s="29"/>
      <c r="T130" s="29"/>
      <c r="U130" s="30">
        <v>50</v>
      </c>
      <c r="V130" s="30">
        <v>0</v>
      </c>
      <c r="Y130" s="30" t="s">
        <v>799</v>
      </c>
    </row>
    <row r="131" spans="1:26" ht="13.15" customHeight="1" x14ac:dyDescent="0.2">
      <c r="A131" s="30">
        <v>160</v>
      </c>
      <c r="B131" s="30" t="s">
        <v>95</v>
      </c>
      <c r="C131" s="30" t="s">
        <v>95</v>
      </c>
      <c r="D131" s="30" t="s">
        <v>472</v>
      </c>
      <c r="E131" s="30" t="s">
        <v>94</v>
      </c>
      <c r="H131" s="28" t="s">
        <v>111</v>
      </c>
      <c r="U131" s="30">
        <v>50</v>
      </c>
      <c r="V131" s="30">
        <v>0</v>
      </c>
      <c r="Z131" s="30" t="s">
        <v>801</v>
      </c>
    </row>
    <row r="132" spans="1:26" ht="13.15" customHeight="1" x14ac:dyDescent="0.2">
      <c r="A132" s="30">
        <v>164</v>
      </c>
      <c r="B132" s="30" t="s">
        <v>13</v>
      </c>
      <c r="C132" s="30" t="s">
        <v>648</v>
      </c>
      <c r="D132" s="30" t="s">
        <v>784</v>
      </c>
      <c r="E132" s="33" t="s">
        <v>56</v>
      </c>
      <c r="F132" s="28" t="s">
        <v>111</v>
      </c>
      <c r="G132" s="29"/>
      <c r="H132" s="28"/>
      <c r="I132" s="29"/>
      <c r="J132" s="29"/>
      <c r="K132" s="28"/>
      <c r="L132" s="55">
        <f>VLOOKUP($A132, Stat!$A$1:$C$1000, 2,0)</f>
        <v>25</v>
      </c>
      <c r="M132" s="55">
        <f>VLOOKUP($A132, Stat!$A$1:$C$1000, 3,0)</f>
        <v>4</v>
      </c>
      <c r="N132" s="27">
        <v>1</v>
      </c>
      <c r="R132" s="29"/>
      <c r="S132" s="29"/>
      <c r="T132" s="29"/>
      <c r="U132" s="30">
        <v>50</v>
      </c>
      <c r="V132" s="30">
        <v>0</v>
      </c>
      <c r="Y132" s="30" t="s">
        <v>731</v>
      </c>
    </row>
    <row r="133" spans="1:26" ht="13.15" customHeight="1" x14ac:dyDescent="0.2">
      <c r="A133" s="30">
        <v>165</v>
      </c>
      <c r="B133" s="30" t="s">
        <v>13</v>
      </c>
      <c r="C133" s="30" t="s">
        <v>648</v>
      </c>
      <c r="D133" s="30" t="s">
        <v>784</v>
      </c>
      <c r="E133" s="33" t="s">
        <v>57</v>
      </c>
      <c r="F133" s="28" t="s">
        <v>111</v>
      </c>
      <c r="G133" s="29"/>
      <c r="H133" s="28"/>
      <c r="I133" s="29"/>
      <c r="J133" s="29"/>
      <c r="K133" s="28"/>
      <c r="L133" s="55">
        <f>VLOOKUP($A133, Stat!$A$1:$C$1000, 2,0)</f>
        <v>30</v>
      </c>
      <c r="M133" s="55">
        <f>VLOOKUP($A133, Stat!$A$1:$C$1000, 3,0)</f>
        <v>6</v>
      </c>
      <c r="N133" s="27">
        <v>1</v>
      </c>
      <c r="R133" s="29"/>
      <c r="S133" s="29"/>
      <c r="T133" s="29"/>
      <c r="U133" s="30">
        <v>50</v>
      </c>
      <c r="V133" s="30">
        <v>0</v>
      </c>
      <c r="Y133" s="30" t="s">
        <v>731</v>
      </c>
    </row>
    <row r="134" spans="1:26" ht="13.15" customHeight="1" x14ac:dyDescent="0.2">
      <c r="A134" s="30">
        <v>169</v>
      </c>
      <c r="B134" s="30" t="s">
        <v>13</v>
      </c>
      <c r="C134" s="30" t="s">
        <v>495</v>
      </c>
      <c r="D134" s="30" t="s">
        <v>990</v>
      </c>
      <c r="E134" s="33" t="s">
        <v>738</v>
      </c>
      <c r="F134" s="28" t="s">
        <v>216</v>
      </c>
      <c r="G134" s="28" t="s">
        <v>126</v>
      </c>
      <c r="H134" s="28"/>
      <c r="I134" s="29"/>
      <c r="J134" s="29"/>
      <c r="K134" s="27" t="s">
        <v>941</v>
      </c>
      <c r="L134" s="55">
        <f>VLOOKUP($A134, Stat!$A$1:$C$1000, 2,0)</f>
        <v>904</v>
      </c>
      <c r="M134" s="55">
        <f>VLOOKUP($A134, Stat!$A$1:$C$1000, 3,0)</f>
        <v>3</v>
      </c>
      <c r="N134" s="58"/>
      <c r="R134" s="29"/>
      <c r="S134" s="29"/>
      <c r="T134" s="29"/>
      <c r="U134" s="30">
        <v>50</v>
      </c>
      <c r="V134" s="30">
        <v>0</v>
      </c>
      <c r="Z134" s="30" t="s">
        <v>742</v>
      </c>
    </row>
    <row r="135" spans="1:26" ht="13.15" customHeight="1" x14ac:dyDescent="0.2">
      <c r="A135" s="30">
        <v>170</v>
      </c>
      <c r="B135" s="30" t="s">
        <v>13</v>
      </c>
      <c r="C135" s="30" t="s">
        <v>495</v>
      </c>
      <c r="D135" s="30" t="s">
        <v>961</v>
      </c>
      <c r="E135" s="30" t="s">
        <v>915</v>
      </c>
      <c r="H135" s="28" t="s">
        <v>111</v>
      </c>
      <c r="U135" s="30">
        <v>50</v>
      </c>
      <c r="V135" s="30">
        <v>0</v>
      </c>
    </row>
    <row r="136" spans="1:26" ht="13.15" customHeight="1" x14ac:dyDescent="0.2">
      <c r="A136" s="30">
        <v>171</v>
      </c>
      <c r="B136" s="30" t="s">
        <v>13</v>
      </c>
      <c r="C136" s="30" t="s">
        <v>495</v>
      </c>
      <c r="D136" s="30" t="s">
        <v>912</v>
      </c>
      <c r="E136" s="30" t="s">
        <v>944</v>
      </c>
      <c r="H136" s="28" t="s">
        <v>111</v>
      </c>
      <c r="U136" s="30">
        <v>50</v>
      </c>
      <c r="V136" s="30">
        <v>0</v>
      </c>
      <c r="Z136" s="30" t="s">
        <v>796</v>
      </c>
    </row>
    <row r="137" spans="1:26" ht="13.15" customHeight="1" x14ac:dyDescent="0.2">
      <c r="A137" s="30">
        <v>172</v>
      </c>
      <c r="B137" s="30" t="s">
        <v>13</v>
      </c>
      <c r="C137" s="30" t="s">
        <v>13</v>
      </c>
      <c r="D137" s="30" t="s">
        <v>728</v>
      </c>
      <c r="E137" s="30" t="s">
        <v>800</v>
      </c>
      <c r="F137" s="27">
        <v>1</v>
      </c>
      <c r="H137" s="28" t="s">
        <v>111</v>
      </c>
      <c r="U137" s="30">
        <v>50</v>
      </c>
      <c r="V137" s="30">
        <v>0</v>
      </c>
      <c r="Z137" s="30" t="s">
        <v>933</v>
      </c>
    </row>
    <row r="138" spans="1:26" ht="13.15" customHeight="1" x14ac:dyDescent="0.2">
      <c r="A138" s="30">
        <v>173</v>
      </c>
      <c r="B138" s="30" t="s">
        <v>13</v>
      </c>
      <c r="C138" s="30" t="s">
        <v>495</v>
      </c>
      <c r="D138" s="30" t="s">
        <v>990</v>
      </c>
      <c r="E138" s="30" t="s">
        <v>740</v>
      </c>
      <c r="F138" s="27">
        <v>7</v>
      </c>
      <c r="G138" s="27">
        <v>3</v>
      </c>
      <c r="H138" s="28"/>
      <c r="K138" s="27" t="s">
        <v>941</v>
      </c>
      <c r="U138" s="30">
        <v>50</v>
      </c>
      <c r="V138" s="30">
        <v>0</v>
      </c>
      <c r="Z138" s="30" t="s">
        <v>744</v>
      </c>
    </row>
    <row r="139" spans="1:26" ht="13.15" customHeight="1" x14ac:dyDescent="0.2">
      <c r="A139" s="30">
        <v>174</v>
      </c>
      <c r="B139" s="30" t="s">
        <v>13</v>
      </c>
      <c r="C139" s="30" t="s">
        <v>495</v>
      </c>
      <c r="D139" s="30" t="s">
        <v>990</v>
      </c>
      <c r="E139" s="30" t="s">
        <v>741</v>
      </c>
      <c r="F139" s="27">
        <v>7</v>
      </c>
      <c r="G139" s="27">
        <v>3</v>
      </c>
      <c r="H139" s="28"/>
      <c r="K139" s="27" t="s">
        <v>941</v>
      </c>
      <c r="U139" s="30">
        <v>50</v>
      </c>
      <c r="V139" s="30">
        <v>0</v>
      </c>
      <c r="Z139" s="30" t="s">
        <v>745</v>
      </c>
    </row>
    <row r="140" spans="1:26" ht="13.15" customHeight="1" x14ac:dyDescent="0.2">
      <c r="A140" s="30">
        <v>175</v>
      </c>
      <c r="B140" s="30" t="s">
        <v>28</v>
      </c>
      <c r="C140" s="30" t="s">
        <v>6</v>
      </c>
      <c r="D140" s="30" t="s">
        <v>584</v>
      </c>
      <c r="E140" s="33" t="s">
        <v>583</v>
      </c>
      <c r="F140" s="28" t="s">
        <v>127</v>
      </c>
      <c r="G140" s="28"/>
      <c r="H140" s="28" t="s">
        <v>111</v>
      </c>
      <c r="I140" s="28"/>
      <c r="J140" s="28"/>
      <c r="K140" s="28"/>
      <c r="L140" s="55">
        <f>VLOOKUP($A140, Stat!$A$1:$C$1000, 2,0)</f>
        <v>64</v>
      </c>
      <c r="M140" s="55">
        <f>VLOOKUP($A140, Stat!$A$1:$C$1000, 3,0)</f>
        <v>7</v>
      </c>
      <c r="N140" s="27">
        <v>1</v>
      </c>
      <c r="R140" s="29"/>
      <c r="S140" s="29"/>
      <c r="T140" s="29"/>
      <c r="U140" s="30">
        <v>0</v>
      </c>
      <c r="V140" s="30">
        <v>-1</v>
      </c>
    </row>
    <row r="141" spans="1:26" ht="13.15" customHeight="1" x14ac:dyDescent="0.2">
      <c r="A141" s="30">
        <v>176</v>
      </c>
      <c r="B141" s="30" t="s">
        <v>28</v>
      </c>
      <c r="C141" s="30" t="s">
        <v>6</v>
      </c>
      <c r="D141" s="30" t="s">
        <v>584</v>
      </c>
      <c r="E141" s="33" t="s">
        <v>582</v>
      </c>
      <c r="F141" s="28" t="s">
        <v>127</v>
      </c>
      <c r="G141" s="28"/>
      <c r="H141" s="28" t="s">
        <v>111</v>
      </c>
      <c r="I141" s="28"/>
      <c r="J141" s="28"/>
      <c r="K141" s="28"/>
      <c r="L141" s="55">
        <f>VLOOKUP($A141, Stat!$A$1:$C$1000, 2,0)</f>
        <v>71</v>
      </c>
      <c r="M141" s="55">
        <f>VLOOKUP($A141, Stat!$A$1:$C$1000, 3,0)</f>
        <v>6</v>
      </c>
      <c r="N141" s="27">
        <v>1</v>
      </c>
      <c r="R141" s="29"/>
      <c r="S141" s="29"/>
      <c r="T141" s="29"/>
      <c r="U141" s="30">
        <v>0</v>
      </c>
      <c r="V141" s="30">
        <v>-1</v>
      </c>
    </row>
    <row r="142" spans="1:26" ht="13.15" customHeight="1" x14ac:dyDescent="0.2">
      <c r="A142" s="30">
        <v>177</v>
      </c>
      <c r="B142" s="30" t="s">
        <v>28</v>
      </c>
      <c r="C142" s="30" t="s">
        <v>6</v>
      </c>
      <c r="D142" s="30" t="s">
        <v>584</v>
      </c>
      <c r="E142" s="33" t="s">
        <v>580</v>
      </c>
      <c r="F142" s="28" t="s">
        <v>127</v>
      </c>
      <c r="G142" s="28"/>
      <c r="H142" s="28" t="s">
        <v>111</v>
      </c>
      <c r="I142" s="28"/>
      <c r="J142" s="28"/>
      <c r="K142" s="28"/>
      <c r="L142" s="55">
        <f>VLOOKUP($A142, Stat!$A$1:$C$1000, 2,0)</f>
        <v>7</v>
      </c>
      <c r="M142" s="55">
        <f>VLOOKUP($A142, Stat!$A$1:$C$1000, 3,0)</f>
        <v>4</v>
      </c>
      <c r="N142" s="27">
        <v>1</v>
      </c>
      <c r="R142" s="29"/>
      <c r="S142" s="29"/>
      <c r="T142" s="29"/>
      <c r="U142" s="30">
        <v>50</v>
      </c>
      <c r="V142" s="30">
        <v>0</v>
      </c>
    </row>
    <row r="143" spans="1:26" ht="13.15" customHeight="1" x14ac:dyDescent="0.2">
      <c r="A143" s="30">
        <v>178</v>
      </c>
      <c r="B143" s="30" t="s">
        <v>28</v>
      </c>
      <c r="C143" s="30" t="s">
        <v>6</v>
      </c>
      <c r="D143" s="30" t="s">
        <v>584</v>
      </c>
      <c r="E143" s="33" t="s">
        <v>581</v>
      </c>
      <c r="F143" s="28" t="s">
        <v>127</v>
      </c>
      <c r="G143" s="28"/>
      <c r="H143" s="28" t="s">
        <v>111</v>
      </c>
      <c r="I143" s="28"/>
      <c r="J143" s="28"/>
      <c r="K143" s="28"/>
      <c r="L143" s="55">
        <f>VLOOKUP($A143, Stat!$A$1:$C$1000, 2,0)</f>
        <v>6</v>
      </c>
      <c r="M143" s="55">
        <f>VLOOKUP($A143, Stat!$A$1:$C$1000, 3,0)</f>
        <v>4</v>
      </c>
      <c r="N143" s="27">
        <v>1</v>
      </c>
      <c r="R143" s="29"/>
      <c r="S143" s="29"/>
      <c r="T143" s="29"/>
      <c r="U143" s="30">
        <v>100</v>
      </c>
      <c r="V143" s="30">
        <v>0</v>
      </c>
    </row>
    <row r="144" spans="1:26" ht="13.15" customHeight="1" x14ac:dyDescent="0.2">
      <c r="A144" s="30">
        <v>179</v>
      </c>
      <c r="B144" s="30" t="s">
        <v>28</v>
      </c>
      <c r="C144" s="30" t="s">
        <v>6</v>
      </c>
      <c r="D144" s="30" t="s">
        <v>584</v>
      </c>
      <c r="E144" s="33" t="s">
        <v>587</v>
      </c>
      <c r="F144" s="28" t="s">
        <v>127</v>
      </c>
      <c r="G144" s="28"/>
      <c r="H144" s="28" t="s">
        <v>111</v>
      </c>
      <c r="I144" s="28"/>
      <c r="J144" s="28"/>
      <c r="K144" s="28"/>
      <c r="L144" s="55">
        <f>VLOOKUP($A144, Stat!$A$1:$C$1000, 2,0)</f>
        <v>33</v>
      </c>
      <c r="M144" s="55">
        <f>VLOOKUP($A144, Stat!$A$1:$C$1000, 3,0)</f>
        <v>6</v>
      </c>
      <c r="N144" s="27">
        <v>1</v>
      </c>
      <c r="R144" s="29"/>
      <c r="S144" s="29"/>
      <c r="T144" s="29"/>
      <c r="U144" s="30">
        <v>0</v>
      </c>
      <c r="V144" s="30">
        <v>-1</v>
      </c>
    </row>
    <row r="145" spans="1:26" ht="13.15" customHeight="1" x14ac:dyDescent="0.2">
      <c r="A145" s="30">
        <v>180</v>
      </c>
      <c r="B145" s="30" t="s">
        <v>28</v>
      </c>
      <c r="C145" s="30" t="s">
        <v>6</v>
      </c>
      <c r="D145" s="30" t="s">
        <v>584</v>
      </c>
      <c r="E145" s="33" t="s">
        <v>586</v>
      </c>
      <c r="F145" s="28" t="s">
        <v>127</v>
      </c>
      <c r="G145" s="28"/>
      <c r="H145" s="28" t="s">
        <v>111</v>
      </c>
      <c r="I145" s="28"/>
      <c r="J145" s="28"/>
      <c r="K145" s="28"/>
      <c r="L145" s="55">
        <f>VLOOKUP($A145, Stat!$A$1:$C$1000, 2,0)</f>
        <v>6</v>
      </c>
      <c r="M145" s="55">
        <f>VLOOKUP($A145, Stat!$A$1:$C$1000, 3,0)</f>
        <v>6</v>
      </c>
      <c r="N145" s="27">
        <v>1</v>
      </c>
      <c r="R145" s="29"/>
      <c r="S145" s="29"/>
      <c r="T145" s="29"/>
      <c r="U145" s="30">
        <v>100</v>
      </c>
      <c r="V145" s="30">
        <v>0</v>
      </c>
    </row>
    <row r="146" spans="1:26" ht="13.15" customHeight="1" x14ac:dyDescent="0.2">
      <c r="A146" s="30">
        <v>181</v>
      </c>
      <c r="B146" s="30" t="s">
        <v>28</v>
      </c>
      <c r="C146" s="30" t="s">
        <v>6</v>
      </c>
      <c r="D146" s="30" t="s">
        <v>585</v>
      </c>
      <c r="E146" s="33" t="s">
        <v>583</v>
      </c>
      <c r="F146" s="28" t="s">
        <v>127</v>
      </c>
      <c r="G146" s="28"/>
      <c r="H146" s="28" t="s">
        <v>111</v>
      </c>
      <c r="I146" s="28"/>
      <c r="J146" s="28"/>
      <c r="K146" s="28"/>
      <c r="L146" s="55">
        <f>VLOOKUP($A146, Stat!$A$1:$C$1000, 2,0)</f>
        <v>53</v>
      </c>
      <c r="M146" s="55">
        <f>VLOOKUP($A146, Stat!$A$1:$C$1000, 3,0)</f>
        <v>8</v>
      </c>
      <c r="N146" s="27">
        <v>1</v>
      </c>
      <c r="R146" s="29"/>
      <c r="S146" s="29"/>
      <c r="T146" s="29"/>
      <c r="U146" s="30">
        <v>0</v>
      </c>
      <c r="V146" s="30">
        <v>-1</v>
      </c>
    </row>
    <row r="147" spans="1:26" ht="13.15" customHeight="1" x14ac:dyDescent="0.2">
      <c r="A147" s="30">
        <v>182</v>
      </c>
      <c r="B147" s="30" t="s">
        <v>28</v>
      </c>
      <c r="C147" s="30" t="s">
        <v>6</v>
      </c>
      <c r="D147" s="30" t="s">
        <v>585</v>
      </c>
      <c r="E147" s="33" t="s">
        <v>582</v>
      </c>
      <c r="F147" s="28" t="s">
        <v>127</v>
      </c>
      <c r="G147" s="28"/>
      <c r="H147" s="28" t="s">
        <v>111</v>
      </c>
      <c r="I147" s="28"/>
      <c r="J147" s="28"/>
      <c r="K147" s="28"/>
      <c r="L147" s="55">
        <f>VLOOKUP($A147, Stat!$A$1:$C$1000, 2,0)</f>
        <v>36</v>
      </c>
      <c r="M147" s="55">
        <f>VLOOKUP($A147, Stat!$A$1:$C$1000, 3,0)</f>
        <v>5</v>
      </c>
      <c r="N147" s="27">
        <v>1</v>
      </c>
      <c r="R147" s="29"/>
      <c r="S147" s="29"/>
      <c r="T147" s="29"/>
      <c r="U147" s="30">
        <v>0</v>
      </c>
      <c r="V147" s="30">
        <v>-1</v>
      </c>
    </row>
    <row r="148" spans="1:26" ht="13.15" customHeight="1" x14ac:dyDescent="0.2">
      <c r="A148" s="30">
        <v>183</v>
      </c>
      <c r="B148" s="30" t="s">
        <v>28</v>
      </c>
      <c r="C148" s="30" t="s">
        <v>6</v>
      </c>
      <c r="D148" s="30" t="s">
        <v>585</v>
      </c>
      <c r="E148" s="33" t="s">
        <v>580</v>
      </c>
      <c r="F148" s="28" t="s">
        <v>127</v>
      </c>
      <c r="G148" s="28"/>
      <c r="H148" s="28" t="s">
        <v>111</v>
      </c>
      <c r="I148" s="28"/>
      <c r="J148" s="28"/>
      <c r="K148" s="28"/>
      <c r="L148" s="55">
        <f>VLOOKUP($A148, Stat!$A$1:$C$1000, 2,0)</f>
        <v>6</v>
      </c>
      <c r="M148" s="55">
        <f>VLOOKUP($A148, Stat!$A$1:$C$1000, 3,0)</f>
        <v>4</v>
      </c>
      <c r="N148" s="27">
        <v>1</v>
      </c>
      <c r="R148" s="29"/>
      <c r="S148" s="29"/>
      <c r="T148" s="29"/>
      <c r="U148" s="30">
        <v>50</v>
      </c>
      <c r="V148" s="30">
        <v>0</v>
      </c>
    </row>
    <row r="149" spans="1:26" ht="13.15" customHeight="1" x14ac:dyDescent="0.2">
      <c r="A149" s="30">
        <v>184</v>
      </c>
      <c r="B149" s="30" t="s">
        <v>28</v>
      </c>
      <c r="C149" s="30" t="s">
        <v>6</v>
      </c>
      <c r="D149" s="30" t="s">
        <v>585</v>
      </c>
      <c r="E149" s="33" t="s">
        <v>581</v>
      </c>
      <c r="F149" s="28" t="s">
        <v>127</v>
      </c>
      <c r="G149" s="28"/>
      <c r="H149" s="28" t="s">
        <v>111</v>
      </c>
      <c r="I149" s="28"/>
      <c r="J149" s="28"/>
      <c r="K149" s="28"/>
      <c r="L149" s="55">
        <f>VLOOKUP($A149, Stat!$A$1:$C$1000, 2,0)</f>
        <v>3</v>
      </c>
      <c r="M149" s="55">
        <f>VLOOKUP($A149, Stat!$A$1:$C$1000, 3,0)</f>
        <v>1</v>
      </c>
      <c r="N149" s="27">
        <v>1</v>
      </c>
      <c r="R149" s="29"/>
      <c r="S149" s="29"/>
      <c r="T149" s="29"/>
      <c r="U149" s="30">
        <v>100</v>
      </c>
      <c r="V149" s="30">
        <v>0</v>
      </c>
    </row>
    <row r="150" spans="1:26" ht="13.15" customHeight="1" x14ac:dyDescent="0.2">
      <c r="A150" s="30">
        <v>185</v>
      </c>
      <c r="B150" s="30" t="s">
        <v>28</v>
      </c>
      <c r="C150" s="30" t="s">
        <v>6</v>
      </c>
      <c r="D150" s="30" t="s">
        <v>585</v>
      </c>
      <c r="E150" s="33" t="s">
        <v>587</v>
      </c>
      <c r="F150" s="28" t="s">
        <v>127</v>
      </c>
      <c r="G150" s="28"/>
      <c r="H150" s="28" t="s">
        <v>111</v>
      </c>
      <c r="I150" s="28"/>
      <c r="J150" s="28"/>
      <c r="K150" s="28"/>
      <c r="L150" s="55">
        <f>VLOOKUP($A150, Stat!$A$1:$C$1000, 2,0)</f>
        <v>31</v>
      </c>
      <c r="M150" s="55">
        <f>VLOOKUP($A150, Stat!$A$1:$C$1000, 3,0)</f>
        <v>6</v>
      </c>
      <c r="N150" s="27">
        <v>1</v>
      </c>
      <c r="R150" s="29"/>
      <c r="S150" s="29"/>
      <c r="T150" s="29"/>
      <c r="U150" s="30">
        <v>0</v>
      </c>
      <c r="V150" s="30">
        <v>-1</v>
      </c>
    </row>
    <row r="151" spans="1:26" ht="13.15" customHeight="1" x14ac:dyDescent="0.2">
      <c r="A151" s="30">
        <v>186</v>
      </c>
      <c r="B151" s="30" t="s">
        <v>28</v>
      </c>
      <c r="C151" s="30" t="s">
        <v>6</v>
      </c>
      <c r="D151" s="30" t="s">
        <v>585</v>
      </c>
      <c r="E151" s="33" t="s">
        <v>586</v>
      </c>
      <c r="F151" s="28" t="s">
        <v>127</v>
      </c>
      <c r="G151" s="28"/>
      <c r="H151" s="28" t="s">
        <v>111</v>
      </c>
      <c r="I151" s="28"/>
      <c r="J151" s="28"/>
      <c r="K151" s="28"/>
      <c r="L151" s="55">
        <f>VLOOKUP($A151, Stat!$A$1:$C$1000, 2,0)</f>
        <v>4</v>
      </c>
      <c r="M151" s="55">
        <f>VLOOKUP($A151, Stat!$A$1:$C$1000, 3,0)</f>
        <v>4</v>
      </c>
      <c r="N151" s="27">
        <v>1</v>
      </c>
      <c r="R151" s="29"/>
      <c r="S151" s="29"/>
      <c r="T151" s="29"/>
      <c r="U151" s="30">
        <v>100</v>
      </c>
      <c r="V151" s="30">
        <v>0</v>
      </c>
    </row>
    <row r="152" spans="1:26" ht="13.15" customHeight="1" x14ac:dyDescent="0.2">
      <c r="A152" s="30">
        <v>187</v>
      </c>
      <c r="B152" s="30" t="s">
        <v>13</v>
      </c>
      <c r="C152" s="30" t="s">
        <v>495</v>
      </c>
      <c r="D152" s="30" t="s">
        <v>788</v>
      </c>
      <c r="E152" s="33" t="s">
        <v>903</v>
      </c>
      <c r="F152" s="28"/>
      <c r="G152" s="28"/>
      <c r="H152" s="28" t="s">
        <v>111</v>
      </c>
      <c r="I152" s="29"/>
      <c r="J152" s="29"/>
      <c r="K152" s="28"/>
      <c r="L152" s="55">
        <f>VLOOKUP($A152, Stat!$A$1:$C$1000, 2,0)</f>
        <v>195</v>
      </c>
      <c r="M152" s="55">
        <f>VLOOKUP($A152, Stat!$A$1:$C$1000, 3,0)</f>
        <v>8</v>
      </c>
      <c r="N152" s="58"/>
      <c r="R152" s="28" t="s">
        <v>736</v>
      </c>
      <c r="S152" s="29"/>
      <c r="T152" s="29"/>
      <c r="U152" s="30">
        <v>100</v>
      </c>
      <c r="V152" s="30">
        <v>0</v>
      </c>
      <c r="Z152" s="30" t="s">
        <v>506</v>
      </c>
    </row>
    <row r="153" spans="1:26" ht="13.15" customHeight="1" x14ac:dyDescent="0.2">
      <c r="A153" s="30">
        <v>188</v>
      </c>
      <c r="B153" s="30" t="s">
        <v>95</v>
      </c>
      <c r="C153" s="30" t="s">
        <v>727</v>
      </c>
      <c r="D153" s="30" t="s">
        <v>486</v>
      </c>
      <c r="E153" s="33" t="s">
        <v>111</v>
      </c>
      <c r="F153" s="29"/>
      <c r="G153" s="29"/>
      <c r="H153" s="28" t="s">
        <v>111</v>
      </c>
      <c r="I153" s="29"/>
      <c r="J153" s="29"/>
      <c r="K153" s="29"/>
      <c r="L153" s="55">
        <f>VLOOKUP($A153, Stat!$A$1:$C$1000, 2,0)</f>
        <v>21</v>
      </c>
      <c r="M153" s="55">
        <f>VLOOKUP($A153, Stat!$A$1:$C$1000, 3,0)</f>
        <v>2</v>
      </c>
      <c r="N153" s="58"/>
      <c r="Q153" s="27">
        <v>1</v>
      </c>
      <c r="R153" s="29"/>
      <c r="S153" s="29"/>
      <c r="T153" s="29"/>
      <c r="U153" s="30">
        <v>0</v>
      </c>
      <c r="V153" s="30">
        <v>0</v>
      </c>
      <c r="W153" s="30">
        <v>4</v>
      </c>
      <c r="Y153" s="30" t="s">
        <v>620</v>
      </c>
      <c r="Z153" s="30" t="s">
        <v>515</v>
      </c>
    </row>
    <row r="154" spans="1:26" ht="13.15" customHeight="1" x14ac:dyDescent="0.2">
      <c r="A154" s="30">
        <v>189</v>
      </c>
      <c r="B154" s="30" t="s">
        <v>95</v>
      </c>
      <c r="C154" s="30" t="s">
        <v>727</v>
      </c>
      <c r="D154" s="30" t="s">
        <v>486</v>
      </c>
      <c r="E154" s="33" t="s">
        <v>129</v>
      </c>
      <c r="F154" s="29"/>
      <c r="G154" s="29"/>
      <c r="H154" s="28" t="s">
        <v>111</v>
      </c>
      <c r="I154" s="29"/>
      <c r="J154" s="29"/>
      <c r="K154" s="29"/>
      <c r="L154" s="55">
        <f>VLOOKUP($A154, Stat!$A$1:$C$1000, 2,0)</f>
        <v>15</v>
      </c>
      <c r="M154" s="55">
        <f>VLOOKUP($A154, Stat!$A$1:$C$1000, 3,0)</f>
        <v>0</v>
      </c>
      <c r="N154" s="58"/>
      <c r="Q154" s="27">
        <v>1</v>
      </c>
      <c r="R154" s="28" t="s">
        <v>115</v>
      </c>
      <c r="S154" s="29"/>
      <c r="T154" s="29"/>
      <c r="U154" s="30">
        <v>50</v>
      </c>
      <c r="V154" s="30">
        <v>0</v>
      </c>
      <c r="W154" s="30">
        <v>4</v>
      </c>
      <c r="Y154" s="30" t="s">
        <v>620</v>
      </c>
    </row>
    <row r="155" spans="1:26" ht="13.15" customHeight="1" x14ac:dyDescent="0.2">
      <c r="A155" s="30">
        <v>190</v>
      </c>
      <c r="B155" s="30" t="s">
        <v>95</v>
      </c>
      <c r="C155" s="30" t="s">
        <v>727</v>
      </c>
      <c r="D155" s="30" t="s">
        <v>486</v>
      </c>
      <c r="E155" s="33" t="s">
        <v>35</v>
      </c>
      <c r="F155" s="29"/>
      <c r="G155" s="29"/>
      <c r="H155" s="28" t="s">
        <v>111</v>
      </c>
      <c r="I155" s="29"/>
      <c r="J155" s="29"/>
      <c r="K155" s="29"/>
      <c r="L155" s="55">
        <f>VLOOKUP($A155, Stat!$A$1:$C$1000, 2,0)</f>
        <v>3</v>
      </c>
      <c r="M155" s="55">
        <f>VLOOKUP($A155, Stat!$A$1:$C$1000, 3,0)</f>
        <v>0</v>
      </c>
      <c r="N155" s="58"/>
      <c r="Q155" s="27">
        <v>1</v>
      </c>
      <c r="R155" s="28" t="s">
        <v>114</v>
      </c>
      <c r="S155" s="29"/>
      <c r="T155" s="29"/>
      <c r="U155" s="30">
        <v>50</v>
      </c>
      <c r="V155" s="30">
        <v>0</v>
      </c>
      <c r="W155" s="30">
        <v>4</v>
      </c>
      <c r="Y155" s="30" t="s">
        <v>620</v>
      </c>
    </row>
    <row r="156" spans="1:26" ht="13.15" customHeight="1" x14ac:dyDescent="0.2">
      <c r="A156" s="30">
        <v>191</v>
      </c>
      <c r="B156" s="30" t="s">
        <v>28</v>
      </c>
      <c r="C156" s="30" t="s">
        <v>49</v>
      </c>
      <c r="D156" s="30" t="s">
        <v>610</v>
      </c>
      <c r="E156" s="33" t="s">
        <v>71</v>
      </c>
      <c r="F156" s="28" t="s">
        <v>127</v>
      </c>
      <c r="G156" s="28"/>
      <c r="H156" s="28" t="s">
        <v>111</v>
      </c>
      <c r="I156" s="28"/>
      <c r="J156" s="28"/>
      <c r="K156" s="28"/>
      <c r="L156" s="57">
        <f>VLOOKUP($A156, Stat!$A$1:$C$1000, 2,0)</f>
        <v>0</v>
      </c>
      <c r="M156" s="57">
        <f>VLOOKUP($A156, Stat!$A$1:$C$1000, 3,0)</f>
        <v>0</v>
      </c>
      <c r="N156" s="57"/>
      <c r="R156" s="29"/>
      <c r="S156" s="29"/>
      <c r="T156" s="29"/>
      <c r="U156" s="30">
        <v>50</v>
      </c>
      <c r="V156" s="30">
        <v>0</v>
      </c>
      <c r="Y156" s="30" t="s">
        <v>340</v>
      </c>
      <c r="Z156" s="30" t="s">
        <v>872</v>
      </c>
    </row>
    <row r="157" spans="1:26" ht="13.15" customHeight="1" x14ac:dyDescent="0.2">
      <c r="A157" s="30">
        <v>192</v>
      </c>
      <c r="B157" s="30" t="s">
        <v>28</v>
      </c>
      <c r="C157" s="30" t="s">
        <v>49</v>
      </c>
      <c r="D157" s="30" t="s">
        <v>637</v>
      </c>
      <c r="E157" s="33" t="s">
        <v>71</v>
      </c>
      <c r="F157" s="28" t="s">
        <v>127</v>
      </c>
      <c r="G157" s="28"/>
      <c r="H157" s="28" t="s">
        <v>111</v>
      </c>
      <c r="I157" s="28"/>
      <c r="J157" s="28"/>
      <c r="K157" s="28"/>
      <c r="L157" s="57">
        <f>VLOOKUP($A157, Stat!$A$1:$C$1000, 2,0)</f>
        <v>0</v>
      </c>
      <c r="M157" s="57">
        <f>VLOOKUP($A157, Stat!$A$1:$C$1000, 3,0)</f>
        <v>0</v>
      </c>
      <c r="N157" s="57"/>
      <c r="R157" s="29"/>
      <c r="S157" s="29"/>
      <c r="T157" s="29"/>
      <c r="U157" s="30">
        <v>50</v>
      </c>
      <c r="V157" s="30">
        <v>0</v>
      </c>
      <c r="W157" s="30">
        <v>35</v>
      </c>
      <c r="Y157" s="30" t="s">
        <v>341</v>
      </c>
      <c r="Z157" s="30" t="s">
        <v>873</v>
      </c>
    </row>
    <row r="158" spans="1:26" ht="13.15" customHeight="1" x14ac:dyDescent="0.2">
      <c r="A158" s="30">
        <v>193</v>
      </c>
      <c r="B158" s="30" t="s">
        <v>28</v>
      </c>
      <c r="C158" s="30" t="s">
        <v>566</v>
      </c>
      <c r="D158" s="30" t="s">
        <v>547</v>
      </c>
      <c r="E158" s="33" t="s">
        <v>67</v>
      </c>
      <c r="F158" s="29"/>
      <c r="G158" s="29"/>
      <c r="H158" s="28" t="s">
        <v>111</v>
      </c>
      <c r="I158" s="29"/>
      <c r="J158" s="29"/>
      <c r="K158" s="29"/>
      <c r="L158" s="55">
        <f>VLOOKUP($A158, Stat!$A$1:$C$1000, 2,0)</f>
        <v>192</v>
      </c>
      <c r="M158" s="55">
        <f>VLOOKUP($A158, Stat!$A$1:$C$1000, 3,0)</f>
        <v>0</v>
      </c>
      <c r="N158" s="74"/>
      <c r="Q158" s="27">
        <v>1</v>
      </c>
      <c r="R158" s="29"/>
      <c r="S158" s="29"/>
      <c r="T158" s="29"/>
      <c r="U158" s="30">
        <v>0</v>
      </c>
      <c r="V158" s="30">
        <v>-1</v>
      </c>
      <c r="Z158" s="30" t="s">
        <v>149</v>
      </c>
    </row>
    <row r="159" spans="1:26" ht="13.15" customHeight="1" x14ac:dyDescent="0.2">
      <c r="A159" s="30">
        <v>196</v>
      </c>
      <c r="B159" s="30" t="s">
        <v>13</v>
      </c>
      <c r="C159" s="30" t="s">
        <v>13</v>
      </c>
      <c r="D159" s="30" t="s">
        <v>525</v>
      </c>
      <c r="E159" s="30" t="s">
        <v>527</v>
      </c>
      <c r="F159" s="27">
        <v>1</v>
      </c>
      <c r="H159" s="28" t="s">
        <v>111</v>
      </c>
      <c r="N159" s="27">
        <v>1</v>
      </c>
      <c r="U159" s="30">
        <v>50</v>
      </c>
      <c r="V159" s="30">
        <v>0</v>
      </c>
      <c r="Z159" s="30" t="s">
        <v>567</v>
      </c>
    </row>
    <row r="160" spans="1:26" ht="13.15" customHeight="1" x14ac:dyDescent="0.2">
      <c r="A160" s="30">
        <v>197</v>
      </c>
      <c r="B160" s="30" t="s">
        <v>28</v>
      </c>
      <c r="C160" s="30" t="s">
        <v>719</v>
      </c>
      <c r="D160" s="30" t="s">
        <v>752</v>
      </c>
      <c r="E160" s="30" t="s">
        <v>753</v>
      </c>
      <c r="F160" s="27">
        <v>12</v>
      </c>
      <c r="H160" s="28" t="s">
        <v>111</v>
      </c>
      <c r="K160" s="27" t="s">
        <v>968</v>
      </c>
      <c r="U160" s="30">
        <v>50</v>
      </c>
      <c r="V160" s="30">
        <v>0</v>
      </c>
      <c r="Z160" s="30" t="s">
        <v>763</v>
      </c>
    </row>
    <row r="161" spans="1:26" ht="13.15" customHeight="1" x14ac:dyDescent="0.2">
      <c r="A161" s="30">
        <v>198</v>
      </c>
      <c r="B161" s="30" t="s">
        <v>28</v>
      </c>
      <c r="C161" s="30" t="s">
        <v>719</v>
      </c>
      <c r="D161" s="30" t="s">
        <v>752</v>
      </c>
      <c r="E161" s="30" t="s">
        <v>754</v>
      </c>
      <c r="F161" s="27">
        <v>12</v>
      </c>
      <c r="H161" s="28" t="s">
        <v>111</v>
      </c>
      <c r="K161" s="27" t="s">
        <v>968</v>
      </c>
      <c r="U161" s="30">
        <v>50</v>
      </c>
      <c r="V161" s="30">
        <v>0</v>
      </c>
      <c r="Z161" s="30" t="s">
        <v>764</v>
      </c>
    </row>
    <row r="162" spans="1:26" ht="13.15" customHeight="1" x14ac:dyDescent="0.2">
      <c r="A162" s="30">
        <v>199</v>
      </c>
      <c r="B162" s="30" t="s">
        <v>28</v>
      </c>
      <c r="C162" s="30" t="s">
        <v>648</v>
      </c>
      <c r="D162" s="30" t="s">
        <v>544</v>
      </c>
      <c r="E162" s="33" t="s">
        <v>184</v>
      </c>
      <c r="F162" s="28"/>
      <c r="G162" s="29"/>
      <c r="H162" s="28" t="s">
        <v>111</v>
      </c>
      <c r="I162" s="29"/>
      <c r="J162" s="29"/>
      <c r="K162" s="28"/>
      <c r="L162" s="55">
        <f>VLOOKUP($A162, Stat!$A$1:$C$1000, 2,0)</f>
        <v>65</v>
      </c>
      <c r="M162" s="55">
        <f>VLOOKUP($A162, Stat!$A$1:$C$1000, 3,0)</f>
        <v>2</v>
      </c>
      <c r="R162" s="29"/>
      <c r="S162" s="29"/>
      <c r="T162" s="29"/>
      <c r="U162" s="30">
        <v>0</v>
      </c>
      <c r="V162" s="30">
        <v>0</v>
      </c>
      <c r="Y162" s="30" t="s">
        <v>766</v>
      </c>
    </row>
    <row r="163" spans="1:26" ht="13.15" customHeight="1" x14ac:dyDescent="0.2">
      <c r="A163" s="30">
        <v>200</v>
      </c>
      <c r="B163" s="30" t="s">
        <v>28</v>
      </c>
      <c r="C163" s="30" t="s">
        <v>648</v>
      </c>
      <c r="D163" s="30" t="s">
        <v>541</v>
      </c>
      <c r="E163" s="33" t="s">
        <v>72</v>
      </c>
      <c r="F163" s="28" t="s">
        <v>128</v>
      </c>
      <c r="G163" s="29"/>
      <c r="H163" s="28" t="s">
        <v>111</v>
      </c>
      <c r="I163" s="29"/>
      <c r="J163" s="29"/>
      <c r="K163" s="28" t="s">
        <v>297</v>
      </c>
      <c r="L163" s="55">
        <f>VLOOKUP($A163, Stat!$A$1:$C$1000, 2,0)</f>
        <v>28</v>
      </c>
      <c r="M163" s="55">
        <f>VLOOKUP($A163, Stat!$A$1:$C$1000, 3,0)</f>
        <v>7</v>
      </c>
      <c r="R163" s="29"/>
      <c r="S163" s="29"/>
      <c r="T163" s="29"/>
      <c r="U163" s="30">
        <v>0</v>
      </c>
      <c r="V163" s="30">
        <v>0</v>
      </c>
      <c r="Z163" s="30" t="s">
        <v>874</v>
      </c>
    </row>
    <row r="164" spans="1:26" ht="13.15" customHeight="1" x14ac:dyDescent="0.2">
      <c r="A164" s="30">
        <v>201</v>
      </c>
      <c r="B164" s="30" t="s">
        <v>28</v>
      </c>
      <c r="C164" s="30" t="s">
        <v>648</v>
      </c>
      <c r="D164" s="30" t="s">
        <v>955</v>
      </c>
      <c r="E164" s="33" t="s">
        <v>957</v>
      </c>
      <c r="F164" s="69" t="s">
        <v>128</v>
      </c>
      <c r="G164" s="28"/>
      <c r="H164" s="28" t="s">
        <v>111</v>
      </c>
      <c r="I164" s="28"/>
      <c r="J164" s="28"/>
      <c r="K164" s="28" t="s">
        <v>443</v>
      </c>
      <c r="L164" s="55">
        <f>VLOOKUP($A164, Stat!$A$1:$C$1000, 2,0)</f>
        <v>9</v>
      </c>
      <c r="M164" s="55">
        <f>VLOOKUP($A164, Stat!$A$1:$C$1000, 3,0)</f>
        <v>2</v>
      </c>
      <c r="N164" s="58"/>
      <c r="R164" s="29"/>
      <c r="S164" s="29"/>
      <c r="T164" s="29"/>
      <c r="U164" s="30">
        <v>50</v>
      </c>
      <c r="V164" s="30">
        <v>0</v>
      </c>
      <c r="W164" s="30">
        <v>12350</v>
      </c>
      <c r="Y164" s="30" t="s">
        <v>749</v>
      </c>
    </row>
    <row r="165" spans="1:26" ht="13.15" customHeight="1" x14ac:dyDescent="0.2">
      <c r="A165" s="30">
        <v>202</v>
      </c>
      <c r="B165" s="30" t="s">
        <v>28</v>
      </c>
      <c r="C165" s="30" t="s">
        <v>648</v>
      </c>
      <c r="D165" s="30" t="s">
        <v>956</v>
      </c>
      <c r="E165" s="30" t="s">
        <v>958</v>
      </c>
      <c r="F165" s="27">
        <v>8</v>
      </c>
      <c r="H165" s="28" t="s">
        <v>111</v>
      </c>
      <c r="K165" s="61" t="s">
        <v>444</v>
      </c>
      <c r="U165" s="30">
        <v>50</v>
      </c>
      <c r="V165" s="30">
        <v>0</v>
      </c>
      <c r="W165" s="30">
        <v>12350</v>
      </c>
      <c r="Y165" s="30" t="s">
        <v>750</v>
      </c>
    </row>
    <row r="166" spans="1:26" ht="13.15" customHeight="1" x14ac:dyDescent="0.2">
      <c r="A166" s="30">
        <v>203</v>
      </c>
      <c r="B166" s="30" t="s">
        <v>28</v>
      </c>
      <c r="C166" s="30" t="s">
        <v>648</v>
      </c>
      <c r="D166" s="30" t="s">
        <v>543</v>
      </c>
      <c r="E166" s="30" t="s">
        <v>755</v>
      </c>
      <c r="F166" s="27">
        <v>8</v>
      </c>
      <c r="H166" s="28" t="s">
        <v>111</v>
      </c>
      <c r="K166" s="27" t="s">
        <v>756</v>
      </c>
      <c r="U166" s="30">
        <v>50</v>
      </c>
      <c r="V166" s="30">
        <v>0</v>
      </c>
      <c r="Z166" s="30" t="s">
        <v>765</v>
      </c>
    </row>
    <row r="167" spans="1:26" ht="13.15" customHeight="1" x14ac:dyDescent="0.2">
      <c r="A167" s="30">
        <v>204</v>
      </c>
      <c r="B167" s="30" t="s">
        <v>28</v>
      </c>
      <c r="C167" s="30" t="s">
        <v>48</v>
      </c>
      <c r="D167" s="30" t="s">
        <v>89</v>
      </c>
      <c r="E167" s="33" t="s">
        <v>2</v>
      </c>
      <c r="F167" s="28" t="s">
        <v>127</v>
      </c>
      <c r="G167" s="28"/>
      <c r="H167" s="28" t="s">
        <v>111</v>
      </c>
      <c r="I167" s="28"/>
      <c r="J167" s="28"/>
      <c r="K167" s="28"/>
      <c r="L167" s="55">
        <f>VLOOKUP($A167, Stat!$A$1:$C$1000, 2,0)</f>
        <v>78</v>
      </c>
      <c r="M167" s="55">
        <f>VLOOKUP($A167, Stat!$A$1:$C$1000, 3,0)</f>
        <v>0</v>
      </c>
      <c r="N167" s="57"/>
      <c r="R167" s="29"/>
      <c r="S167" s="29"/>
      <c r="T167" s="29"/>
      <c r="U167" s="30">
        <v>0</v>
      </c>
      <c r="V167" s="30">
        <v>-1</v>
      </c>
      <c r="Y167" s="30" t="s">
        <v>861</v>
      </c>
    </row>
    <row r="168" spans="1:26" ht="13.15" customHeight="1" x14ac:dyDescent="0.2">
      <c r="A168" s="30">
        <v>205</v>
      </c>
      <c r="B168" s="30" t="s">
        <v>28</v>
      </c>
      <c r="C168" s="30" t="s">
        <v>48</v>
      </c>
      <c r="D168" s="30" t="s">
        <v>89</v>
      </c>
      <c r="E168" s="33" t="s">
        <v>3</v>
      </c>
      <c r="F168" s="28" t="s">
        <v>127</v>
      </c>
      <c r="G168" s="28"/>
      <c r="H168" s="28" t="s">
        <v>111</v>
      </c>
      <c r="I168" s="28"/>
      <c r="J168" s="28"/>
      <c r="K168" s="28"/>
      <c r="L168" s="55">
        <f>VLOOKUP($A168, Stat!$A$1:$C$1000, 2,0)</f>
        <v>4</v>
      </c>
      <c r="M168" s="55">
        <f>VLOOKUP($A168, Stat!$A$1:$C$1000, 3,0)</f>
        <v>0</v>
      </c>
      <c r="N168" s="57"/>
      <c r="R168" s="29"/>
      <c r="S168" s="29"/>
      <c r="T168" s="29"/>
      <c r="U168" s="30">
        <v>0</v>
      </c>
      <c r="V168" s="30">
        <v>-1</v>
      </c>
      <c r="Y168" s="30" t="s">
        <v>861</v>
      </c>
    </row>
    <row r="169" spans="1:26" ht="13.15" customHeight="1" x14ac:dyDescent="0.2">
      <c r="A169" s="30">
        <v>206</v>
      </c>
      <c r="B169" s="30" t="s">
        <v>28</v>
      </c>
      <c r="C169" s="30" t="s">
        <v>48</v>
      </c>
      <c r="D169" s="30" t="s">
        <v>89</v>
      </c>
      <c r="E169" s="33" t="s">
        <v>4</v>
      </c>
      <c r="F169" s="28" t="s">
        <v>127</v>
      </c>
      <c r="G169" s="28"/>
      <c r="H169" s="28" t="s">
        <v>111</v>
      </c>
      <c r="I169" s="28"/>
      <c r="J169" s="28"/>
      <c r="K169" s="28"/>
      <c r="L169" s="55">
        <f>VLOOKUP($A169, Stat!$A$1:$C$1000, 2,0)</f>
        <v>2</v>
      </c>
      <c r="M169" s="55">
        <f>VLOOKUP($A169, Stat!$A$1:$C$1000, 3,0)</f>
        <v>0</v>
      </c>
      <c r="N169" s="57"/>
      <c r="R169" s="29"/>
      <c r="S169" s="29"/>
      <c r="T169" s="29"/>
      <c r="U169" s="30">
        <v>0</v>
      </c>
      <c r="V169" s="30">
        <v>-1</v>
      </c>
      <c r="Y169" s="30" t="s">
        <v>861</v>
      </c>
    </row>
    <row r="170" spans="1:26" ht="13.15" customHeight="1" x14ac:dyDescent="0.2">
      <c r="A170" s="30">
        <v>207</v>
      </c>
      <c r="B170" s="30" t="s">
        <v>28</v>
      </c>
      <c r="C170" s="30" t="s">
        <v>48</v>
      </c>
      <c r="D170" s="30" t="s">
        <v>89</v>
      </c>
      <c r="E170" s="33" t="s">
        <v>34</v>
      </c>
      <c r="F170" s="28" t="s">
        <v>127</v>
      </c>
      <c r="G170" s="28"/>
      <c r="H170" s="28" t="s">
        <v>111</v>
      </c>
      <c r="I170" s="28"/>
      <c r="J170" s="28"/>
      <c r="K170" s="28"/>
      <c r="L170" s="55">
        <f>VLOOKUP($A170, Stat!$A$1:$C$1000, 2,0)</f>
        <v>8</v>
      </c>
      <c r="M170" s="55">
        <f>VLOOKUP($A170, Stat!$A$1:$C$1000, 3,0)</f>
        <v>0</v>
      </c>
      <c r="N170" s="57"/>
      <c r="R170" s="29"/>
      <c r="S170" s="29"/>
      <c r="T170" s="29"/>
      <c r="U170" s="30">
        <v>0</v>
      </c>
      <c r="V170" s="30">
        <v>-1</v>
      </c>
      <c r="Y170" s="30" t="s">
        <v>861</v>
      </c>
    </row>
    <row r="171" spans="1:26" ht="13.15" customHeight="1" x14ac:dyDescent="0.2">
      <c r="A171" s="30">
        <v>208</v>
      </c>
      <c r="B171" s="30" t="s">
        <v>13</v>
      </c>
      <c r="C171" s="30" t="s">
        <v>41</v>
      </c>
      <c r="D171" s="30" t="s">
        <v>991</v>
      </c>
      <c r="E171" s="33" t="s">
        <v>412</v>
      </c>
      <c r="F171" s="28" t="s">
        <v>216</v>
      </c>
      <c r="G171" s="28" t="s">
        <v>126</v>
      </c>
      <c r="H171" s="28"/>
      <c r="I171" s="28"/>
      <c r="J171" s="28"/>
      <c r="K171" s="27" t="s">
        <v>941</v>
      </c>
      <c r="L171" s="55">
        <f>VLOOKUP($A171, Stat!$A$1:$C$1000, 2,0)</f>
        <v>1</v>
      </c>
      <c r="M171" s="55">
        <f>VLOOKUP($A171, Stat!$A$1:$C$1000, 3,0)</f>
        <v>1</v>
      </c>
      <c r="N171" s="27">
        <v>1</v>
      </c>
      <c r="R171" s="29"/>
      <c r="S171" s="29"/>
      <c r="T171" s="29"/>
      <c r="U171" s="30">
        <v>100</v>
      </c>
      <c r="V171" s="30">
        <v>0</v>
      </c>
      <c r="Z171" s="30" t="s">
        <v>918</v>
      </c>
    </row>
    <row r="172" spans="1:26" ht="13.15" customHeight="1" x14ac:dyDescent="0.2">
      <c r="A172" s="30">
        <v>209</v>
      </c>
      <c r="B172" s="30" t="s">
        <v>13</v>
      </c>
      <c r="C172" s="30" t="s">
        <v>41</v>
      </c>
      <c r="D172" s="30" t="s">
        <v>993</v>
      </c>
      <c r="E172" s="33" t="s">
        <v>412</v>
      </c>
      <c r="F172" s="28" t="s">
        <v>216</v>
      </c>
      <c r="G172" s="28" t="s">
        <v>126</v>
      </c>
      <c r="H172" s="28"/>
      <c r="I172" s="28"/>
      <c r="J172" s="28"/>
      <c r="K172" s="27" t="s">
        <v>941</v>
      </c>
      <c r="L172" s="55">
        <f>VLOOKUP($A172, Stat!$A$1:$C$1000, 2,0)</f>
        <v>26</v>
      </c>
      <c r="M172" s="55">
        <f>VLOOKUP($A172, Stat!$A$1:$C$1000, 3,0)</f>
        <v>3</v>
      </c>
      <c r="N172" s="27">
        <v>1</v>
      </c>
      <c r="R172" s="29"/>
      <c r="S172" s="29"/>
      <c r="T172" s="29"/>
      <c r="U172" s="30">
        <v>0</v>
      </c>
      <c r="V172" s="30">
        <v>1</v>
      </c>
      <c r="Z172" s="30" t="s">
        <v>919</v>
      </c>
    </row>
    <row r="173" spans="1:26" ht="13.15" customHeight="1" x14ac:dyDescent="0.2">
      <c r="A173" s="30">
        <v>210</v>
      </c>
      <c r="B173" s="30" t="s">
        <v>13</v>
      </c>
      <c r="C173" s="30" t="s">
        <v>41</v>
      </c>
      <c r="D173" s="30" t="s">
        <v>991</v>
      </c>
      <c r="E173" s="33" t="s">
        <v>853</v>
      </c>
      <c r="F173" s="28" t="s">
        <v>216</v>
      </c>
      <c r="G173" s="28" t="s">
        <v>126</v>
      </c>
      <c r="H173" s="28"/>
      <c r="I173" s="28"/>
      <c r="J173" s="28"/>
      <c r="K173" s="27" t="s">
        <v>941</v>
      </c>
      <c r="L173" s="55">
        <f>VLOOKUP($A173, Stat!$A$1:$C$1000, 2,0)</f>
        <v>19</v>
      </c>
      <c r="M173" s="55">
        <f>VLOOKUP($A173, Stat!$A$1:$C$1000, 3,0)</f>
        <v>9</v>
      </c>
      <c r="N173" s="27">
        <v>1</v>
      </c>
      <c r="R173" s="29"/>
      <c r="S173" s="29"/>
      <c r="T173" s="29"/>
      <c r="U173" s="30">
        <v>100</v>
      </c>
      <c r="V173" s="30">
        <v>0</v>
      </c>
      <c r="Z173" s="30" t="s">
        <v>851</v>
      </c>
    </row>
    <row r="174" spans="1:26" ht="13.15" customHeight="1" x14ac:dyDescent="0.2">
      <c r="A174" s="30">
        <v>211</v>
      </c>
      <c r="B174" s="30" t="s">
        <v>13</v>
      </c>
      <c r="C174" s="30" t="s">
        <v>41</v>
      </c>
      <c r="D174" s="30" t="s">
        <v>993</v>
      </c>
      <c r="E174" s="33" t="s">
        <v>853</v>
      </c>
      <c r="F174" s="28" t="s">
        <v>216</v>
      </c>
      <c r="G174" s="28" t="s">
        <v>126</v>
      </c>
      <c r="H174" s="28"/>
      <c r="I174" s="28"/>
      <c r="J174" s="28"/>
      <c r="K174" s="27" t="s">
        <v>941</v>
      </c>
      <c r="L174" s="55">
        <f>VLOOKUP($A174, Stat!$A$1:$C$1000, 2,0)</f>
        <v>8</v>
      </c>
      <c r="M174" s="55">
        <f>VLOOKUP($A174, Stat!$A$1:$C$1000, 3,0)</f>
        <v>4</v>
      </c>
      <c r="N174" s="27">
        <v>1</v>
      </c>
      <c r="R174" s="29"/>
      <c r="S174" s="29"/>
      <c r="T174" s="29"/>
      <c r="U174" s="30">
        <v>100</v>
      </c>
      <c r="V174" s="30">
        <v>0</v>
      </c>
      <c r="Z174" s="30" t="s">
        <v>852</v>
      </c>
    </row>
    <row r="175" spans="1:26" ht="13.15" customHeight="1" x14ac:dyDescent="0.2">
      <c r="A175" s="30">
        <v>212</v>
      </c>
      <c r="B175" s="30" t="s">
        <v>13</v>
      </c>
      <c r="C175" s="30" t="s">
        <v>41</v>
      </c>
      <c r="D175" s="30" t="s">
        <v>991</v>
      </c>
      <c r="E175" s="33" t="s">
        <v>413</v>
      </c>
      <c r="F175" s="28" t="s">
        <v>216</v>
      </c>
      <c r="G175" s="28" t="s">
        <v>126</v>
      </c>
      <c r="H175" s="28"/>
      <c r="I175" s="28"/>
      <c r="J175" s="28"/>
      <c r="K175" s="27" t="s">
        <v>941</v>
      </c>
      <c r="L175" s="55">
        <f>VLOOKUP($A175, Stat!$A$1:$C$1000, 2,0)</f>
        <v>5</v>
      </c>
      <c r="M175" s="55">
        <f>VLOOKUP($A175, Stat!$A$1:$C$1000, 3,0)</f>
        <v>1</v>
      </c>
      <c r="N175" s="27">
        <v>1</v>
      </c>
      <c r="R175" s="29"/>
      <c r="S175" s="29"/>
      <c r="T175" s="29"/>
      <c r="U175" s="30">
        <v>100</v>
      </c>
      <c r="V175" s="30">
        <v>0</v>
      </c>
      <c r="Z175" s="30" t="s">
        <v>920</v>
      </c>
    </row>
    <row r="176" spans="1:26" ht="13.15" customHeight="1" x14ac:dyDescent="0.2">
      <c r="A176" s="30">
        <v>213</v>
      </c>
      <c r="B176" s="30" t="s">
        <v>13</v>
      </c>
      <c r="C176" s="30" t="s">
        <v>41</v>
      </c>
      <c r="D176" s="30" t="s">
        <v>993</v>
      </c>
      <c r="E176" s="33" t="s">
        <v>413</v>
      </c>
      <c r="F176" s="28" t="s">
        <v>216</v>
      </c>
      <c r="G176" s="28" t="s">
        <v>126</v>
      </c>
      <c r="H176" s="28"/>
      <c r="I176" s="28"/>
      <c r="J176" s="28"/>
      <c r="K176" s="27" t="s">
        <v>941</v>
      </c>
      <c r="L176" s="55">
        <f>VLOOKUP($A176, Stat!$A$1:$C$1000, 2,0)</f>
        <v>23</v>
      </c>
      <c r="M176" s="55">
        <f>VLOOKUP($A176, Stat!$A$1:$C$1000, 3,0)</f>
        <v>8</v>
      </c>
      <c r="N176" s="27">
        <v>1</v>
      </c>
      <c r="R176" s="29"/>
      <c r="S176" s="29"/>
      <c r="T176" s="29"/>
      <c r="U176" s="30">
        <v>50</v>
      </c>
      <c r="V176" s="30">
        <v>0</v>
      </c>
      <c r="Z176" s="30" t="s">
        <v>921</v>
      </c>
    </row>
    <row r="177" spans="1:26" ht="13.15" customHeight="1" x14ac:dyDescent="0.2">
      <c r="A177" s="30">
        <v>216</v>
      </c>
      <c r="B177" s="30" t="s">
        <v>13</v>
      </c>
      <c r="C177" s="30" t="s">
        <v>93</v>
      </c>
      <c r="D177" s="30" t="s">
        <v>767</v>
      </c>
      <c r="E177" s="33" t="s">
        <v>768</v>
      </c>
      <c r="F177" s="69"/>
      <c r="G177" s="28" t="s">
        <v>111</v>
      </c>
      <c r="H177" s="28" t="s">
        <v>111</v>
      </c>
      <c r="I177" s="29"/>
      <c r="J177" s="29"/>
      <c r="K177" s="28"/>
      <c r="L177" s="55">
        <f>VLOOKUP($A177, Stat!$A$1:$C$1000, 2,0)</f>
        <v>1</v>
      </c>
      <c r="M177" s="55">
        <f>VLOOKUP($A177, Stat!$A$1:$C$1000, 3,0)</f>
        <v>1</v>
      </c>
      <c r="N177" s="27">
        <v>1</v>
      </c>
      <c r="R177" s="29"/>
      <c r="S177" s="29"/>
      <c r="T177" s="29"/>
      <c r="U177" s="30">
        <v>100</v>
      </c>
      <c r="V177" s="30">
        <v>0</v>
      </c>
      <c r="Z177" s="30" t="s">
        <v>771</v>
      </c>
    </row>
    <row r="178" spans="1:26" ht="13.15" customHeight="1" x14ac:dyDescent="0.2">
      <c r="A178" s="30">
        <v>217</v>
      </c>
      <c r="B178" s="30" t="s">
        <v>13</v>
      </c>
      <c r="C178" s="30" t="s">
        <v>93</v>
      </c>
      <c r="D178" s="30" t="s">
        <v>767</v>
      </c>
      <c r="E178" s="33" t="s">
        <v>769</v>
      </c>
      <c r="F178" s="69"/>
      <c r="G178" s="28" t="s">
        <v>111</v>
      </c>
      <c r="H178" s="28" t="s">
        <v>111</v>
      </c>
      <c r="I178" s="29"/>
      <c r="J178" s="29"/>
      <c r="K178" s="28"/>
      <c r="L178" s="55">
        <f>VLOOKUP($A178, Stat!$A$1:$C$1000, 2,0)</f>
        <v>5</v>
      </c>
      <c r="M178" s="55">
        <f>VLOOKUP($A178, Stat!$A$1:$C$1000, 3,0)</f>
        <v>4</v>
      </c>
      <c r="N178" s="27">
        <v>1</v>
      </c>
      <c r="R178" s="29"/>
      <c r="S178" s="29"/>
      <c r="T178" s="29"/>
      <c r="U178" s="30">
        <v>100</v>
      </c>
      <c r="V178" s="30">
        <v>0</v>
      </c>
      <c r="Z178" s="30" t="s">
        <v>937</v>
      </c>
    </row>
    <row r="179" spans="1:26" ht="13.15" customHeight="1" x14ac:dyDescent="0.2">
      <c r="A179" s="30">
        <v>218</v>
      </c>
      <c r="B179" s="30" t="s">
        <v>13</v>
      </c>
      <c r="C179" s="30" t="s">
        <v>93</v>
      </c>
      <c r="D179" s="30" t="s">
        <v>767</v>
      </c>
      <c r="E179" s="33" t="s">
        <v>770</v>
      </c>
      <c r="F179" s="69"/>
      <c r="G179" s="28" t="s">
        <v>111</v>
      </c>
      <c r="H179" s="28" t="s">
        <v>111</v>
      </c>
      <c r="I179" s="29"/>
      <c r="J179" s="29"/>
      <c r="K179" s="28"/>
      <c r="L179" s="55">
        <f>VLOOKUP($A179, Stat!$A$1:$C$1000, 2,0)</f>
        <v>1</v>
      </c>
      <c r="M179" s="55">
        <f>VLOOKUP($A179, Stat!$A$1:$C$1000, 3,0)</f>
        <v>1</v>
      </c>
      <c r="N179" s="27">
        <v>1</v>
      </c>
      <c r="R179" s="29"/>
      <c r="S179" s="29"/>
      <c r="T179" s="29"/>
      <c r="U179" s="30">
        <v>100</v>
      </c>
      <c r="V179" s="30">
        <v>0</v>
      </c>
      <c r="Z179" s="30" t="s">
        <v>772</v>
      </c>
    </row>
    <row r="180" spans="1:26" ht="13.15" customHeight="1" x14ac:dyDescent="0.2">
      <c r="A180" s="30">
        <v>219</v>
      </c>
      <c r="B180" s="30" t="s">
        <v>13</v>
      </c>
      <c r="C180" s="30" t="s">
        <v>93</v>
      </c>
      <c r="D180" s="30" t="s">
        <v>487</v>
      </c>
      <c r="E180" s="33" t="s">
        <v>490</v>
      </c>
      <c r="F180" s="69" t="s">
        <v>220</v>
      </c>
      <c r="G180" s="28"/>
      <c r="H180" s="28" t="s">
        <v>111</v>
      </c>
      <c r="I180" s="29"/>
      <c r="J180" s="29"/>
      <c r="K180" s="28" t="s">
        <v>967</v>
      </c>
      <c r="L180" s="55">
        <f>VLOOKUP($A180, Stat!$A$1:$C$1000, 2,0)</f>
        <v>24</v>
      </c>
      <c r="M180" s="55">
        <f>VLOOKUP($A180, Stat!$A$1:$C$1000, 3,0)</f>
        <v>4</v>
      </c>
      <c r="N180" s="27">
        <v>1</v>
      </c>
      <c r="R180" s="29"/>
      <c r="S180" s="29"/>
      <c r="T180" s="29"/>
      <c r="U180" s="30">
        <v>100</v>
      </c>
      <c r="V180" s="30">
        <v>0</v>
      </c>
      <c r="Z180" s="30" t="s">
        <v>370</v>
      </c>
    </row>
    <row r="181" spans="1:26" x14ac:dyDescent="0.2">
      <c r="A181" s="30">
        <v>220</v>
      </c>
      <c r="B181" s="30" t="s">
        <v>13</v>
      </c>
      <c r="C181" s="30" t="s">
        <v>93</v>
      </c>
      <c r="D181" s="30" t="s">
        <v>487</v>
      </c>
      <c r="E181" s="33" t="s">
        <v>492</v>
      </c>
      <c r="F181" s="69" t="s">
        <v>220</v>
      </c>
      <c r="G181" s="28"/>
      <c r="H181" s="28" t="s">
        <v>111</v>
      </c>
      <c r="I181" s="29"/>
      <c r="J181" s="29"/>
      <c r="K181" s="28" t="s">
        <v>967</v>
      </c>
      <c r="L181" s="55">
        <f>VLOOKUP($A181, Stat!$A$1:$C$1000, 2,0)</f>
        <v>6</v>
      </c>
      <c r="M181" s="55">
        <f>VLOOKUP($A181, Stat!$A$1:$C$1000, 3,0)</f>
        <v>2</v>
      </c>
      <c r="N181" s="27">
        <v>1</v>
      </c>
      <c r="R181" s="29"/>
      <c r="S181" s="29"/>
      <c r="T181" s="29"/>
      <c r="U181" s="30">
        <v>100</v>
      </c>
      <c r="V181" s="30">
        <v>0</v>
      </c>
    </row>
    <row r="182" spans="1:26" x14ac:dyDescent="0.2">
      <c r="A182" s="30">
        <v>221</v>
      </c>
      <c r="B182" s="30" t="s">
        <v>13</v>
      </c>
      <c r="C182" s="30" t="s">
        <v>93</v>
      </c>
      <c r="D182" s="30" t="s">
        <v>487</v>
      </c>
      <c r="E182" s="33" t="s">
        <v>491</v>
      </c>
      <c r="F182" s="69" t="s">
        <v>220</v>
      </c>
      <c r="G182" s="28"/>
      <c r="H182" s="28" t="s">
        <v>111</v>
      </c>
      <c r="I182" s="29"/>
      <c r="J182" s="29"/>
      <c r="K182" s="28" t="s">
        <v>967</v>
      </c>
      <c r="L182" s="55">
        <f>VLOOKUP($A182, Stat!$A$1:$C$1000, 2,0)</f>
        <v>16</v>
      </c>
      <c r="M182" s="55">
        <f>VLOOKUP($A182, Stat!$A$1:$C$1000, 3,0)</f>
        <v>7</v>
      </c>
      <c r="N182" s="27">
        <v>1</v>
      </c>
      <c r="R182" s="29"/>
      <c r="S182" s="29"/>
      <c r="T182" s="29"/>
      <c r="U182" s="30">
        <v>100</v>
      </c>
      <c r="V182" s="30">
        <v>0</v>
      </c>
      <c r="Z182" s="30" t="s">
        <v>371</v>
      </c>
    </row>
    <row r="183" spans="1:26" x14ac:dyDescent="0.2">
      <c r="A183" s="30">
        <v>222</v>
      </c>
      <c r="B183" s="30" t="s">
        <v>13</v>
      </c>
      <c r="C183" s="30" t="s">
        <v>41</v>
      </c>
      <c r="D183" s="30" t="s">
        <v>785</v>
      </c>
      <c r="E183" s="30" t="s">
        <v>898</v>
      </c>
      <c r="H183" s="28" t="s">
        <v>111</v>
      </c>
      <c r="U183" s="30">
        <v>50</v>
      </c>
      <c r="V183" s="30">
        <v>0</v>
      </c>
      <c r="Z183" s="30" t="s">
        <v>757</v>
      </c>
    </row>
    <row r="184" spans="1:26" x14ac:dyDescent="0.2">
      <c r="A184" s="30">
        <v>223</v>
      </c>
      <c r="B184" s="30" t="s">
        <v>13</v>
      </c>
      <c r="C184" s="30" t="s">
        <v>495</v>
      </c>
      <c r="D184" s="30" t="s">
        <v>960</v>
      </c>
      <c r="E184" s="33" t="s">
        <v>501</v>
      </c>
      <c r="F184" s="28"/>
      <c r="G184" s="28"/>
      <c r="H184" s="28" t="s">
        <v>111</v>
      </c>
      <c r="I184" s="29"/>
      <c r="J184" s="29"/>
      <c r="K184" s="29"/>
      <c r="L184" s="55">
        <f>VLOOKUP($A184, Stat!$A$1:$C$1000, 2,0)</f>
        <v>14</v>
      </c>
      <c r="M184" s="55">
        <f>VLOOKUP($A184, Stat!$A$1:$C$1000, 3,0)</f>
        <v>7</v>
      </c>
      <c r="N184" s="27">
        <v>1</v>
      </c>
      <c r="R184" s="29"/>
      <c r="S184" s="29"/>
      <c r="T184" s="29"/>
      <c r="U184" s="30">
        <v>50</v>
      </c>
      <c r="V184" s="30">
        <v>0</v>
      </c>
      <c r="Z184" s="30" t="s">
        <v>503</v>
      </c>
    </row>
    <row r="185" spans="1:26" x14ac:dyDescent="0.2">
      <c r="A185" s="30">
        <v>226</v>
      </c>
      <c r="B185" s="30" t="s">
        <v>95</v>
      </c>
      <c r="C185" s="30" t="s">
        <v>95</v>
      </c>
      <c r="D185" s="30" t="s">
        <v>481</v>
      </c>
      <c r="E185" s="33" t="s">
        <v>401</v>
      </c>
      <c r="F185" s="29"/>
      <c r="G185" s="29"/>
      <c r="H185" s="28" t="s">
        <v>111</v>
      </c>
      <c r="I185" s="29"/>
      <c r="J185" s="29"/>
      <c r="K185" s="29"/>
      <c r="L185" s="55">
        <f>VLOOKUP($A185, Stat!$A$1:$C$1000, 2,0)</f>
        <v>12</v>
      </c>
      <c r="M185" s="55">
        <f>VLOOKUP($A185, Stat!$A$1:$C$1000, 3,0)</f>
        <v>7</v>
      </c>
      <c r="N185" s="27">
        <v>1</v>
      </c>
      <c r="R185" s="29"/>
      <c r="S185" s="29"/>
      <c r="T185" s="29"/>
      <c r="U185" s="30">
        <v>50</v>
      </c>
      <c r="V185" s="30">
        <v>0</v>
      </c>
      <c r="Z185" s="30" t="s">
        <v>379</v>
      </c>
    </row>
    <row r="186" spans="1:26" x14ac:dyDescent="0.2">
      <c r="A186" s="30">
        <v>227</v>
      </c>
      <c r="B186" s="30" t="s">
        <v>95</v>
      </c>
      <c r="C186" s="30" t="s">
        <v>95</v>
      </c>
      <c r="D186" s="30" t="s">
        <v>481</v>
      </c>
      <c r="E186" s="33" t="s">
        <v>402</v>
      </c>
      <c r="F186" s="29"/>
      <c r="G186" s="29"/>
      <c r="H186" s="28" t="s">
        <v>111</v>
      </c>
      <c r="I186" s="29"/>
      <c r="J186" s="29"/>
      <c r="K186" s="29"/>
      <c r="L186" s="55">
        <f>VLOOKUP($A186, Stat!$A$1:$C$1000, 2,0)</f>
        <v>47</v>
      </c>
      <c r="M186" s="55">
        <f>VLOOKUP($A186, Stat!$A$1:$C$1000, 3,0)</f>
        <v>5</v>
      </c>
      <c r="N186" s="27">
        <v>1</v>
      </c>
      <c r="R186" s="29"/>
      <c r="S186" s="29"/>
      <c r="T186" s="29"/>
      <c r="U186" s="30">
        <v>0</v>
      </c>
      <c r="V186" s="30">
        <v>1</v>
      </c>
      <c r="Z186" s="30" t="s">
        <v>380</v>
      </c>
    </row>
    <row r="187" spans="1:26" x14ac:dyDescent="0.2">
      <c r="A187" s="30">
        <v>228</v>
      </c>
      <c r="B187" s="30" t="s">
        <v>95</v>
      </c>
      <c r="C187" s="30" t="s">
        <v>95</v>
      </c>
      <c r="D187" s="30" t="s">
        <v>481</v>
      </c>
      <c r="E187" s="33" t="s">
        <v>403</v>
      </c>
      <c r="F187" s="29"/>
      <c r="G187" s="29"/>
      <c r="H187" s="28" t="s">
        <v>111</v>
      </c>
      <c r="I187" s="29"/>
      <c r="J187" s="29"/>
      <c r="K187" s="29"/>
      <c r="L187" s="55">
        <f>VLOOKUP($A187, Stat!$A$1:$C$1000, 2,0)</f>
        <v>25</v>
      </c>
      <c r="M187" s="55">
        <f>VLOOKUP($A187, Stat!$A$1:$C$1000, 3,0)</f>
        <v>8</v>
      </c>
      <c r="N187" s="27">
        <v>1</v>
      </c>
      <c r="R187" s="29"/>
      <c r="S187" s="29"/>
      <c r="T187" s="29"/>
      <c r="U187" s="30">
        <v>50</v>
      </c>
      <c r="V187" s="30">
        <v>0</v>
      </c>
      <c r="Z187" s="30" t="s">
        <v>381</v>
      </c>
    </row>
    <row r="188" spans="1:26" x14ac:dyDescent="0.2">
      <c r="A188" s="30">
        <v>229</v>
      </c>
      <c r="B188" s="30" t="s">
        <v>95</v>
      </c>
      <c r="C188" s="30" t="s">
        <v>95</v>
      </c>
      <c r="D188" s="30" t="s">
        <v>481</v>
      </c>
      <c r="E188" s="33" t="s">
        <v>404</v>
      </c>
      <c r="F188" s="29"/>
      <c r="G188" s="29"/>
      <c r="H188" s="28" t="s">
        <v>111</v>
      </c>
      <c r="I188" s="29"/>
      <c r="J188" s="29"/>
      <c r="K188" s="29"/>
      <c r="L188" s="55">
        <f>VLOOKUP($A188, Stat!$A$1:$C$1000, 2,0)</f>
        <v>57</v>
      </c>
      <c r="M188" s="55">
        <f>VLOOKUP($A188, Stat!$A$1:$C$1000, 3,0)</f>
        <v>9</v>
      </c>
      <c r="N188" s="27">
        <v>1</v>
      </c>
      <c r="R188" s="29"/>
      <c r="S188" s="29"/>
      <c r="T188" s="29"/>
      <c r="U188" s="30">
        <v>0</v>
      </c>
      <c r="V188" s="30">
        <v>1</v>
      </c>
      <c r="Z188" s="30" t="s">
        <v>382</v>
      </c>
    </row>
    <row r="189" spans="1:26" x14ac:dyDescent="0.2">
      <c r="A189" s="30">
        <v>230</v>
      </c>
      <c r="B189" s="30" t="s">
        <v>95</v>
      </c>
      <c r="C189" s="30" t="s">
        <v>95</v>
      </c>
      <c r="D189" s="30" t="s">
        <v>475</v>
      </c>
      <c r="E189" s="33" t="s">
        <v>474</v>
      </c>
      <c r="F189" s="29"/>
      <c r="G189" s="29"/>
      <c r="H189" s="28" t="s">
        <v>111</v>
      </c>
      <c r="I189" s="29"/>
      <c r="J189" s="29"/>
      <c r="K189" s="29"/>
      <c r="L189" s="55">
        <f>VLOOKUP($A189, Stat!$A$1:$C$1000, 2,0)</f>
        <v>19</v>
      </c>
      <c r="M189" s="55">
        <f>VLOOKUP($A189, Stat!$A$1:$C$1000, 3,0)</f>
        <v>3</v>
      </c>
      <c r="N189" s="27">
        <v>1</v>
      </c>
      <c r="R189" s="29"/>
      <c r="S189" s="29"/>
      <c r="T189" s="29"/>
      <c r="U189" s="30">
        <v>50</v>
      </c>
      <c r="V189" s="30">
        <v>0</v>
      </c>
      <c r="Z189" s="30" t="s">
        <v>383</v>
      </c>
    </row>
    <row r="190" spans="1:26" ht="13.15" customHeight="1" x14ac:dyDescent="0.2">
      <c r="A190" s="30">
        <v>231</v>
      </c>
      <c r="B190" s="30" t="s">
        <v>95</v>
      </c>
      <c r="C190" s="30" t="s">
        <v>95</v>
      </c>
      <c r="D190" s="30" t="s">
        <v>481</v>
      </c>
      <c r="E190" s="33" t="s">
        <v>91</v>
      </c>
      <c r="F190" s="29"/>
      <c r="G190" s="29"/>
      <c r="H190" s="28" t="s">
        <v>111</v>
      </c>
      <c r="I190" s="29"/>
      <c r="J190" s="29"/>
      <c r="K190" s="29"/>
      <c r="L190" s="55">
        <f>VLOOKUP($A190, Stat!$A$1:$C$1000, 2,0)</f>
        <v>4</v>
      </c>
      <c r="M190" s="55">
        <f>VLOOKUP($A190, Stat!$A$1:$C$1000, 3,0)</f>
        <v>3</v>
      </c>
      <c r="N190" s="27">
        <v>1</v>
      </c>
      <c r="R190" s="29"/>
      <c r="S190" s="29"/>
      <c r="T190" s="29"/>
      <c r="U190" s="30">
        <v>50</v>
      </c>
      <c r="V190" s="30">
        <v>0</v>
      </c>
      <c r="Z190" s="30" t="s">
        <v>384</v>
      </c>
    </row>
    <row r="191" spans="1:26" ht="13.15" customHeight="1" x14ac:dyDescent="0.2">
      <c r="A191" s="30">
        <v>232</v>
      </c>
      <c r="B191" s="30" t="s">
        <v>95</v>
      </c>
      <c r="C191" s="30" t="s">
        <v>95</v>
      </c>
      <c r="D191" s="30" t="s">
        <v>481</v>
      </c>
      <c r="E191" s="33" t="s">
        <v>97</v>
      </c>
      <c r="F191" s="29"/>
      <c r="G191" s="29"/>
      <c r="H191" s="28" t="s">
        <v>111</v>
      </c>
      <c r="I191" s="29"/>
      <c r="J191" s="29"/>
      <c r="K191" s="29"/>
      <c r="L191" s="55">
        <f>VLOOKUP($A191, Stat!$A$1:$C$1000, 2,0)</f>
        <v>3</v>
      </c>
      <c r="M191" s="55">
        <f>VLOOKUP($A191, Stat!$A$1:$C$1000, 3,0)</f>
        <v>3</v>
      </c>
      <c r="N191" s="27">
        <v>1</v>
      </c>
      <c r="R191" s="29"/>
      <c r="S191" s="29"/>
      <c r="T191" s="29"/>
      <c r="U191" s="30">
        <v>50</v>
      </c>
      <c r="V191" s="30">
        <v>0</v>
      </c>
      <c r="Z191" s="30" t="s">
        <v>385</v>
      </c>
    </row>
    <row r="192" spans="1:26" ht="13.15" customHeight="1" x14ac:dyDescent="0.2">
      <c r="A192" s="30">
        <v>233</v>
      </c>
      <c r="B192" s="30" t="s">
        <v>95</v>
      </c>
      <c r="C192" s="30" t="s">
        <v>95</v>
      </c>
      <c r="D192" s="30" t="s">
        <v>472</v>
      </c>
      <c r="E192" s="33" t="s">
        <v>100</v>
      </c>
      <c r="F192" s="29"/>
      <c r="G192" s="29"/>
      <c r="H192" s="28" t="s">
        <v>111</v>
      </c>
      <c r="I192" s="29"/>
      <c r="J192" s="29"/>
      <c r="K192" s="29"/>
      <c r="L192" s="55">
        <f>VLOOKUP($A192, Stat!$A$1:$C$1000, 2,0)</f>
        <v>23</v>
      </c>
      <c r="M192" s="55">
        <f>VLOOKUP($A192, Stat!$A$1:$C$1000, 3,0)</f>
        <v>4</v>
      </c>
      <c r="N192" s="27">
        <v>1</v>
      </c>
      <c r="R192" s="29"/>
      <c r="S192" s="29"/>
      <c r="T192" s="29"/>
      <c r="U192" s="30">
        <v>0</v>
      </c>
      <c r="V192" s="30">
        <v>1</v>
      </c>
      <c r="Z192" s="30" t="s">
        <v>375</v>
      </c>
    </row>
    <row r="193" spans="1:26" ht="13.15" customHeight="1" x14ac:dyDescent="0.2">
      <c r="A193" s="30">
        <v>234</v>
      </c>
      <c r="B193" s="30" t="s">
        <v>95</v>
      </c>
      <c r="C193" s="30" t="s">
        <v>95</v>
      </c>
      <c r="D193" s="30" t="s">
        <v>472</v>
      </c>
      <c r="E193" s="33" t="s">
        <v>99</v>
      </c>
      <c r="F193" s="28" t="s">
        <v>219</v>
      </c>
      <c r="G193" s="29"/>
      <c r="H193" s="28" t="s">
        <v>111</v>
      </c>
      <c r="I193" s="29"/>
      <c r="J193" s="29"/>
      <c r="K193" s="29" t="s">
        <v>95</v>
      </c>
      <c r="L193" s="55">
        <f>VLOOKUP($A193, Stat!$A$1:$C$1000, 2,0)</f>
        <v>8</v>
      </c>
      <c r="M193" s="55">
        <f>VLOOKUP($A193, Stat!$A$1:$C$1000, 3,0)</f>
        <v>8</v>
      </c>
      <c r="N193" s="27">
        <v>1</v>
      </c>
      <c r="R193" s="29"/>
      <c r="S193" s="29"/>
      <c r="T193" s="29"/>
      <c r="U193" s="30">
        <v>50</v>
      </c>
      <c r="V193" s="30">
        <v>0</v>
      </c>
      <c r="Z193" s="30" t="s">
        <v>376</v>
      </c>
    </row>
    <row r="194" spans="1:26" ht="13.15" customHeight="1" x14ac:dyDescent="0.2">
      <c r="A194" s="30">
        <v>235</v>
      </c>
      <c r="B194" s="30" t="s">
        <v>95</v>
      </c>
      <c r="C194" s="30" t="s">
        <v>95</v>
      </c>
      <c r="D194" s="30" t="s">
        <v>472</v>
      </c>
      <c r="E194" s="33" t="s">
        <v>96</v>
      </c>
      <c r="F194" s="29"/>
      <c r="G194" s="29"/>
      <c r="H194" s="28" t="s">
        <v>111</v>
      </c>
      <c r="I194" s="29"/>
      <c r="J194" s="29"/>
      <c r="K194" s="29"/>
      <c r="L194" s="55">
        <f>VLOOKUP($A194, Stat!$A$1:$C$1000, 2,0)</f>
        <v>22</v>
      </c>
      <c r="M194" s="55">
        <f>VLOOKUP($A194, Stat!$A$1:$C$1000, 3,0)</f>
        <v>19</v>
      </c>
      <c r="N194" s="27">
        <v>1</v>
      </c>
      <c r="R194" s="29"/>
      <c r="S194" s="29"/>
      <c r="T194" s="29"/>
      <c r="U194" s="30">
        <v>50</v>
      </c>
      <c r="V194" s="30">
        <v>0</v>
      </c>
      <c r="Z194" s="30" t="s">
        <v>106</v>
      </c>
    </row>
    <row r="195" spans="1:26" ht="13.15" customHeight="1" x14ac:dyDescent="0.2">
      <c r="A195" s="30">
        <v>236</v>
      </c>
      <c r="B195" s="30" t="s">
        <v>95</v>
      </c>
      <c r="C195" s="30" t="s">
        <v>95</v>
      </c>
      <c r="D195" s="30" t="s">
        <v>472</v>
      </c>
      <c r="E195" s="33" t="s">
        <v>759</v>
      </c>
      <c r="F195" s="29"/>
      <c r="G195" s="29"/>
      <c r="H195" s="28" t="s">
        <v>111</v>
      </c>
      <c r="I195" s="29"/>
      <c r="J195" s="29"/>
      <c r="K195" s="29"/>
      <c r="L195" s="55">
        <f>VLOOKUP($A195, Stat!$A$1:$C$1000, 2,0)</f>
        <v>38</v>
      </c>
      <c r="M195" s="55">
        <f>VLOOKUP($A195, Stat!$A$1:$C$1000, 3,0)</f>
        <v>12</v>
      </c>
      <c r="N195" s="27">
        <v>1</v>
      </c>
      <c r="R195" s="29"/>
      <c r="S195" s="29"/>
      <c r="T195" s="29"/>
      <c r="U195" s="30">
        <v>50</v>
      </c>
      <c r="V195" s="30">
        <v>0</v>
      </c>
      <c r="Z195" s="30" t="s">
        <v>760</v>
      </c>
    </row>
    <row r="196" spans="1:26" ht="13.15" customHeight="1" x14ac:dyDescent="0.2">
      <c r="A196" s="30">
        <v>239</v>
      </c>
      <c r="B196" s="30" t="s">
        <v>95</v>
      </c>
      <c r="C196" s="30" t="s">
        <v>95</v>
      </c>
      <c r="D196" s="30" t="s">
        <v>305</v>
      </c>
      <c r="E196" s="33" t="s">
        <v>476</v>
      </c>
      <c r="F196" s="69" t="s">
        <v>219</v>
      </c>
      <c r="G196" s="29"/>
      <c r="H196" s="28" t="s">
        <v>111</v>
      </c>
      <c r="I196" s="29"/>
      <c r="J196" s="29"/>
      <c r="K196" s="28" t="s">
        <v>305</v>
      </c>
      <c r="L196" s="55">
        <f>VLOOKUP($A196, Stat!$A$1:$C$1000, 2,0)</f>
        <v>71</v>
      </c>
      <c r="M196" s="55">
        <f>VLOOKUP($A196, Stat!$A$1:$C$1000, 3,0)</f>
        <v>18</v>
      </c>
      <c r="N196" s="27">
        <v>1</v>
      </c>
      <c r="R196" s="29"/>
      <c r="S196" s="29"/>
      <c r="T196" s="29"/>
      <c r="U196" s="30">
        <v>0</v>
      </c>
      <c r="V196" s="30">
        <v>1</v>
      </c>
      <c r="Y196" s="30" t="s">
        <v>101</v>
      </c>
      <c r="Z196" s="30" t="s">
        <v>758</v>
      </c>
    </row>
    <row r="197" spans="1:26" ht="13.15" customHeight="1" x14ac:dyDescent="0.2">
      <c r="A197" s="30">
        <v>240</v>
      </c>
      <c r="B197" s="30" t="s">
        <v>95</v>
      </c>
      <c r="C197" s="30" t="s">
        <v>95</v>
      </c>
      <c r="D197" s="30" t="s">
        <v>305</v>
      </c>
      <c r="E197" s="33" t="s">
        <v>44</v>
      </c>
      <c r="F197" s="69" t="s">
        <v>219</v>
      </c>
      <c r="G197" s="29"/>
      <c r="H197" s="28" t="s">
        <v>111</v>
      </c>
      <c r="I197" s="29"/>
      <c r="J197" s="29"/>
      <c r="K197" s="28" t="s">
        <v>305</v>
      </c>
      <c r="L197" s="55">
        <f>VLOOKUP($A197, Stat!$A$1:$C$1000, 2,0)</f>
        <v>11</v>
      </c>
      <c r="M197" s="55">
        <f>VLOOKUP($A197, Stat!$A$1:$C$1000, 3,0)</f>
        <v>9</v>
      </c>
      <c r="N197" s="27">
        <v>1</v>
      </c>
      <c r="R197" s="28" t="s">
        <v>124</v>
      </c>
      <c r="S197" s="29"/>
      <c r="T197" s="29"/>
      <c r="U197" s="30">
        <v>50</v>
      </c>
      <c r="V197" s="30">
        <v>0</v>
      </c>
      <c r="Y197" s="30" t="s">
        <v>101</v>
      </c>
      <c r="Z197" s="30" t="s">
        <v>386</v>
      </c>
    </row>
    <row r="198" spans="1:26" x14ac:dyDescent="0.2">
      <c r="A198" s="30">
        <v>244</v>
      </c>
      <c r="B198" s="30" t="s">
        <v>95</v>
      </c>
      <c r="C198" s="31" t="s">
        <v>95</v>
      </c>
      <c r="D198" s="30" t="s">
        <v>479</v>
      </c>
      <c r="E198" s="33" t="s">
        <v>837</v>
      </c>
      <c r="F198" s="29"/>
      <c r="G198" s="29"/>
      <c r="H198" s="28" t="s">
        <v>111</v>
      </c>
      <c r="I198" s="29"/>
      <c r="J198" s="29"/>
      <c r="K198" s="29"/>
      <c r="L198" s="55">
        <f>VLOOKUP($A198, Stat!$A$1:$C$1000, 2,0)</f>
        <v>3</v>
      </c>
      <c r="M198" s="55">
        <f>VLOOKUP($A198, Stat!$A$1:$C$1000, 3,0)</f>
        <v>3</v>
      </c>
      <c r="N198" s="27">
        <v>1</v>
      </c>
      <c r="R198" s="29"/>
      <c r="S198" s="29"/>
      <c r="T198" s="29"/>
      <c r="U198" s="30">
        <v>100</v>
      </c>
      <c r="V198" s="30">
        <v>0</v>
      </c>
      <c r="Y198" s="30" t="s">
        <v>774</v>
      </c>
    </row>
    <row r="199" spans="1:26" x14ac:dyDescent="0.2">
      <c r="A199" s="30">
        <v>245</v>
      </c>
      <c r="B199" s="30" t="s">
        <v>95</v>
      </c>
      <c r="C199" s="31" t="s">
        <v>95</v>
      </c>
      <c r="D199" s="30" t="s">
        <v>480</v>
      </c>
      <c r="E199" s="33" t="s">
        <v>639</v>
      </c>
      <c r="F199" s="28" t="s">
        <v>219</v>
      </c>
      <c r="G199" s="29"/>
      <c r="H199" s="28" t="s">
        <v>111</v>
      </c>
      <c r="I199" s="29"/>
      <c r="J199" s="29"/>
      <c r="K199" s="28" t="s">
        <v>298</v>
      </c>
      <c r="L199" s="55">
        <f>VLOOKUP($A199, Stat!$A$1:$C$1000, 2,0)</f>
        <v>36</v>
      </c>
      <c r="M199" s="55">
        <f>VLOOKUP($A199, Stat!$A$1:$C$1000, 3,0)</f>
        <v>10</v>
      </c>
      <c r="N199" s="27">
        <v>1</v>
      </c>
      <c r="R199" s="29"/>
      <c r="S199" s="29"/>
      <c r="T199" s="29"/>
      <c r="U199" s="30">
        <v>50</v>
      </c>
      <c r="V199" s="30">
        <v>0</v>
      </c>
    </row>
    <row r="200" spans="1:26" x14ac:dyDescent="0.2">
      <c r="A200" s="30">
        <v>246</v>
      </c>
      <c r="B200" s="30" t="s">
        <v>95</v>
      </c>
      <c r="C200" s="30" t="s">
        <v>95</v>
      </c>
      <c r="D200" s="30" t="s">
        <v>480</v>
      </c>
      <c r="E200" s="33" t="s">
        <v>969</v>
      </c>
      <c r="F200" s="28" t="s">
        <v>219</v>
      </c>
      <c r="G200" s="29"/>
      <c r="H200" s="28" t="s">
        <v>111</v>
      </c>
      <c r="I200" s="29"/>
      <c r="J200" s="29"/>
      <c r="K200" s="28" t="s">
        <v>298</v>
      </c>
      <c r="L200" s="55">
        <f>VLOOKUP($A200, Stat!$A$1:$C$1000, 2,0)</f>
        <v>13</v>
      </c>
      <c r="M200" s="55">
        <f>VLOOKUP($A200, Stat!$A$1:$C$1000, 3,0)</f>
        <v>2</v>
      </c>
      <c r="N200" s="27">
        <v>1</v>
      </c>
      <c r="R200" s="28" t="s">
        <v>181</v>
      </c>
      <c r="S200" s="29"/>
      <c r="T200" s="29"/>
      <c r="U200" s="30">
        <v>100</v>
      </c>
      <c r="V200" s="30">
        <v>0</v>
      </c>
    </row>
    <row r="201" spans="1:26" x14ac:dyDescent="0.2">
      <c r="A201" s="30">
        <v>247</v>
      </c>
      <c r="B201" s="30" t="s">
        <v>95</v>
      </c>
      <c r="C201" s="30" t="s">
        <v>95</v>
      </c>
      <c r="D201" s="30" t="s">
        <v>473</v>
      </c>
      <c r="E201" s="33" t="s">
        <v>886</v>
      </c>
      <c r="F201" s="28" t="s">
        <v>220</v>
      </c>
      <c r="G201" s="29"/>
      <c r="H201" s="28" t="s">
        <v>111</v>
      </c>
      <c r="I201" s="29"/>
      <c r="J201" s="29"/>
      <c r="K201" s="61" t="s">
        <v>257</v>
      </c>
      <c r="L201" s="55">
        <f>VLOOKUP($A201, Stat!$A$1:$C$1000, 2,0)</f>
        <v>48</v>
      </c>
      <c r="M201" s="55">
        <f>VLOOKUP($A201, Stat!$A$1:$C$1000, 3,0)</f>
        <v>16</v>
      </c>
      <c r="N201" s="27">
        <v>1</v>
      </c>
      <c r="R201" s="29"/>
      <c r="S201" s="29"/>
      <c r="T201" s="29"/>
      <c r="U201" s="30">
        <v>50</v>
      </c>
      <c r="V201" s="30">
        <v>0</v>
      </c>
      <c r="Z201" s="30" t="s">
        <v>387</v>
      </c>
    </row>
    <row r="202" spans="1:26" x14ac:dyDescent="0.2">
      <c r="A202" s="30">
        <v>248</v>
      </c>
      <c r="B202" s="30" t="s">
        <v>13</v>
      </c>
      <c r="C202" s="30" t="s">
        <v>41</v>
      </c>
      <c r="D202" s="30" t="s">
        <v>856</v>
      </c>
      <c r="E202" s="33" t="s">
        <v>98</v>
      </c>
      <c r="F202" s="28" t="s">
        <v>216</v>
      </c>
      <c r="G202" s="28" t="s">
        <v>111</v>
      </c>
      <c r="H202" s="28"/>
      <c r="I202" s="28"/>
      <c r="J202" s="28"/>
      <c r="K202" s="27" t="s">
        <v>941</v>
      </c>
      <c r="L202" s="55">
        <f>VLOOKUP($A202, Stat!$A$1:$C$1000, 2,0)</f>
        <v>9</v>
      </c>
      <c r="M202" s="55">
        <f>VLOOKUP($A202, Stat!$A$1:$C$1000, 3,0)</f>
        <v>1</v>
      </c>
      <c r="N202" s="27">
        <v>1</v>
      </c>
      <c r="R202" s="29"/>
      <c r="S202" s="29"/>
      <c r="T202" s="29"/>
      <c r="U202" s="30">
        <v>0</v>
      </c>
      <c r="V202" s="30">
        <v>1</v>
      </c>
      <c r="X202" s="30" t="s">
        <v>693</v>
      </c>
      <c r="Y202" s="30" t="s">
        <v>858</v>
      </c>
      <c r="Z202" s="30" t="s">
        <v>778</v>
      </c>
    </row>
    <row r="203" spans="1:26" ht="13.15" customHeight="1" x14ac:dyDescent="0.2">
      <c r="A203" s="30">
        <v>249</v>
      </c>
      <c r="B203" s="30" t="s">
        <v>13</v>
      </c>
      <c r="C203" s="30" t="s">
        <v>41</v>
      </c>
      <c r="D203" s="30" t="s">
        <v>856</v>
      </c>
      <c r="E203" s="33" t="s">
        <v>777</v>
      </c>
      <c r="F203" s="28" t="s">
        <v>216</v>
      </c>
      <c r="G203" s="28" t="s">
        <v>111</v>
      </c>
      <c r="H203" s="28"/>
      <c r="I203" s="28"/>
      <c r="J203" s="28"/>
      <c r="K203" s="27" t="s">
        <v>941</v>
      </c>
      <c r="L203" s="55">
        <f>VLOOKUP($A203, Stat!$A$1:$C$1000, 2,0)</f>
        <v>72</v>
      </c>
      <c r="M203" s="55">
        <f>VLOOKUP($A203, Stat!$A$1:$C$1000, 3,0)</f>
        <v>9</v>
      </c>
      <c r="N203" s="27">
        <v>1</v>
      </c>
      <c r="R203" s="32"/>
      <c r="S203" s="29"/>
      <c r="T203" s="29"/>
      <c r="U203" s="30">
        <v>0</v>
      </c>
      <c r="V203" s="30">
        <v>1</v>
      </c>
      <c r="X203" s="30" t="s">
        <v>693</v>
      </c>
      <c r="Y203" s="30" t="s">
        <v>858</v>
      </c>
      <c r="Z203" s="30" t="s">
        <v>781</v>
      </c>
    </row>
    <row r="204" spans="1:26" x14ac:dyDescent="0.2">
      <c r="A204" s="30">
        <v>250</v>
      </c>
      <c r="B204" s="30" t="s">
        <v>13</v>
      </c>
      <c r="C204" s="30" t="s">
        <v>41</v>
      </c>
      <c r="D204" s="30" t="s">
        <v>856</v>
      </c>
      <c r="E204" s="33" t="s">
        <v>776</v>
      </c>
      <c r="F204" s="28" t="s">
        <v>216</v>
      </c>
      <c r="G204" s="28" t="s">
        <v>111</v>
      </c>
      <c r="H204" s="28"/>
      <c r="I204" s="28"/>
      <c r="J204" s="28"/>
      <c r="K204" s="27" t="s">
        <v>941</v>
      </c>
      <c r="L204" s="55">
        <f>VLOOKUP($A204, Stat!$A$1:$C$1000, 2,0)</f>
        <v>18</v>
      </c>
      <c r="M204" s="55">
        <f>VLOOKUP($A204, Stat!$A$1:$C$1000, 3,0)</f>
        <v>5</v>
      </c>
      <c r="N204" s="27">
        <v>1</v>
      </c>
      <c r="R204" s="28" t="s">
        <v>113</v>
      </c>
      <c r="S204" s="29"/>
      <c r="T204" s="29"/>
      <c r="U204" s="30">
        <v>0</v>
      </c>
      <c r="V204" s="30">
        <v>1</v>
      </c>
      <c r="X204" s="30" t="s">
        <v>693</v>
      </c>
      <c r="Y204" s="30" t="s">
        <v>858</v>
      </c>
      <c r="Z204" s="30" t="s">
        <v>779</v>
      </c>
    </row>
    <row r="205" spans="1:26" ht="13.15" customHeight="1" x14ac:dyDescent="0.2">
      <c r="A205" s="30">
        <v>255</v>
      </c>
      <c r="B205" s="30" t="s">
        <v>95</v>
      </c>
      <c r="C205" s="30" t="s">
        <v>95</v>
      </c>
      <c r="D205" s="30" t="s">
        <v>481</v>
      </c>
      <c r="E205" s="33" t="s">
        <v>102</v>
      </c>
      <c r="F205" s="29"/>
      <c r="G205" s="29"/>
      <c r="H205" s="28" t="s">
        <v>111</v>
      </c>
      <c r="I205" s="29"/>
      <c r="J205" s="29"/>
      <c r="K205" s="29"/>
      <c r="L205" s="55">
        <f>VLOOKUP($A205, Stat!$A$1:$C$1000, 2,0)</f>
        <v>19</v>
      </c>
      <c r="M205" s="55">
        <f>VLOOKUP($A205, Stat!$A$1:$C$1000, 3,0)</f>
        <v>6</v>
      </c>
      <c r="N205" s="27">
        <v>1</v>
      </c>
      <c r="R205" s="29"/>
      <c r="S205" s="29"/>
      <c r="T205" s="29"/>
      <c r="U205" s="30">
        <v>50</v>
      </c>
      <c r="V205" s="30">
        <v>0</v>
      </c>
      <c r="Z205" s="30" t="s">
        <v>388</v>
      </c>
    </row>
    <row r="206" spans="1:26" ht="13.15" customHeight="1" x14ac:dyDescent="0.2">
      <c r="A206" s="30">
        <v>256</v>
      </c>
      <c r="B206" s="30" t="s">
        <v>13</v>
      </c>
      <c r="C206" s="30" t="s">
        <v>107</v>
      </c>
      <c r="D206" s="30" t="s">
        <v>108</v>
      </c>
      <c r="E206" s="30" t="s">
        <v>905</v>
      </c>
      <c r="H206" s="28" t="s">
        <v>111</v>
      </c>
      <c r="L206" s="55">
        <f>VLOOKUP($A206, Stat!$A$1:$C$1000, 2,0)</f>
        <v>37</v>
      </c>
      <c r="M206" s="55">
        <f>VLOOKUP($A206, Stat!$A$1:$C$1000, 3,0)</f>
        <v>0</v>
      </c>
      <c r="N206" s="57"/>
      <c r="S206" s="27">
        <v>1</v>
      </c>
      <c r="U206" s="30">
        <v>0</v>
      </c>
      <c r="V206" s="30">
        <v>1</v>
      </c>
      <c r="Z206" s="30" t="s">
        <v>377</v>
      </c>
    </row>
    <row r="207" spans="1:26" ht="13.15" customHeight="1" x14ac:dyDescent="0.2">
      <c r="A207" s="30">
        <v>258</v>
      </c>
      <c r="B207" s="30" t="s">
        <v>13</v>
      </c>
      <c r="C207" s="30" t="s">
        <v>107</v>
      </c>
      <c r="D207" s="30" t="s">
        <v>860</v>
      </c>
      <c r="E207" s="30" t="s">
        <v>905</v>
      </c>
      <c r="H207" s="28" t="s">
        <v>111</v>
      </c>
      <c r="L207" s="55">
        <f>VLOOKUP($A207, Stat!$A$1:$C$1000, 2,0)</f>
        <v>35</v>
      </c>
      <c r="M207" s="55">
        <f>VLOOKUP($A207, Stat!$A$1:$C$1000, 3,0)</f>
        <v>0</v>
      </c>
      <c r="N207" s="57"/>
      <c r="S207" s="27">
        <v>1</v>
      </c>
      <c r="U207" s="30">
        <v>0</v>
      </c>
      <c r="V207" s="30">
        <v>1</v>
      </c>
      <c r="Z207" s="30" t="s">
        <v>131</v>
      </c>
    </row>
    <row r="208" spans="1:26" ht="13.15" customHeight="1" x14ac:dyDescent="0.2">
      <c r="A208" s="30">
        <v>267</v>
      </c>
      <c r="B208" s="30" t="s">
        <v>95</v>
      </c>
      <c r="C208" s="30" t="s">
        <v>95</v>
      </c>
      <c r="D208" s="30" t="s">
        <v>980</v>
      </c>
      <c r="E208" s="33" t="s">
        <v>979</v>
      </c>
      <c r="H208" s="28" t="s">
        <v>111</v>
      </c>
      <c r="L208" s="55">
        <f>VLOOKUP($A208, Stat!$A$1:$C$1000, 2,0)</f>
        <v>54</v>
      </c>
      <c r="M208" s="55">
        <f>VLOOKUP($A208, Stat!$A$1:$C$1000, 3,0)</f>
        <v>21</v>
      </c>
      <c r="N208" s="27">
        <v>1</v>
      </c>
      <c r="Q208" s="27">
        <v>1</v>
      </c>
      <c r="U208" s="30">
        <v>50</v>
      </c>
      <c r="V208" s="30">
        <v>0</v>
      </c>
    </row>
    <row r="209" spans="1:26" ht="13.15" customHeight="1" x14ac:dyDescent="0.2">
      <c r="A209" s="30">
        <v>274</v>
      </c>
      <c r="B209" s="30" t="s">
        <v>95</v>
      </c>
      <c r="C209" s="30" t="s">
        <v>95</v>
      </c>
      <c r="D209" s="30" t="s">
        <v>479</v>
      </c>
      <c r="E209" s="33" t="s">
        <v>836</v>
      </c>
      <c r="H209" s="28" t="s">
        <v>111</v>
      </c>
      <c r="L209" s="55">
        <f>VLOOKUP($A209, Stat!$A$1:$C$1000, 2,0)</f>
        <v>5</v>
      </c>
      <c r="M209" s="55">
        <f>VLOOKUP($A209, Stat!$A$1:$C$1000, 3,0)</f>
        <v>5</v>
      </c>
      <c r="N209" s="27">
        <v>1</v>
      </c>
      <c r="U209" s="30">
        <v>100</v>
      </c>
      <c r="V209" s="30">
        <v>0</v>
      </c>
      <c r="Y209" s="30" t="s">
        <v>774</v>
      </c>
      <c r="Z209" s="30" t="s">
        <v>782</v>
      </c>
    </row>
    <row r="210" spans="1:26" x14ac:dyDescent="0.2">
      <c r="A210" s="30">
        <v>275</v>
      </c>
      <c r="B210" s="30" t="s">
        <v>13</v>
      </c>
      <c r="C210" s="30" t="s">
        <v>41</v>
      </c>
      <c r="D210" s="30" t="s">
        <v>43</v>
      </c>
      <c r="E210" s="33" t="s">
        <v>516</v>
      </c>
      <c r="F210" s="70">
        <v>8</v>
      </c>
      <c r="G210" s="27">
        <v>1</v>
      </c>
      <c r="H210" s="28" t="s">
        <v>111</v>
      </c>
      <c r="K210" s="61" t="s">
        <v>511</v>
      </c>
      <c r="L210" s="55">
        <f>VLOOKUP($A210, Stat!$A$1:$C$1000, 2,0)</f>
        <v>10</v>
      </c>
      <c r="M210" s="55">
        <f>VLOOKUP($A210, Stat!$A$1:$C$1000, 3,0)</f>
        <v>2</v>
      </c>
      <c r="N210" s="27">
        <v>1</v>
      </c>
      <c r="U210" s="30">
        <v>50</v>
      </c>
      <c r="V210" s="30">
        <v>0</v>
      </c>
      <c r="Z210" s="30" t="s">
        <v>509</v>
      </c>
    </row>
    <row r="211" spans="1:26" ht="13.15" customHeight="1" x14ac:dyDescent="0.2">
      <c r="A211" s="30">
        <v>276</v>
      </c>
      <c r="B211" s="30" t="s">
        <v>13</v>
      </c>
      <c r="C211" s="30" t="s">
        <v>495</v>
      </c>
      <c r="D211" s="30" t="s">
        <v>990</v>
      </c>
      <c r="E211" s="33" t="s">
        <v>739</v>
      </c>
      <c r="F211" s="27">
        <v>7</v>
      </c>
      <c r="G211" s="27">
        <v>3</v>
      </c>
      <c r="H211" s="28"/>
      <c r="K211" s="27" t="s">
        <v>941</v>
      </c>
      <c r="L211" s="55">
        <f>VLOOKUP($A211, Stat!$A$1:$C$1000, 2,0)</f>
        <v>6</v>
      </c>
      <c r="M211" s="55">
        <f>VLOOKUP($A211, Stat!$A$1:$C$1000, 3,0)</f>
        <v>3</v>
      </c>
      <c r="N211" s="27">
        <v>1</v>
      </c>
      <c r="U211" s="30">
        <v>50</v>
      </c>
      <c r="V211" s="30">
        <v>0</v>
      </c>
      <c r="Z211" s="30" t="s">
        <v>743</v>
      </c>
    </row>
    <row r="212" spans="1:26" x14ac:dyDescent="0.2">
      <c r="A212" s="30">
        <v>277</v>
      </c>
      <c r="B212" s="30" t="s">
        <v>13</v>
      </c>
      <c r="C212" s="30" t="s">
        <v>41</v>
      </c>
      <c r="D212" s="30" t="s">
        <v>43</v>
      </c>
      <c r="E212" s="33" t="s">
        <v>517</v>
      </c>
      <c r="F212" s="70">
        <v>8</v>
      </c>
      <c r="G212" s="27">
        <v>1</v>
      </c>
      <c r="H212" s="28" t="s">
        <v>111</v>
      </c>
      <c r="K212" s="61" t="s">
        <v>512</v>
      </c>
      <c r="L212" s="55">
        <f>VLOOKUP($A212, Stat!$A$1:$C$1000, 2,0)</f>
        <v>1</v>
      </c>
      <c r="M212" s="55">
        <f>VLOOKUP($A212, Stat!$A$1:$C$1000, 3,0)</f>
        <v>1</v>
      </c>
      <c r="N212" s="27">
        <v>1</v>
      </c>
      <c r="U212" s="30">
        <v>0</v>
      </c>
      <c r="V212" s="30">
        <v>1</v>
      </c>
      <c r="Z212" s="30" t="s">
        <v>510</v>
      </c>
    </row>
    <row r="213" spans="1:26" ht="13.15" customHeight="1" x14ac:dyDescent="0.2">
      <c r="A213" s="30">
        <v>282</v>
      </c>
      <c r="B213" s="30" t="s">
        <v>13</v>
      </c>
      <c r="C213" s="30" t="s">
        <v>107</v>
      </c>
      <c r="D213" s="30" t="s">
        <v>1004</v>
      </c>
      <c r="E213" s="30" t="s">
        <v>905</v>
      </c>
      <c r="H213" s="28" t="s">
        <v>111</v>
      </c>
      <c r="L213" s="55">
        <f>VLOOKUP($A213, Stat!$A$1:$C$1000, 2,0)</f>
        <v>50</v>
      </c>
      <c r="M213" s="55">
        <f>VLOOKUP($A213, Stat!$A$1:$C$1000, 3,0)</f>
        <v>1</v>
      </c>
      <c r="S213" s="27">
        <v>1</v>
      </c>
      <c r="U213" s="30">
        <v>50</v>
      </c>
      <c r="V213" s="30">
        <v>0</v>
      </c>
      <c r="Y213" s="30" t="s">
        <v>144</v>
      </c>
      <c r="Z213" s="30" t="s">
        <v>997</v>
      </c>
    </row>
    <row r="214" spans="1:26" ht="13.15" customHeight="1" x14ac:dyDescent="0.2">
      <c r="A214" s="30">
        <v>286</v>
      </c>
      <c r="B214" s="30" t="s">
        <v>13</v>
      </c>
      <c r="C214" s="30" t="s">
        <v>93</v>
      </c>
      <c r="D214" s="30" t="s">
        <v>487</v>
      </c>
      <c r="E214" s="30" t="s">
        <v>838</v>
      </c>
      <c r="F214" s="70">
        <v>12</v>
      </c>
      <c r="H214" s="28" t="s">
        <v>111</v>
      </c>
      <c r="K214" s="28" t="s">
        <v>967</v>
      </c>
      <c r="L214" s="55">
        <f>VLOOKUP($A214, Stat!$A$1:$C$1000, 2,0)</f>
        <v>7</v>
      </c>
      <c r="M214" s="55">
        <f>VLOOKUP($A214, Stat!$A$1:$C$1000, 3,0)</f>
        <v>7</v>
      </c>
      <c r="N214" s="27">
        <v>1</v>
      </c>
      <c r="U214" s="30">
        <v>50</v>
      </c>
      <c r="V214" s="30">
        <v>0</v>
      </c>
      <c r="Z214" s="30" t="s">
        <v>372</v>
      </c>
    </row>
    <row r="215" spans="1:26" x14ac:dyDescent="0.2">
      <c r="A215" s="30">
        <v>287</v>
      </c>
      <c r="B215" s="30" t="s">
        <v>13</v>
      </c>
      <c r="C215" s="30" t="s">
        <v>107</v>
      </c>
      <c r="D215" s="30" t="s">
        <v>134</v>
      </c>
      <c r="E215" s="30" t="s">
        <v>905</v>
      </c>
      <c r="H215" s="28" t="s">
        <v>111</v>
      </c>
      <c r="L215" s="55">
        <f>VLOOKUP($A215, Stat!$A$1:$C$1000, 2,0)</f>
        <v>52</v>
      </c>
      <c r="M215" s="55">
        <f>VLOOKUP($A215, Stat!$A$1:$C$1000, 3,0)</f>
        <v>14</v>
      </c>
      <c r="U215" s="30">
        <v>50</v>
      </c>
      <c r="V215" s="30">
        <v>0</v>
      </c>
      <c r="X215" s="30" t="s">
        <v>689</v>
      </c>
      <c r="Z215" s="30" t="s">
        <v>137</v>
      </c>
    </row>
    <row r="216" spans="1:26" ht="13.15" customHeight="1" x14ac:dyDescent="0.2">
      <c r="A216" s="30">
        <v>291</v>
      </c>
      <c r="B216" s="30" t="s">
        <v>13</v>
      </c>
      <c r="C216" s="30" t="s">
        <v>93</v>
      </c>
      <c r="D216" s="30" t="s">
        <v>487</v>
      </c>
      <c r="E216" s="30" t="s">
        <v>133</v>
      </c>
      <c r="F216" s="70">
        <v>12</v>
      </c>
      <c r="H216" s="28" t="s">
        <v>111</v>
      </c>
      <c r="K216" s="28" t="s">
        <v>967</v>
      </c>
      <c r="L216" s="55">
        <f>VLOOKUP($A216, Stat!$A$1:$C$1000, 2,0)</f>
        <v>2</v>
      </c>
      <c r="M216" s="55">
        <f>VLOOKUP($A216, Stat!$A$1:$C$1000, 3,0)</f>
        <v>1</v>
      </c>
      <c r="N216" s="27">
        <v>1</v>
      </c>
      <c r="U216" s="30">
        <v>50</v>
      </c>
      <c r="V216" s="30">
        <v>0</v>
      </c>
      <c r="Z216" s="30" t="s">
        <v>135</v>
      </c>
    </row>
    <row r="217" spans="1:26" ht="13.15" customHeight="1" x14ac:dyDescent="0.2">
      <c r="A217" s="30">
        <v>292</v>
      </c>
      <c r="B217" s="30" t="s">
        <v>13</v>
      </c>
      <c r="C217" s="30" t="s">
        <v>93</v>
      </c>
      <c r="D217" s="30" t="s">
        <v>493</v>
      </c>
      <c r="E217" s="30" t="s">
        <v>136</v>
      </c>
      <c r="F217" s="70">
        <v>12</v>
      </c>
      <c r="H217" s="28" t="s">
        <v>111</v>
      </c>
      <c r="K217" s="28" t="s">
        <v>967</v>
      </c>
      <c r="L217" s="55">
        <f>VLOOKUP($A217, Stat!$A$1:$C$1000, 2,0)</f>
        <v>1</v>
      </c>
      <c r="M217" s="55">
        <f>VLOOKUP($A217, Stat!$A$1:$C$1000, 3,0)</f>
        <v>1</v>
      </c>
      <c r="N217" s="27">
        <v>1</v>
      </c>
      <c r="U217" s="30">
        <v>50</v>
      </c>
      <c r="V217" s="30">
        <v>0</v>
      </c>
      <c r="Z217" s="30" t="s">
        <v>504</v>
      </c>
    </row>
    <row r="218" spans="1:26" x14ac:dyDescent="0.2">
      <c r="A218" s="30">
        <v>295</v>
      </c>
      <c r="B218" s="30" t="s">
        <v>13</v>
      </c>
      <c r="C218" s="30" t="s">
        <v>93</v>
      </c>
      <c r="D218" s="30" t="s">
        <v>493</v>
      </c>
      <c r="E218" s="30" t="s">
        <v>735</v>
      </c>
      <c r="F218" s="70">
        <v>12</v>
      </c>
      <c r="H218" s="28" t="s">
        <v>111</v>
      </c>
      <c r="K218" s="28" t="s">
        <v>967</v>
      </c>
      <c r="L218" s="55">
        <f>VLOOKUP($A218, Stat!$A$1:$C$1000, 2,0)</f>
        <v>0</v>
      </c>
      <c r="M218" s="55">
        <f>VLOOKUP($A218, Stat!$A$1:$C$1000, 3,0)</f>
        <v>0</v>
      </c>
      <c r="N218" s="27">
        <v>1</v>
      </c>
      <c r="U218" s="30">
        <v>50</v>
      </c>
      <c r="V218" s="30">
        <v>0</v>
      </c>
      <c r="Z218" s="30" t="s">
        <v>983</v>
      </c>
    </row>
    <row r="219" spans="1:26" x14ac:dyDescent="0.2">
      <c r="A219" s="30">
        <v>296</v>
      </c>
      <c r="B219" s="30" t="s">
        <v>13</v>
      </c>
      <c r="C219" s="30" t="s">
        <v>93</v>
      </c>
      <c r="D219" s="30" t="s">
        <v>493</v>
      </c>
      <c r="E219" s="30" t="s">
        <v>734</v>
      </c>
      <c r="F219" s="70">
        <v>12</v>
      </c>
      <c r="H219" s="28" t="s">
        <v>111</v>
      </c>
      <c r="K219" s="28" t="s">
        <v>967</v>
      </c>
      <c r="L219" s="55">
        <f>VLOOKUP($A219, Stat!$A$1:$C$1000, 2,0)</f>
        <v>0</v>
      </c>
      <c r="M219" s="55">
        <f>VLOOKUP($A219, Stat!$A$1:$C$1000, 3,0)</f>
        <v>0</v>
      </c>
      <c r="N219" s="27">
        <v>1</v>
      </c>
      <c r="U219" s="30">
        <v>50</v>
      </c>
      <c r="V219" s="30">
        <v>0</v>
      </c>
      <c r="Z219" s="30" t="s">
        <v>984</v>
      </c>
    </row>
    <row r="220" spans="1:26" x14ac:dyDescent="0.2">
      <c r="A220" s="30">
        <v>301</v>
      </c>
      <c r="B220" s="30" t="s">
        <v>95</v>
      </c>
      <c r="C220" s="30" t="s">
        <v>95</v>
      </c>
      <c r="D220" s="30" t="s">
        <v>480</v>
      </c>
      <c r="E220" s="30" t="s">
        <v>640</v>
      </c>
      <c r="H220" s="28" t="s">
        <v>111</v>
      </c>
      <c r="L220" s="55">
        <f>VLOOKUP($A220, Stat!$A$1:$C$1000, 2,0)</f>
        <v>22</v>
      </c>
      <c r="M220" s="55">
        <f>VLOOKUP($A220, Stat!$A$1:$C$1000, 3,0)</f>
        <v>3</v>
      </c>
      <c r="N220" s="27">
        <v>1</v>
      </c>
      <c r="U220" s="30">
        <v>0</v>
      </c>
      <c r="V220" s="30">
        <v>1</v>
      </c>
      <c r="Z220" s="30" t="s">
        <v>148</v>
      </c>
    </row>
    <row r="221" spans="1:26" x14ac:dyDescent="0.2">
      <c r="A221" s="30">
        <v>302</v>
      </c>
      <c r="B221" s="30" t="s">
        <v>28</v>
      </c>
      <c r="C221" s="30" t="s">
        <v>160</v>
      </c>
      <c r="D221" s="30" t="s">
        <v>590</v>
      </c>
      <c r="E221" s="30" t="s">
        <v>560</v>
      </c>
      <c r="F221" s="27">
        <v>10</v>
      </c>
      <c r="H221" s="28" t="s">
        <v>111</v>
      </c>
      <c r="K221" s="28" t="s">
        <v>590</v>
      </c>
      <c r="L221" s="55">
        <f>VLOOKUP($A221, Stat!$A$1:$C$1000, 2,0)</f>
        <v>15</v>
      </c>
      <c r="M221" s="55">
        <f>VLOOKUP($A221, Stat!$A$1:$C$1000, 3,0)</f>
        <v>0</v>
      </c>
      <c r="N221" s="58"/>
      <c r="U221" s="30">
        <v>50</v>
      </c>
      <c r="V221" s="30">
        <v>0</v>
      </c>
      <c r="W221" s="30">
        <v>35</v>
      </c>
      <c r="Z221" s="30" t="s">
        <v>875</v>
      </c>
    </row>
    <row r="222" spans="1:26" x14ac:dyDescent="0.2">
      <c r="A222" s="30">
        <v>303</v>
      </c>
      <c r="B222" s="30" t="s">
        <v>28</v>
      </c>
      <c r="C222" s="30" t="s">
        <v>160</v>
      </c>
      <c r="D222" s="30" t="s">
        <v>591</v>
      </c>
      <c r="E222" s="30" t="s">
        <v>563</v>
      </c>
      <c r="F222" s="27">
        <v>10</v>
      </c>
      <c r="H222" s="28" t="s">
        <v>111</v>
      </c>
      <c r="K222" s="28" t="s">
        <v>590</v>
      </c>
      <c r="L222" s="55">
        <f>VLOOKUP($A222, Stat!$A$1:$C$1000, 2,0)</f>
        <v>6</v>
      </c>
      <c r="M222" s="55">
        <f>VLOOKUP($A222, Stat!$A$1:$C$1000, 3,0)</f>
        <v>0</v>
      </c>
      <c r="N222" s="58"/>
      <c r="U222" s="30">
        <v>50</v>
      </c>
      <c r="V222" s="30">
        <v>0</v>
      </c>
      <c r="W222" s="30">
        <v>35</v>
      </c>
      <c r="Z222" s="30" t="s">
        <v>876</v>
      </c>
    </row>
    <row r="223" spans="1:26" x14ac:dyDescent="0.2">
      <c r="A223" s="30">
        <v>305</v>
      </c>
      <c r="B223" s="30" t="s">
        <v>28</v>
      </c>
      <c r="C223" s="30" t="s">
        <v>566</v>
      </c>
      <c r="D223" s="30" t="s">
        <v>548</v>
      </c>
      <c r="E223" s="30" t="s">
        <v>549</v>
      </c>
      <c r="H223" s="28" t="s">
        <v>111</v>
      </c>
      <c r="L223" s="55">
        <f>VLOOKUP($A223, Stat!$A$1:$C$1000, 2,0)</f>
        <v>47</v>
      </c>
      <c r="M223" s="55">
        <f>VLOOKUP($A223, Stat!$A$1:$C$1000, 3,0)</f>
        <v>13</v>
      </c>
      <c r="N223" s="27">
        <v>1</v>
      </c>
      <c r="U223" s="30">
        <v>0</v>
      </c>
      <c r="V223" s="30">
        <v>0</v>
      </c>
      <c r="Z223" s="30" t="s">
        <v>154</v>
      </c>
    </row>
    <row r="224" spans="1:26" x14ac:dyDescent="0.2">
      <c r="A224" s="30">
        <v>308</v>
      </c>
      <c r="B224" s="30" t="s">
        <v>13</v>
      </c>
      <c r="C224" s="30" t="s">
        <v>13</v>
      </c>
      <c r="D224" s="30" t="s">
        <v>845</v>
      </c>
      <c r="E224" s="30" t="s">
        <v>846</v>
      </c>
      <c r="F224" s="27">
        <v>1</v>
      </c>
      <c r="H224" s="28" t="s">
        <v>111</v>
      </c>
      <c r="L224" s="55">
        <f>VLOOKUP($A224, Stat!$A$1:$C$1000, 2,0)</f>
        <v>2</v>
      </c>
      <c r="M224" s="57">
        <f>VLOOKUP($A224, Stat!$A$1:$C$1000, 3,0)</f>
        <v>1</v>
      </c>
      <c r="N224" s="27">
        <v>1</v>
      </c>
      <c r="U224" s="30">
        <v>50</v>
      </c>
      <c r="V224" s="30">
        <v>0</v>
      </c>
      <c r="Z224" s="30" t="s">
        <v>847</v>
      </c>
    </row>
    <row r="225" spans="1:26" x14ac:dyDescent="0.2">
      <c r="A225" s="30">
        <v>309</v>
      </c>
      <c r="B225" s="30" t="s">
        <v>13</v>
      </c>
      <c r="C225" s="30" t="s">
        <v>13</v>
      </c>
      <c r="D225" s="30" t="s">
        <v>845</v>
      </c>
      <c r="E225" s="30" t="s">
        <v>844</v>
      </c>
      <c r="F225" s="27">
        <v>1</v>
      </c>
      <c r="H225" s="28" t="s">
        <v>111</v>
      </c>
      <c r="L225" s="55">
        <f>VLOOKUP($A225, Stat!$A$1:$C$1000, 2,0)</f>
        <v>2</v>
      </c>
      <c r="M225" s="55">
        <f>VLOOKUP($A225, Stat!$A$1:$C$1000, 3,0)</f>
        <v>1</v>
      </c>
      <c r="N225" s="27">
        <v>1</v>
      </c>
      <c r="U225" s="30">
        <v>50</v>
      </c>
      <c r="V225" s="30">
        <v>0</v>
      </c>
      <c r="Z225" s="30" t="s">
        <v>848</v>
      </c>
    </row>
    <row r="226" spans="1:26" x14ac:dyDescent="0.2">
      <c r="A226" s="30">
        <v>310</v>
      </c>
      <c r="B226" s="30" t="s">
        <v>13</v>
      </c>
      <c r="C226" s="30" t="s">
        <v>13</v>
      </c>
      <c r="D226" s="30" t="s">
        <v>524</v>
      </c>
      <c r="E226" s="30" t="s">
        <v>523</v>
      </c>
      <c r="F226" s="27">
        <v>1</v>
      </c>
      <c r="H226" s="28" t="s">
        <v>111</v>
      </c>
      <c r="L226" s="55">
        <f>VLOOKUP($A226, Stat!$A$1:$C$1000, 2,0)</f>
        <v>3</v>
      </c>
      <c r="M226" s="55">
        <f>VLOOKUP($A226, Stat!$A$1:$C$1000, 3,0)</f>
        <v>0</v>
      </c>
      <c r="N226" s="58"/>
      <c r="O226" s="27">
        <v>1</v>
      </c>
      <c r="U226" s="30">
        <v>0</v>
      </c>
      <c r="V226" s="30">
        <v>0</v>
      </c>
      <c r="Z226" s="30" t="s">
        <v>877</v>
      </c>
    </row>
    <row r="227" spans="1:26" x14ac:dyDescent="0.2">
      <c r="A227" s="30">
        <v>311</v>
      </c>
      <c r="B227" s="30" t="s">
        <v>28</v>
      </c>
      <c r="C227" s="30" t="s">
        <v>566</v>
      </c>
      <c r="D227" s="30" t="s">
        <v>551</v>
      </c>
      <c r="E227" s="30" t="s">
        <v>555</v>
      </c>
      <c r="F227" s="27">
        <v>3</v>
      </c>
      <c r="H227" s="28" t="s">
        <v>111</v>
      </c>
      <c r="U227" s="30">
        <v>0</v>
      </c>
      <c r="V227" s="30">
        <v>0</v>
      </c>
      <c r="Y227" s="30" t="s">
        <v>440</v>
      </c>
    </row>
    <row r="228" spans="1:26" x14ac:dyDescent="0.2">
      <c r="A228" s="30">
        <v>312</v>
      </c>
      <c r="B228" s="30" t="s">
        <v>28</v>
      </c>
      <c r="C228" s="30" t="s">
        <v>566</v>
      </c>
      <c r="D228" s="30" t="s">
        <v>553</v>
      </c>
      <c r="E228" s="30" t="s">
        <v>555</v>
      </c>
      <c r="F228" s="27">
        <v>3</v>
      </c>
      <c r="H228" s="28" t="s">
        <v>111</v>
      </c>
      <c r="U228" s="30">
        <v>0</v>
      </c>
      <c r="V228" s="30">
        <v>0</v>
      </c>
      <c r="Y228" s="30" t="s">
        <v>440</v>
      </c>
    </row>
    <row r="229" spans="1:26" x14ac:dyDescent="0.2">
      <c r="A229" s="30">
        <v>313</v>
      </c>
      <c r="B229" s="30" t="s">
        <v>28</v>
      </c>
      <c r="C229" s="30" t="s">
        <v>566</v>
      </c>
      <c r="D229" s="30" t="s">
        <v>552</v>
      </c>
      <c r="E229" s="30" t="s">
        <v>555</v>
      </c>
      <c r="F229" s="27">
        <v>3</v>
      </c>
      <c r="H229" s="28" t="s">
        <v>111</v>
      </c>
      <c r="R229" s="27">
        <v>311.40499999999997</v>
      </c>
      <c r="U229" s="30">
        <v>50</v>
      </c>
      <c r="V229" s="30">
        <v>0</v>
      </c>
      <c r="Y229" s="30" t="s">
        <v>440</v>
      </c>
    </row>
    <row r="230" spans="1:26" x14ac:dyDescent="0.2">
      <c r="A230" s="30">
        <v>314</v>
      </c>
      <c r="B230" s="30" t="s">
        <v>28</v>
      </c>
      <c r="C230" s="30" t="s">
        <v>566</v>
      </c>
      <c r="D230" s="30" t="s">
        <v>554</v>
      </c>
      <c r="E230" s="30" t="s">
        <v>555</v>
      </c>
      <c r="F230" s="27">
        <v>3</v>
      </c>
      <c r="H230" s="28" t="s">
        <v>111</v>
      </c>
      <c r="R230" s="27">
        <v>312.40600000000001</v>
      </c>
      <c r="U230" s="30">
        <v>50</v>
      </c>
      <c r="V230" s="30">
        <v>0</v>
      </c>
      <c r="Y230" s="30" t="s">
        <v>440</v>
      </c>
    </row>
    <row r="231" spans="1:26" x14ac:dyDescent="0.2">
      <c r="A231" s="30">
        <v>316</v>
      </c>
      <c r="B231" s="30" t="s">
        <v>13</v>
      </c>
      <c r="C231" s="30" t="s">
        <v>41</v>
      </c>
      <c r="D231" s="30" t="s">
        <v>856</v>
      </c>
      <c r="E231" s="30" t="s">
        <v>39</v>
      </c>
      <c r="F231" s="27">
        <v>7</v>
      </c>
      <c r="G231" s="27">
        <v>1</v>
      </c>
      <c r="H231" s="28"/>
      <c r="K231" s="27" t="s">
        <v>941</v>
      </c>
      <c r="L231" s="55">
        <f>VLOOKUP($A231, Stat!$A$1:$C$1000, 2,0)</f>
        <v>19</v>
      </c>
      <c r="M231" s="55">
        <f>VLOOKUP($A231, Stat!$A$1:$C$1000, 3,0)</f>
        <v>5</v>
      </c>
      <c r="N231" s="27">
        <v>1</v>
      </c>
      <c r="U231" s="30">
        <v>100</v>
      </c>
      <c r="V231" s="30">
        <v>0</v>
      </c>
      <c r="X231" s="30" t="s">
        <v>693</v>
      </c>
      <c r="Y231" s="30" t="s">
        <v>858</v>
      </c>
      <c r="Z231" s="30" t="s">
        <v>780</v>
      </c>
    </row>
    <row r="232" spans="1:26" x14ac:dyDescent="0.2">
      <c r="A232" s="30">
        <v>321</v>
      </c>
      <c r="B232" s="30" t="s">
        <v>13</v>
      </c>
      <c r="C232" s="30" t="s">
        <v>13</v>
      </c>
      <c r="D232" s="30" t="s">
        <v>536</v>
      </c>
      <c r="E232" s="30" t="s">
        <v>540</v>
      </c>
      <c r="F232" s="27">
        <v>9</v>
      </c>
      <c r="H232" s="28" t="s">
        <v>111</v>
      </c>
      <c r="K232" s="61" t="s">
        <v>537</v>
      </c>
      <c r="L232" s="55">
        <f>VLOOKUP($A232, Stat!$A$1:$C$1000, 2,0)</f>
        <v>7</v>
      </c>
      <c r="M232" s="55">
        <f>VLOOKUP($A232, Stat!$A$1:$C$1000, 3,0)</f>
        <v>1</v>
      </c>
      <c r="N232" s="27">
        <v>1</v>
      </c>
      <c r="U232" s="30">
        <v>50</v>
      </c>
      <c r="V232" s="30">
        <v>0</v>
      </c>
      <c r="Y232" s="30" t="s">
        <v>906</v>
      </c>
      <c r="Z232" s="30" t="s">
        <v>368</v>
      </c>
    </row>
    <row r="233" spans="1:26" x14ac:dyDescent="0.2">
      <c r="A233" s="30">
        <v>324</v>
      </c>
      <c r="B233" s="30" t="s">
        <v>13</v>
      </c>
      <c r="C233" s="30" t="s">
        <v>41</v>
      </c>
      <c r="D233" s="30" t="s">
        <v>485</v>
      </c>
      <c r="E233" s="30" t="s">
        <v>899</v>
      </c>
      <c r="F233" s="27">
        <v>2</v>
      </c>
      <c r="H233" s="28" t="s">
        <v>111</v>
      </c>
      <c r="L233" s="55">
        <f>VLOOKUP($A233, Stat!$A$1:$C$1000, 2,0)</f>
        <v>23</v>
      </c>
      <c r="M233" s="55">
        <f>VLOOKUP($A233, Stat!$A$1:$C$1000, 3,0)</f>
        <v>9</v>
      </c>
      <c r="N233" s="27">
        <v>1</v>
      </c>
      <c r="U233" s="30">
        <v>0</v>
      </c>
      <c r="V233" s="30">
        <v>0</v>
      </c>
      <c r="X233" s="30" t="s">
        <v>635</v>
      </c>
      <c r="Z233" s="30" t="s">
        <v>205</v>
      </c>
    </row>
    <row r="234" spans="1:26" x14ac:dyDescent="0.2">
      <c r="A234" s="30">
        <v>325</v>
      </c>
      <c r="B234" s="30" t="s">
        <v>13</v>
      </c>
      <c r="C234" s="30" t="s">
        <v>41</v>
      </c>
      <c r="D234" s="30" t="s">
        <v>484</v>
      </c>
      <c r="E234" s="30" t="s">
        <v>900</v>
      </c>
      <c r="F234" s="27">
        <v>2</v>
      </c>
      <c r="G234" s="27">
        <v>1</v>
      </c>
      <c r="H234" s="28" t="s">
        <v>111</v>
      </c>
      <c r="L234" s="55">
        <f>VLOOKUP($A234, Stat!$A$1:$C$1000, 2,0)</f>
        <v>0</v>
      </c>
      <c r="M234" s="55">
        <f>VLOOKUP($A234, Stat!$A$1:$C$1000, 3,0)</f>
        <v>0</v>
      </c>
      <c r="N234" s="27">
        <v>1</v>
      </c>
      <c r="U234" s="30">
        <v>0</v>
      </c>
      <c r="V234" s="30">
        <v>0</v>
      </c>
      <c r="Y234" s="30" t="s">
        <v>203</v>
      </c>
      <c r="Z234" s="30" t="s">
        <v>201</v>
      </c>
    </row>
    <row r="235" spans="1:26" x14ac:dyDescent="0.2">
      <c r="A235" s="30">
        <v>326</v>
      </c>
      <c r="B235" s="30" t="s">
        <v>13</v>
      </c>
      <c r="C235" s="30" t="s">
        <v>41</v>
      </c>
      <c r="D235" s="30" t="s">
        <v>514</v>
      </c>
      <c r="E235" s="30" t="s">
        <v>900</v>
      </c>
      <c r="F235" s="27">
        <v>2</v>
      </c>
      <c r="G235" s="27">
        <v>1</v>
      </c>
      <c r="H235" s="28" t="s">
        <v>111</v>
      </c>
      <c r="L235" s="55">
        <f>VLOOKUP($A235, Stat!$A$1:$C$1000, 2,0)</f>
        <v>3</v>
      </c>
      <c r="M235" s="55">
        <f>VLOOKUP($A235, Stat!$A$1:$C$1000, 3,0)</f>
        <v>0</v>
      </c>
      <c r="N235" s="27">
        <v>1</v>
      </c>
      <c r="U235" s="30">
        <v>0</v>
      </c>
      <c r="V235" s="30">
        <v>0</v>
      </c>
      <c r="Y235" s="30" t="s">
        <v>203</v>
      </c>
      <c r="Z235" s="30" t="s">
        <v>202</v>
      </c>
    </row>
    <row r="236" spans="1:26" x14ac:dyDescent="0.2">
      <c r="A236" s="30">
        <v>331</v>
      </c>
      <c r="B236" s="30" t="s">
        <v>13</v>
      </c>
      <c r="C236" s="30" t="s">
        <v>495</v>
      </c>
      <c r="D236" s="30" t="s">
        <v>910</v>
      </c>
      <c r="E236" s="30" t="s">
        <v>944</v>
      </c>
      <c r="H236" s="28" t="s">
        <v>111</v>
      </c>
      <c r="L236" s="57">
        <f>VLOOKUP($A236, Stat!$A$1:$C$1000, 2,0)</f>
        <v>0</v>
      </c>
      <c r="M236" s="57">
        <f>VLOOKUP($A236, Stat!$A$1:$C$1000, 3,0)</f>
        <v>0</v>
      </c>
      <c r="N236" s="27">
        <v>1</v>
      </c>
      <c r="U236" s="30">
        <v>50</v>
      </c>
      <c r="V236" s="30">
        <v>0</v>
      </c>
      <c r="Z236" s="30" t="s">
        <v>913</v>
      </c>
    </row>
    <row r="237" spans="1:26" x14ac:dyDescent="0.2">
      <c r="A237" s="30">
        <v>335</v>
      </c>
      <c r="B237" s="30" t="s">
        <v>13</v>
      </c>
      <c r="C237" s="30" t="s">
        <v>719</v>
      </c>
      <c r="D237" s="30" t="s">
        <v>762</v>
      </c>
      <c r="E237" s="30" t="s">
        <v>761</v>
      </c>
      <c r="F237" s="27">
        <v>1</v>
      </c>
      <c r="H237" s="28" t="s">
        <v>111</v>
      </c>
      <c r="L237" s="55">
        <f>VLOOKUP($A237, Stat!$A$1:$C$1000, 2,0)</f>
        <v>146</v>
      </c>
      <c r="M237" s="55">
        <f>VLOOKUP($A237, Stat!$A$1:$C$1000, 3,0)</f>
        <v>1</v>
      </c>
      <c r="N237" s="58"/>
      <c r="U237" s="30">
        <v>50</v>
      </c>
      <c r="V237" s="30">
        <v>0</v>
      </c>
      <c r="Z237" s="30" t="s">
        <v>505</v>
      </c>
    </row>
    <row r="238" spans="1:26" x14ac:dyDescent="0.2">
      <c r="A238" s="30">
        <v>341</v>
      </c>
      <c r="B238" s="30" t="s">
        <v>95</v>
      </c>
      <c r="C238" s="30" t="s">
        <v>95</v>
      </c>
      <c r="D238" s="30" t="s">
        <v>722</v>
      </c>
      <c r="E238" s="30" t="s">
        <v>180</v>
      </c>
      <c r="H238" s="28" t="s">
        <v>111</v>
      </c>
      <c r="L238" s="55">
        <f>VLOOKUP($A238, Stat!$A$1:$C$1000, 2,0)</f>
        <v>43</v>
      </c>
      <c r="M238" s="55">
        <f>VLOOKUP($A238, Stat!$A$1:$C$1000, 3,0)</f>
        <v>0</v>
      </c>
      <c r="N238" s="58"/>
      <c r="O238" s="27">
        <v>1</v>
      </c>
      <c r="S238" s="27">
        <v>1</v>
      </c>
      <c r="U238" s="30">
        <v>0</v>
      </c>
      <c r="V238" s="30">
        <v>0</v>
      </c>
      <c r="Z238" s="30" t="s">
        <v>878</v>
      </c>
    </row>
    <row r="239" spans="1:26" x14ac:dyDescent="0.2">
      <c r="A239" s="30">
        <v>342</v>
      </c>
      <c r="B239" s="30" t="s">
        <v>28</v>
      </c>
      <c r="C239" s="30" t="s">
        <v>11</v>
      </c>
      <c r="D239" s="30" t="s">
        <v>398</v>
      </c>
      <c r="E239" s="30" t="s">
        <v>545</v>
      </c>
      <c r="F239" s="28" t="s">
        <v>303</v>
      </c>
      <c r="H239" s="28" t="s">
        <v>111</v>
      </c>
      <c r="K239" s="28"/>
      <c r="L239" s="56">
        <f>VLOOKUP($A239, Stat!$A$1:$C$1000, 2,0)</f>
        <v>0</v>
      </c>
      <c r="M239" s="55">
        <f>VLOOKUP($A239, Stat!$A$1:$C$1000, 3,0)</f>
        <v>0</v>
      </c>
      <c r="U239" s="30">
        <v>0</v>
      </c>
      <c r="V239" s="30">
        <v>0</v>
      </c>
      <c r="W239" s="30">
        <v>2345</v>
      </c>
      <c r="Y239" s="30" t="s">
        <v>196</v>
      </c>
    </row>
    <row r="240" spans="1:26" x14ac:dyDescent="0.2">
      <c r="A240" s="30">
        <v>343</v>
      </c>
      <c r="B240" s="30" t="s">
        <v>28</v>
      </c>
      <c r="C240" s="30" t="s">
        <v>11</v>
      </c>
      <c r="D240" s="30" t="s">
        <v>398</v>
      </c>
      <c r="E240" s="30" t="s">
        <v>492</v>
      </c>
      <c r="F240" s="28" t="s">
        <v>303</v>
      </c>
      <c r="H240" s="28" t="s">
        <v>111</v>
      </c>
      <c r="K240" s="28"/>
      <c r="L240" s="55">
        <f>VLOOKUP($A240, Stat!$A$1:$C$1000, 2,0)</f>
        <v>7</v>
      </c>
      <c r="M240" s="55">
        <f>VLOOKUP($A240, Stat!$A$1:$C$1000, 3,0)</f>
        <v>2</v>
      </c>
      <c r="N240" s="27">
        <v>1</v>
      </c>
      <c r="R240" s="27">
        <v>342</v>
      </c>
      <c r="U240" s="30">
        <v>50</v>
      </c>
      <c r="V240" s="30">
        <v>0</v>
      </c>
      <c r="W240" s="30">
        <v>2345</v>
      </c>
      <c r="Y240" s="30" t="s">
        <v>196</v>
      </c>
    </row>
    <row r="241" spans="1:26" x14ac:dyDescent="0.2">
      <c r="A241" s="30">
        <v>344</v>
      </c>
      <c r="B241" s="30" t="s">
        <v>28</v>
      </c>
      <c r="C241" s="30" t="s">
        <v>566</v>
      </c>
      <c r="D241" s="30" t="s">
        <v>182</v>
      </c>
      <c r="E241" s="30" t="s">
        <v>802</v>
      </c>
      <c r="F241" s="70">
        <v>9</v>
      </c>
      <c r="H241" s="28" t="s">
        <v>111</v>
      </c>
      <c r="K241" s="28" t="s">
        <v>226</v>
      </c>
      <c r="L241" s="55">
        <f>VLOOKUP($A241, Stat!$A$1:$C$1000, 2,0)</f>
        <v>17</v>
      </c>
      <c r="M241" s="55">
        <f>VLOOKUP($A241, Stat!$A$1:$C$1000, 3,0)</f>
        <v>0</v>
      </c>
      <c r="N241" s="58"/>
      <c r="U241" s="30">
        <v>0</v>
      </c>
      <c r="V241" s="30">
        <v>0</v>
      </c>
      <c r="Z241" s="30" t="s">
        <v>879</v>
      </c>
    </row>
    <row r="242" spans="1:26" x14ac:dyDescent="0.2">
      <c r="A242" s="30">
        <v>345</v>
      </c>
      <c r="B242" s="30" t="s">
        <v>28</v>
      </c>
      <c r="C242" s="30" t="s">
        <v>566</v>
      </c>
      <c r="D242" s="30" t="s">
        <v>182</v>
      </c>
      <c r="E242" s="30" t="s">
        <v>803</v>
      </c>
      <c r="F242" s="70">
        <v>9</v>
      </c>
      <c r="H242" s="28" t="s">
        <v>111</v>
      </c>
      <c r="K242" s="28" t="s">
        <v>226</v>
      </c>
      <c r="L242" s="55">
        <f>VLOOKUP($A242, Stat!$A$1:$C$1000, 2,0)</f>
        <v>27</v>
      </c>
      <c r="M242" s="55">
        <f>VLOOKUP($A242, Stat!$A$1:$C$1000, 3,0)</f>
        <v>0</v>
      </c>
      <c r="N242" s="58"/>
      <c r="U242" s="30">
        <v>0</v>
      </c>
      <c r="V242" s="30">
        <v>0</v>
      </c>
      <c r="Z242" s="30" t="s">
        <v>879</v>
      </c>
    </row>
    <row r="243" spans="1:26" x14ac:dyDescent="0.2">
      <c r="A243" s="30">
        <v>346</v>
      </c>
      <c r="B243" s="30" t="s">
        <v>28</v>
      </c>
      <c r="C243" s="30" t="s">
        <v>566</v>
      </c>
      <c r="D243" s="30" t="s">
        <v>182</v>
      </c>
      <c r="E243" s="30" t="s">
        <v>804</v>
      </c>
      <c r="F243" s="70">
        <v>9</v>
      </c>
      <c r="H243" s="28" t="s">
        <v>111</v>
      </c>
      <c r="K243" s="28" t="s">
        <v>226</v>
      </c>
      <c r="L243" s="55">
        <f>VLOOKUP($A243, Stat!$A$1:$C$1000, 2,0)</f>
        <v>3</v>
      </c>
      <c r="M243" s="55">
        <f>VLOOKUP($A243, Stat!$A$1:$C$1000, 3,0)</f>
        <v>0</v>
      </c>
      <c r="N243" s="58"/>
      <c r="U243" s="30">
        <v>0</v>
      </c>
      <c r="V243" s="30">
        <v>0</v>
      </c>
      <c r="Z243" s="30" t="s">
        <v>879</v>
      </c>
    </row>
    <row r="244" spans="1:26" x14ac:dyDescent="0.2">
      <c r="A244" s="30">
        <v>348</v>
      </c>
      <c r="B244" s="30" t="s">
        <v>28</v>
      </c>
      <c r="C244" s="30" t="s">
        <v>566</v>
      </c>
      <c r="D244" s="30" t="s">
        <v>559</v>
      </c>
      <c r="E244" s="30" t="s">
        <v>891</v>
      </c>
      <c r="F244" s="70">
        <v>5</v>
      </c>
      <c r="H244" s="28" t="s">
        <v>111</v>
      </c>
      <c r="L244" s="55">
        <f>VLOOKUP($A244, Stat!$A$1:$C$1000, 2,0)</f>
        <v>2</v>
      </c>
      <c r="M244" s="55">
        <f>VLOOKUP($A244, Stat!$A$1:$C$1000, 3,0)</f>
        <v>2</v>
      </c>
      <c r="N244" s="27">
        <v>1</v>
      </c>
      <c r="U244" s="30">
        <v>50</v>
      </c>
      <c r="V244" s="30">
        <v>0</v>
      </c>
      <c r="Z244" s="30" t="s">
        <v>293</v>
      </c>
    </row>
    <row r="245" spans="1:26" x14ac:dyDescent="0.2">
      <c r="A245" s="30">
        <v>349</v>
      </c>
      <c r="B245" s="30" t="s">
        <v>28</v>
      </c>
      <c r="C245" s="30" t="s">
        <v>648</v>
      </c>
      <c r="D245" s="30" t="s">
        <v>543</v>
      </c>
      <c r="E245" s="30" t="s">
        <v>187</v>
      </c>
      <c r="F245" s="70">
        <v>8</v>
      </c>
      <c r="H245" s="28" t="s">
        <v>111</v>
      </c>
      <c r="K245" s="61" t="s">
        <v>185</v>
      </c>
      <c r="L245" s="55">
        <f>VLOOKUP($A245, Stat!$A$1:$C$1000, 2,0)</f>
        <v>52</v>
      </c>
      <c r="M245" s="55">
        <f>VLOOKUP($A245, Stat!$A$1:$C$1000, 3,0)</f>
        <v>1</v>
      </c>
      <c r="U245" s="30">
        <v>0</v>
      </c>
      <c r="V245" s="30">
        <v>0</v>
      </c>
      <c r="Z245" s="30" t="s">
        <v>880</v>
      </c>
    </row>
    <row r="246" spans="1:26" x14ac:dyDescent="0.2">
      <c r="A246" s="30">
        <v>350</v>
      </c>
      <c r="B246" s="30" t="s">
        <v>28</v>
      </c>
      <c r="C246" s="30" t="s">
        <v>648</v>
      </c>
      <c r="D246" s="30" t="s">
        <v>543</v>
      </c>
      <c r="E246" s="30" t="s">
        <v>186</v>
      </c>
      <c r="F246" s="70">
        <v>8</v>
      </c>
      <c r="H246" s="28" t="s">
        <v>111</v>
      </c>
      <c r="K246" s="27" t="s">
        <v>185</v>
      </c>
      <c r="L246" s="55">
        <f>VLOOKUP($A246, Stat!$A$1:$C$1000, 2,0)</f>
        <v>43</v>
      </c>
      <c r="M246" s="55">
        <f>VLOOKUP($A246, Stat!$A$1:$C$1000, 3,0)</f>
        <v>0</v>
      </c>
      <c r="N246" s="58"/>
      <c r="U246" s="30">
        <v>0</v>
      </c>
      <c r="V246" s="30">
        <v>0</v>
      </c>
      <c r="Z246" s="30" t="s">
        <v>881</v>
      </c>
    </row>
    <row r="247" spans="1:26" x14ac:dyDescent="0.2">
      <c r="A247" s="30">
        <v>360</v>
      </c>
      <c r="B247" s="30" t="s">
        <v>28</v>
      </c>
      <c r="C247" s="30" t="s">
        <v>11</v>
      </c>
      <c r="D247" s="30" t="s">
        <v>396</v>
      </c>
      <c r="E247" s="30" t="s">
        <v>545</v>
      </c>
      <c r="F247" s="28" t="s">
        <v>303</v>
      </c>
      <c r="H247" s="28" t="s">
        <v>111</v>
      </c>
      <c r="K247" s="28"/>
      <c r="L247" s="55">
        <f>VLOOKUP($A247, Stat!$A$1:$C$1000, 2,0)</f>
        <v>1</v>
      </c>
      <c r="M247" s="55">
        <f>VLOOKUP($A247, Stat!$A$1:$C$1000, 3,0)</f>
        <v>0</v>
      </c>
      <c r="N247" s="27">
        <v>1</v>
      </c>
      <c r="R247" s="27">
        <v>368</v>
      </c>
      <c r="U247" s="30">
        <v>50</v>
      </c>
      <c r="V247" s="30">
        <v>0</v>
      </c>
      <c r="W247" s="30">
        <v>2345</v>
      </c>
      <c r="Y247" s="30" t="s">
        <v>449</v>
      </c>
    </row>
    <row r="248" spans="1:26" x14ac:dyDescent="0.2">
      <c r="A248" s="30">
        <v>361</v>
      </c>
      <c r="B248" s="30" t="s">
        <v>28</v>
      </c>
      <c r="C248" s="30" t="s">
        <v>11</v>
      </c>
      <c r="D248" s="30" t="s">
        <v>396</v>
      </c>
      <c r="E248" s="30" t="s">
        <v>492</v>
      </c>
      <c r="F248" s="28" t="s">
        <v>303</v>
      </c>
      <c r="H248" s="28" t="s">
        <v>111</v>
      </c>
      <c r="K248" s="28"/>
      <c r="L248" s="55">
        <f>VLOOKUP($A248, Stat!$A$1:$C$1000, 2,0)</f>
        <v>8</v>
      </c>
      <c r="M248" s="55">
        <f>VLOOKUP($A248, Stat!$A$1:$C$1000, 3,0)</f>
        <v>3</v>
      </c>
      <c r="N248" s="27">
        <v>1</v>
      </c>
      <c r="R248" s="28" t="s">
        <v>197</v>
      </c>
      <c r="U248" s="30">
        <v>100</v>
      </c>
      <c r="V248" s="30">
        <v>0</v>
      </c>
      <c r="W248" s="30">
        <v>2345</v>
      </c>
      <c r="Y248" s="30" t="s">
        <v>449</v>
      </c>
    </row>
    <row r="249" spans="1:26" x14ac:dyDescent="0.2">
      <c r="A249" s="30">
        <v>365</v>
      </c>
      <c r="B249" s="30" t="s">
        <v>28</v>
      </c>
      <c r="C249" s="30" t="s">
        <v>11</v>
      </c>
      <c r="D249" s="30" t="s">
        <v>395</v>
      </c>
      <c r="E249" s="30" t="s">
        <v>545</v>
      </c>
      <c r="F249" s="28" t="s">
        <v>303</v>
      </c>
      <c r="H249" s="28" t="s">
        <v>111</v>
      </c>
      <c r="K249" s="28"/>
      <c r="L249" s="55">
        <f>VLOOKUP($A249, Stat!$A$1:$C$1000, 2,0)</f>
        <v>18</v>
      </c>
      <c r="M249" s="55">
        <f>VLOOKUP($A249, Stat!$A$1:$C$1000, 3,0)</f>
        <v>4</v>
      </c>
      <c r="U249" s="30">
        <v>50</v>
      </c>
      <c r="V249" s="30">
        <v>0</v>
      </c>
      <c r="W249" s="30">
        <v>2345</v>
      </c>
      <c r="Y249" s="30" t="s">
        <v>448</v>
      </c>
    </row>
    <row r="250" spans="1:26" x14ac:dyDescent="0.2">
      <c r="A250" s="30">
        <v>366</v>
      </c>
      <c r="B250" s="30" t="s">
        <v>28</v>
      </c>
      <c r="C250" s="30" t="s">
        <v>11</v>
      </c>
      <c r="D250" s="30" t="s">
        <v>395</v>
      </c>
      <c r="E250" s="30" t="s">
        <v>492</v>
      </c>
      <c r="F250" s="28" t="s">
        <v>303</v>
      </c>
      <c r="H250" s="28" t="s">
        <v>111</v>
      </c>
      <c r="K250" s="28"/>
      <c r="L250" s="55">
        <f>VLOOKUP($A250, Stat!$A$1:$C$1000, 2,0)</f>
        <v>20</v>
      </c>
      <c r="M250" s="55">
        <f>VLOOKUP($A250, Stat!$A$1:$C$1000, 3,0)</f>
        <v>5</v>
      </c>
      <c r="R250" s="27">
        <v>365</v>
      </c>
      <c r="U250" s="30">
        <v>100</v>
      </c>
      <c r="V250" s="30">
        <v>0</v>
      </c>
      <c r="W250" s="30">
        <v>2345</v>
      </c>
      <c r="Y250" s="30" t="s">
        <v>448</v>
      </c>
    </row>
    <row r="251" spans="1:26" x14ac:dyDescent="0.2">
      <c r="A251" s="30">
        <v>368</v>
      </c>
      <c r="B251" s="30" t="s">
        <v>28</v>
      </c>
      <c r="C251" s="30" t="s">
        <v>11</v>
      </c>
      <c r="D251" s="30" t="s">
        <v>394</v>
      </c>
      <c r="E251" s="30" t="s">
        <v>545</v>
      </c>
      <c r="F251" s="28" t="s">
        <v>303</v>
      </c>
      <c r="H251" s="28" t="s">
        <v>111</v>
      </c>
      <c r="K251" s="28"/>
      <c r="L251" s="55">
        <f>VLOOKUP($A251, Stat!$A$1:$C$1000, 2,0)</f>
        <v>3</v>
      </c>
      <c r="M251" s="55">
        <f>VLOOKUP($A251, Stat!$A$1:$C$1000, 3,0)</f>
        <v>1</v>
      </c>
      <c r="U251" s="30">
        <v>50</v>
      </c>
      <c r="V251" s="30">
        <v>0</v>
      </c>
      <c r="W251" s="30">
        <v>2345</v>
      </c>
      <c r="Y251" s="30" t="s">
        <v>447</v>
      </c>
    </row>
    <row r="252" spans="1:26" x14ac:dyDescent="0.2">
      <c r="A252" s="30">
        <v>369</v>
      </c>
      <c r="B252" s="30" t="s">
        <v>28</v>
      </c>
      <c r="C252" s="30" t="s">
        <v>11</v>
      </c>
      <c r="D252" s="30" t="s">
        <v>394</v>
      </c>
      <c r="E252" s="30" t="s">
        <v>492</v>
      </c>
      <c r="F252" s="28" t="s">
        <v>303</v>
      </c>
      <c r="H252" s="28" t="s">
        <v>111</v>
      </c>
      <c r="K252" s="28"/>
      <c r="L252" s="55">
        <f>VLOOKUP($A252, Stat!$A$1:$C$1000, 2,0)</f>
        <v>6</v>
      </c>
      <c r="M252" s="55">
        <f>VLOOKUP($A252, Stat!$A$1:$C$1000, 3,0)</f>
        <v>2</v>
      </c>
      <c r="R252" s="27">
        <v>368</v>
      </c>
      <c r="U252" s="30">
        <v>100</v>
      </c>
      <c r="V252" s="30">
        <v>0</v>
      </c>
      <c r="W252" s="30">
        <v>2345</v>
      </c>
      <c r="Y252" s="30" t="s">
        <v>447</v>
      </c>
    </row>
    <row r="253" spans="1:26" x14ac:dyDescent="0.2">
      <c r="A253" s="30">
        <v>371</v>
      </c>
      <c r="B253" s="30" t="s">
        <v>28</v>
      </c>
      <c r="C253" s="30" t="s">
        <v>11</v>
      </c>
      <c r="D253" s="30" t="s">
        <v>397</v>
      </c>
      <c r="E253" s="30" t="s">
        <v>545</v>
      </c>
      <c r="F253" s="28" t="s">
        <v>303</v>
      </c>
      <c r="H253" s="28" t="s">
        <v>111</v>
      </c>
      <c r="K253" s="28"/>
      <c r="L253" s="55">
        <f>VLOOKUP($A253, Stat!$A$1:$C$1000, 2,0)</f>
        <v>19</v>
      </c>
      <c r="M253" s="55">
        <f>VLOOKUP($A253, Stat!$A$1:$C$1000, 3,0)</f>
        <v>2</v>
      </c>
      <c r="U253" s="30">
        <v>0</v>
      </c>
      <c r="V253" s="30">
        <v>0</v>
      </c>
      <c r="W253" s="30">
        <v>10</v>
      </c>
      <c r="Y253" s="30" t="s">
        <v>450</v>
      </c>
    </row>
    <row r="254" spans="1:26" x14ac:dyDescent="0.2">
      <c r="A254" s="30">
        <v>372</v>
      </c>
      <c r="B254" s="30" t="s">
        <v>28</v>
      </c>
      <c r="C254" s="30" t="s">
        <v>11</v>
      </c>
      <c r="D254" s="30" t="s">
        <v>397</v>
      </c>
      <c r="E254" s="30" t="s">
        <v>492</v>
      </c>
      <c r="F254" s="28" t="s">
        <v>303</v>
      </c>
      <c r="H254" s="28" t="s">
        <v>111</v>
      </c>
      <c r="K254" s="28"/>
      <c r="L254" s="55">
        <f>VLOOKUP($A254, Stat!$A$1:$C$1000, 2,0)</f>
        <v>38</v>
      </c>
      <c r="M254" s="55">
        <f>VLOOKUP($A254, Stat!$A$1:$C$1000, 3,0)</f>
        <v>2</v>
      </c>
      <c r="R254" s="27">
        <v>371</v>
      </c>
      <c r="U254" s="30">
        <v>50</v>
      </c>
      <c r="V254" s="30">
        <v>0</v>
      </c>
      <c r="W254" s="30">
        <v>10</v>
      </c>
      <c r="Y254" s="30" t="s">
        <v>450</v>
      </c>
    </row>
    <row r="255" spans="1:26" x14ac:dyDescent="0.2">
      <c r="A255" s="30">
        <v>375</v>
      </c>
      <c r="B255" s="30" t="s">
        <v>13</v>
      </c>
      <c r="C255" s="30" t="s">
        <v>13</v>
      </c>
      <c r="D255" s="30" t="s">
        <v>400</v>
      </c>
      <c r="E255" s="30" t="s">
        <v>724</v>
      </c>
      <c r="F255" s="27">
        <v>1</v>
      </c>
      <c r="H255" s="28" t="s">
        <v>111</v>
      </c>
      <c r="L255" s="55">
        <f>VLOOKUP($A255, Stat!$A$1:$C$1000, 2,0)</f>
        <v>11</v>
      </c>
      <c r="M255" s="59">
        <f>VLOOKUP($A255, Stat!$A$1:$C$1000, 3,0)</f>
        <v>0</v>
      </c>
      <c r="N255" s="27">
        <v>1</v>
      </c>
      <c r="U255" s="30">
        <v>50</v>
      </c>
      <c r="V255" s="30">
        <v>0</v>
      </c>
    </row>
    <row r="256" spans="1:26" x14ac:dyDescent="0.2">
      <c r="A256" s="30">
        <v>376</v>
      </c>
      <c r="B256" s="30" t="s">
        <v>13</v>
      </c>
      <c r="C256" s="30" t="s">
        <v>41</v>
      </c>
      <c r="D256" s="30" t="s">
        <v>856</v>
      </c>
      <c r="E256" s="30" t="s">
        <v>199</v>
      </c>
      <c r="F256" s="27">
        <v>7</v>
      </c>
      <c r="G256" s="27">
        <v>1</v>
      </c>
      <c r="H256" s="28"/>
      <c r="K256" s="27" t="s">
        <v>941</v>
      </c>
      <c r="L256" s="55">
        <f>VLOOKUP($A256, Stat!$A$1:$C$1000, 2,0)</f>
        <v>0</v>
      </c>
      <c r="M256" s="55">
        <f>VLOOKUP($A256, Stat!$A$1:$C$1000, 3,0)</f>
        <v>0</v>
      </c>
      <c r="N256" s="27">
        <v>1</v>
      </c>
      <c r="U256" s="30">
        <v>0</v>
      </c>
      <c r="V256" s="30">
        <v>1</v>
      </c>
      <c r="X256" s="30" t="s">
        <v>693</v>
      </c>
      <c r="Y256" s="30" t="s">
        <v>858</v>
      </c>
      <c r="Z256" s="30" t="s">
        <v>198</v>
      </c>
    </row>
    <row r="257" spans="1:26" x14ac:dyDescent="0.2">
      <c r="A257" s="30">
        <v>377</v>
      </c>
      <c r="B257" s="30" t="s">
        <v>13</v>
      </c>
      <c r="C257" s="30" t="s">
        <v>648</v>
      </c>
      <c r="D257" s="30" t="s">
        <v>783</v>
      </c>
      <c r="E257" s="30" t="s">
        <v>56</v>
      </c>
      <c r="F257" s="27">
        <v>1</v>
      </c>
      <c r="H257" s="28"/>
      <c r="L257" s="55">
        <f>VLOOKUP($A257, Stat!$A$1:$C$1000, 2,0)</f>
        <v>6</v>
      </c>
      <c r="M257" s="59">
        <f>VLOOKUP($A257, Stat!$A$1:$C$1000, 3,0)</f>
        <v>1</v>
      </c>
      <c r="U257" s="30">
        <v>100</v>
      </c>
      <c r="V257" s="30">
        <v>0</v>
      </c>
      <c r="Y257" s="30" t="s">
        <v>731</v>
      </c>
    </row>
    <row r="258" spans="1:26" x14ac:dyDescent="0.2">
      <c r="A258" s="30">
        <v>378</v>
      </c>
      <c r="B258" s="30" t="s">
        <v>13</v>
      </c>
      <c r="C258" s="30" t="s">
        <v>648</v>
      </c>
      <c r="D258" s="30" t="s">
        <v>783</v>
      </c>
      <c r="E258" s="30" t="s">
        <v>57</v>
      </c>
      <c r="F258" s="27">
        <v>1</v>
      </c>
      <c r="H258" s="28"/>
      <c r="L258" s="55">
        <f>VLOOKUP($A258, Stat!$A$1:$C$1000, 2,0)</f>
        <v>7</v>
      </c>
      <c r="M258" s="59">
        <f>VLOOKUP($A258, Stat!$A$1:$C$1000, 3,0)</f>
        <v>0</v>
      </c>
      <c r="N258" s="27">
        <v>1</v>
      </c>
      <c r="U258" s="30">
        <v>100</v>
      </c>
      <c r="V258" s="30">
        <v>0</v>
      </c>
      <c r="Y258" s="30" t="s">
        <v>731</v>
      </c>
    </row>
    <row r="259" spans="1:26" x14ac:dyDescent="0.2">
      <c r="A259" s="30">
        <v>379</v>
      </c>
      <c r="B259" s="30" t="s">
        <v>13</v>
      </c>
      <c r="C259" s="30" t="s">
        <v>495</v>
      </c>
      <c r="D259" s="30" t="s">
        <v>732</v>
      </c>
      <c r="E259" s="30" t="s">
        <v>902</v>
      </c>
      <c r="F259" s="27">
        <v>12</v>
      </c>
      <c r="H259" s="28" t="s">
        <v>129</v>
      </c>
      <c r="K259" s="28" t="s">
        <v>970</v>
      </c>
      <c r="L259" s="55">
        <f>VLOOKUP($A259, Stat!$A$1:$C$1000, 2,0)</f>
        <v>21</v>
      </c>
      <c r="M259" s="55">
        <f>VLOOKUP($A259, Stat!$A$1:$C$1000, 3,0)</f>
        <v>4</v>
      </c>
      <c r="U259" s="30">
        <v>50</v>
      </c>
      <c r="V259" s="30">
        <v>0</v>
      </c>
    </row>
    <row r="260" spans="1:26" x14ac:dyDescent="0.2">
      <c r="A260" s="30">
        <v>383</v>
      </c>
      <c r="B260" s="30" t="s">
        <v>13</v>
      </c>
      <c r="C260" s="30" t="s">
        <v>13</v>
      </c>
      <c r="D260" s="30" t="s">
        <v>525</v>
      </c>
      <c r="E260" s="30" t="s">
        <v>526</v>
      </c>
      <c r="F260" s="27">
        <v>1</v>
      </c>
      <c r="H260" s="28" t="s">
        <v>111</v>
      </c>
      <c r="L260" s="55">
        <f>VLOOKUP($A260, Stat!$A$1:$C$1000, 2,0)</f>
        <v>20</v>
      </c>
      <c r="M260" s="59">
        <f>VLOOKUP($A260, Stat!$A$1:$C$1000, 3,0)</f>
        <v>0</v>
      </c>
      <c r="N260" s="27">
        <v>1</v>
      </c>
      <c r="U260" s="30">
        <v>50</v>
      </c>
      <c r="V260" s="30">
        <v>0</v>
      </c>
      <c r="Z260" s="30" t="s">
        <v>436</v>
      </c>
    </row>
    <row r="261" spans="1:26" x14ac:dyDescent="0.2">
      <c r="A261" s="30">
        <v>385</v>
      </c>
      <c r="B261" s="30" t="s">
        <v>13</v>
      </c>
      <c r="C261" s="30" t="s">
        <v>41</v>
      </c>
      <c r="D261" s="30" t="s">
        <v>856</v>
      </c>
      <c r="E261" s="30" t="s">
        <v>981</v>
      </c>
      <c r="F261" s="27">
        <v>7</v>
      </c>
      <c r="G261" s="27">
        <v>1</v>
      </c>
      <c r="H261" s="28"/>
      <c r="K261" s="27" t="s">
        <v>941</v>
      </c>
      <c r="L261" s="27">
        <f>VLOOKUP($A261, Stat!$A$1:$C$1000, 2,0)</f>
        <v>22</v>
      </c>
      <c r="M261" s="27">
        <f>VLOOKUP($A261, Stat!$A$1:$C$1000, 3,0)</f>
        <v>2</v>
      </c>
      <c r="N261" s="27">
        <v>1</v>
      </c>
      <c r="U261" s="30">
        <v>50</v>
      </c>
      <c r="V261" s="30">
        <v>0</v>
      </c>
      <c r="X261" s="30" t="s">
        <v>693</v>
      </c>
      <c r="Y261" s="30" t="s">
        <v>858</v>
      </c>
      <c r="Z261" s="30" t="s">
        <v>982</v>
      </c>
    </row>
    <row r="262" spans="1:26" x14ac:dyDescent="0.2">
      <c r="A262" s="30">
        <v>386</v>
      </c>
      <c r="B262" s="30" t="s">
        <v>28</v>
      </c>
      <c r="C262" s="30" t="s">
        <v>49</v>
      </c>
      <c r="D262" s="30" t="s">
        <v>610</v>
      </c>
      <c r="E262" s="30" t="s">
        <v>210</v>
      </c>
      <c r="F262" s="27">
        <v>5</v>
      </c>
      <c r="H262" s="28" t="s">
        <v>111</v>
      </c>
      <c r="L262" s="57">
        <f>VLOOKUP($A262, Stat!$A$1:$C$1000, 2,0)</f>
        <v>0</v>
      </c>
      <c r="M262" s="27">
        <f>VLOOKUP($A262, Stat!$A$1:$C$1000, 3,0)</f>
        <v>0</v>
      </c>
      <c r="N262" s="57"/>
      <c r="U262" s="30">
        <v>100</v>
      </c>
      <c r="V262" s="30">
        <v>0</v>
      </c>
      <c r="Y262" s="30" t="s">
        <v>340</v>
      </c>
      <c r="Z262" s="30" t="s">
        <v>211</v>
      </c>
    </row>
    <row r="263" spans="1:26" x14ac:dyDescent="0.2">
      <c r="A263" s="30">
        <v>387</v>
      </c>
      <c r="B263" s="30" t="s">
        <v>13</v>
      </c>
      <c r="C263" s="30" t="s">
        <v>93</v>
      </c>
      <c r="D263" s="30" t="s">
        <v>494</v>
      </c>
      <c r="E263" s="30" t="s">
        <v>840</v>
      </c>
      <c r="H263" s="28" t="s">
        <v>111</v>
      </c>
      <c r="L263" s="27">
        <f>VLOOKUP($A263, Stat!$A$1:$C$1000, 2,0)</f>
        <v>8</v>
      </c>
      <c r="M263" s="27">
        <f>VLOOKUP($A263, Stat!$A$1:$C$1000, 3,0)</f>
        <v>0</v>
      </c>
      <c r="N263" s="27">
        <v>1</v>
      </c>
      <c r="U263" s="30">
        <v>0</v>
      </c>
      <c r="V263" s="30">
        <v>1</v>
      </c>
      <c r="Z263" s="30" t="s">
        <v>373</v>
      </c>
    </row>
    <row r="264" spans="1:26" x14ac:dyDescent="0.2">
      <c r="A264" s="30">
        <v>388</v>
      </c>
      <c r="B264" s="30" t="s">
        <v>13</v>
      </c>
      <c r="C264" s="30" t="s">
        <v>93</v>
      </c>
      <c r="D264" s="30" t="s">
        <v>494</v>
      </c>
      <c r="E264" s="30" t="s">
        <v>839</v>
      </c>
      <c r="H264" s="28" t="s">
        <v>111</v>
      </c>
      <c r="L264" s="27">
        <f>VLOOKUP($A264, Stat!$A$1:$C$1000, 2,0)</f>
        <v>14</v>
      </c>
      <c r="M264" s="27">
        <f>VLOOKUP($A264, Stat!$A$1:$C$1000, 3,0)</f>
        <v>4</v>
      </c>
      <c r="U264" s="30">
        <v>50</v>
      </c>
      <c r="V264" s="30">
        <v>0</v>
      </c>
      <c r="Z264" s="30" t="s">
        <v>374</v>
      </c>
    </row>
    <row r="265" spans="1:26" x14ac:dyDescent="0.2">
      <c r="A265" s="30">
        <v>391</v>
      </c>
      <c r="B265" s="30" t="s">
        <v>28</v>
      </c>
      <c r="C265" s="30" t="s">
        <v>594</v>
      </c>
      <c r="D265" s="30" t="s">
        <v>601</v>
      </c>
      <c r="E265" s="30" t="s">
        <v>2</v>
      </c>
      <c r="F265" s="28" t="s">
        <v>127</v>
      </c>
      <c r="H265" s="28" t="s">
        <v>111</v>
      </c>
      <c r="L265" s="27">
        <f>VLOOKUP($A265, Stat!$A$1:$C$1000, 2,0)</f>
        <v>15</v>
      </c>
      <c r="M265" s="27">
        <f>VLOOKUP($A265, Stat!$A$1:$C$1000, 3,0)</f>
        <v>0</v>
      </c>
      <c r="R265" s="28" t="s">
        <v>572</v>
      </c>
      <c r="U265" s="30">
        <v>0</v>
      </c>
      <c r="V265" s="30">
        <v>1</v>
      </c>
      <c r="Y265" s="30" t="s">
        <v>349</v>
      </c>
    </row>
    <row r="266" spans="1:26" x14ac:dyDescent="0.2">
      <c r="A266" s="30">
        <v>392</v>
      </c>
      <c r="B266" s="30" t="s">
        <v>28</v>
      </c>
      <c r="C266" s="30" t="s">
        <v>594</v>
      </c>
      <c r="D266" s="30" t="s">
        <v>601</v>
      </c>
      <c r="E266" s="30" t="s">
        <v>3</v>
      </c>
      <c r="F266" s="28" t="s">
        <v>127</v>
      </c>
      <c r="H266" s="28" t="s">
        <v>111</v>
      </c>
      <c r="L266" s="27">
        <f>VLOOKUP($A266, Stat!$A$1:$C$1000, 2,0)</f>
        <v>1</v>
      </c>
      <c r="M266" s="27">
        <f>VLOOKUP($A266, Stat!$A$1:$C$1000, 3,0)</f>
        <v>0</v>
      </c>
      <c r="R266" s="28" t="s">
        <v>573</v>
      </c>
      <c r="U266" s="30">
        <v>0</v>
      </c>
      <c r="V266" s="30">
        <v>0</v>
      </c>
      <c r="Y266" s="30" t="s">
        <v>349</v>
      </c>
    </row>
    <row r="267" spans="1:26" x14ac:dyDescent="0.2">
      <c r="A267" s="30">
        <v>393</v>
      </c>
      <c r="B267" s="30" t="s">
        <v>28</v>
      </c>
      <c r="C267" s="30" t="s">
        <v>594</v>
      </c>
      <c r="D267" s="30" t="s">
        <v>601</v>
      </c>
      <c r="E267" s="30" t="s">
        <v>4</v>
      </c>
      <c r="F267" s="28" t="s">
        <v>127</v>
      </c>
      <c r="H267" s="28" t="s">
        <v>111</v>
      </c>
      <c r="L267" s="27">
        <f>VLOOKUP($A267, Stat!$A$1:$C$1000, 2,0)</f>
        <v>5</v>
      </c>
      <c r="M267" s="27">
        <f>VLOOKUP($A267, Stat!$A$1:$C$1000, 3,0)</f>
        <v>1</v>
      </c>
      <c r="R267" s="28" t="s">
        <v>574</v>
      </c>
      <c r="U267" s="30">
        <v>50</v>
      </c>
      <c r="V267" s="30">
        <v>0</v>
      </c>
      <c r="Y267" s="30" t="s">
        <v>349</v>
      </c>
    </row>
    <row r="268" spans="1:26" x14ac:dyDescent="0.2">
      <c r="A268" s="30">
        <v>394</v>
      </c>
      <c r="B268" s="30" t="s">
        <v>28</v>
      </c>
      <c r="C268" s="30" t="s">
        <v>594</v>
      </c>
      <c r="D268" s="30" t="s">
        <v>601</v>
      </c>
      <c r="E268" s="30" t="s">
        <v>34</v>
      </c>
      <c r="F268" s="28" t="s">
        <v>127</v>
      </c>
      <c r="H268" s="28" t="s">
        <v>111</v>
      </c>
      <c r="L268" s="27">
        <f>VLOOKUP($A268, Stat!$A$1:$C$1000, 2,0)</f>
        <v>1</v>
      </c>
      <c r="M268" s="27">
        <f>VLOOKUP($A268, Stat!$A$1:$C$1000, 3,0)</f>
        <v>0</v>
      </c>
      <c r="R268" s="28" t="s">
        <v>575</v>
      </c>
      <c r="U268" s="30">
        <v>100</v>
      </c>
      <c r="V268" s="30">
        <v>0</v>
      </c>
      <c r="Y268" s="30" t="s">
        <v>349</v>
      </c>
    </row>
    <row r="269" spans="1:26" x14ac:dyDescent="0.2">
      <c r="A269" s="30">
        <v>398</v>
      </c>
      <c r="B269" s="30" t="s">
        <v>28</v>
      </c>
      <c r="C269" s="30" t="s">
        <v>594</v>
      </c>
      <c r="D269" s="30" t="s">
        <v>603</v>
      </c>
      <c r="E269" s="30" t="s">
        <v>2</v>
      </c>
      <c r="F269" s="28" t="s">
        <v>127</v>
      </c>
      <c r="H269" s="28" t="s">
        <v>111</v>
      </c>
      <c r="L269" s="27">
        <f>VLOOKUP($A269, Stat!$A$1:$C$1000, 2,0)</f>
        <v>6</v>
      </c>
      <c r="M269" s="27">
        <f>VLOOKUP($A269, Stat!$A$1:$C$1000, 3,0)</f>
        <v>0</v>
      </c>
      <c r="R269" s="28" t="s">
        <v>310</v>
      </c>
      <c r="U269" s="30">
        <v>0</v>
      </c>
      <c r="V269" s="30">
        <v>1</v>
      </c>
      <c r="Y269" s="30" t="s">
        <v>351</v>
      </c>
    </row>
    <row r="270" spans="1:26" x14ac:dyDescent="0.2">
      <c r="A270" s="30">
        <v>399</v>
      </c>
      <c r="B270" s="30" t="s">
        <v>28</v>
      </c>
      <c r="C270" s="30" t="s">
        <v>594</v>
      </c>
      <c r="D270" s="30" t="s">
        <v>603</v>
      </c>
      <c r="E270" s="30" t="s">
        <v>3</v>
      </c>
      <c r="F270" s="28" t="s">
        <v>127</v>
      </c>
      <c r="H270" s="28" t="s">
        <v>111</v>
      </c>
      <c r="L270" s="27">
        <f>VLOOKUP($A270, Stat!$A$1:$C$1000, 2,0)</f>
        <v>1</v>
      </c>
      <c r="M270" s="27">
        <f>VLOOKUP($A270, Stat!$A$1:$C$1000, 3,0)</f>
        <v>1</v>
      </c>
      <c r="R270" s="28" t="s">
        <v>311</v>
      </c>
      <c r="U270" s="30">
        <v>0</v>
      </c>
      <c r="V270" s="30">
        <v>0</v>
      </c>
      <c r="Y270" s="30" t="s">
        <v>351</v>
      </c>
    </row>
    <row r="271" spans="1:26" x14ac:dyDescent="0.2">
      <c r="A271" s="30">
        <v>400</v>
      </c>
      <c r="B271" s="30" t="s">
        <v>28</v>
      </c>
      <c r="C271" s="30" t="s">
        <v>594</v>
      </c>
      <c r="D271" s="30" t="s">
        <v>603</v>
      </c>
      <c r="E271" s="30" t="s">
        <v>4</v>
      </c>
      <c r="F271" s="28" t="s">
        <v>127</v>
      </c>
      <c r="H271" s="28" t="s">
        <v>111</v>
      </c>
      <c r="L271" s="27">
        <f>VLOOKUP($A271, Stat!$A$1:$C$1000, 2,0)</f>
        <v>3</v>
      </c>
      <c r="M271" s="27">
        <f>VLOOKUP($A271, Stat!$A$1:$C$1000, 3,0)</f>
        <v>3</v>
      </c>
      <c r="R271" s="28" t="s">
        <v>312</v>
      </c>
      <c r="U271" s="30">
        <v>100</v>
      </c>
      <c r="V271" s="30">
        <v>0</v>
      </c>
      <c r="Y271" s="30" t="s">
        <v>351</v>
      </c>
    </row>
    <row r="272" spans="1:26" x14ac:dyDescent="0.2">
      <c r="A272" s="30">
        <v>401</v>
      </c>
      <c r="B272" s="30" t="s">
        <v>28</v>
      </c>
      <c r="C272" s="30" t="s">
        <v>594</v>
      </c>
      <c r="D272" s="30" t="s">
        <v>603</v>
      </c>
      <c r="E272" s="30" t="s">
        <v>34</v>
      </c>
      <c r="F272" s="28" t="s">
        <v>127</v>
      </c>
      <c r="H272" s="28" t="s">
        <v>111</v>
      </c>
      <c r="L272" s="27">
        <f>VLOOKUP($A272, Stat!$A$1:$C$1000, 2,0)</f>
        <v>1</v>
      </c>
      <c r="M272" s="27">
        <f>VLOOKUP($A272, Stat!$A$1:$C$1000, 3,0)</f>
        <v>1</v>
      </c>
      <c r="R272" s="28" t="s">
        <v>313</v>
      </c>
      <c r="U272" s="30">
        <v>100</v>
      </c>
      <c r="V272" s="30">
        <v>0</v>
      </c>
      <c r="Y272" s="30" t="s">
        <v>351</v>
      </c>
    </row>
    <row r="273" spans="1:26" x14ac:dyDescent="0.2">
      <c r="A273" s="30">
        <v>402</v>
      </c>
      <c r="B273" s="30" t="s">
        <v>28</v>
      </c>
      <c r="C273" s="30" t="s">
        <v>566</v>
      </c>
      <c r="D273" s="30" t="s">
        <v>746</v>
      </c>
      <c r="E273" s="30" t="s">
        <v>169</v>
      </c>
      <c r="F273" s="27">
        <v>3</v>
      </c>
      <c r="H273" s="28" t="s">
        <v>111</v>
      </c>
      <c r="L273" s="27">
        <f>VLOOKUP($A273, Stat!$A$1:$C$1000, 2,0)</f>
        <v>97</v>
      </c>
      <c r="M273" s="27">
        <f>VLOOKUP($A273, Stat!$A$1:$C$1000, 3,0)</f>
        <v>41</v>
      </c>
      <c r="N273" s="27">
        <v>1</v>
      </c>
      <c r="U273" s="30">
        <v>50</v>
      </c>
      <c r="V273" s="30">
        <v>0</v>
      </c>
      <c r="W273" s="30">
        <v>5</v>
      </c>
      <c r="Y273" s="30" t="s">
        <v>361</v>
      </c>
      <c r="Z273" s="30" t="s">
        <v>171</v>
      </c>
    </row>
    <row r="274" spans="1:26" x14ac:dyDescent="0.2">
      <c r="A274" s="30">
        <v>403</v>
      </c>
      <c r="B274" s="30" t="s">
        <v>28</v>
      </c>
      <c r="C274" s="30" t="s">
        <v>566</v>
      </c>
      <c r="D274" s="30" t="s">
        <v>746</v>
      </c>
      <c r="E274" s="30" t="s">
        <v>167</v>
      </c>
      <c r="F274" s="27">
        <v>3</v>
      </c>
      <c r="H274" s="28" t="s">
        <v>111</v>
      </c>
      <c r="L274" s="27">
        <f>VLOOKUP($A274, Stat!$A$1:$C$1000, 2,0)</f>
        <v>12</v>
      </c>
      <c r="M274" s="27">
        <f>VLOOKUP($A274, Stat!$A$1:$C$1000, 3,0)</f>
        <v>4</v>
      </c>
      <c r="N274" s="27">
        <v>1</v>
      </c>
      <c r="U274" s="30">
        <v>0</v>
      </c>
      <c r="V274" s="30">
        <v>0</v>
      </c>
      <c r="W274" s="30">
        <v>5</v>
      </c>
      <c r="Y274" s="30" t="s">
        <v>361</v>
      </c>
      <c r="Z274" s="30" t="s">
        <v>170</v>
      </c>
    </row>
    <row r="275" spans="1:26" x14ac:dyDescent="0.2">
      <c r="A275" s="30">
        <v>404</v>
      </c>
      <c r="B275" s="30" t="s">
        <v>28</v>
      </c>
      <c r="C275" s="30" t="s">
        <v>566</v>
      </c>
      <c r="D275" s="30" t="s">
        <v>746</v>
      </c>
      <c r="E275" s="30" t="s">
        <v>168</v>
      </c>
      <c r="F275" s="27">
        <v>3</v>
      </c>
      <c r="H275" s="28" t="s">
        <v>111</v>
      </c>
      <c r="L275" s="27">
        <f>VLOOKUP($A275, Stat!$A$1:$C$1000, 2,0)</f>
        <v>35</v>
      </c>
      <c r="M275" s="27">
        <f>VLOOKUP($A275, Stat!$A$1:$C$1000, 3,0)</f>
        <v>12</v>
      </c>
      <c r="N275" s="27">
        <v>1</v>
      </c>
      <c r="U275" s="30">
        <v>0</v>
      </c>
      <c r="V275" s="30">
        <v>1</v>
      </c>
      <c r="W275" s="30">
        <v>5</v>
      </c>
      <c r="Y275" s="30" t="s">
        <v>361</v>
      </c>
    </row>
    <row r="276" spans="1:26" x14ac:dyDescent="0.2">
      <c r="A276" s="30">
        <v>405</v>
      </c>
      <c r="B276" s="30" t="s">
        <v>28</v>
      </c>
      <c r="C276" s="30" t="s">
        <v>566</v>
      </c>
      <c r="D276" s="30" t="s">
        <v>551</v>
      </c>
      <c r="E276" s="30" t="s">
        <v>556</v>
      </c>
      <c r="F276" s="27">
        <v>3</v>
      </c>
      <c r="H276" s="28" t="s">
        <v>111</v>
      </c>
      <c r="U276" s="30">
        <v>0</v>
      </c>
      <c r="V276" s="30">
        <v>0</v>
      </c>
      <c r="Y276" s="30" t="s">
        <v>440</v>
      </c>
      <c r="Z276" s="30" t="s">
        <v>441</v>
      </c>
    </row>
    <row r="277" spans="1:26" x14ac:dyDescent="0.2">
      <c r="A277" s="30">
        <v>406</v>
      </c>
      <c r="B277" s="30" t="s">
        <v>28</v>
      </c>
      <c r="C277" s="30" t="s">
        <v>566</v>
      </c>
      <c r="D277" s="30" t="s">
        <v>553</v>
      </c>
      <c r="E277" s="30" t="s">
        <v>556</v>
      </c>
      <c r="F277" s="27">
        <v>3</v>
      </c>
      <c r="H277" s="28" t="s">
        <v>111</v>
      </c>
      <c r="U277" s="30">
        <v>0</v>
      </c>
      <c r="V277" s="30">
        <v>0</v>
      </c>
      <c r="Y277" s="30" t="s">
        <v>440</v>
      </c>
      <c r="Z277" s="30" t="s">
        <v>441</v>
      </c>
    </row>
    <row r="278" spans="1:26" x14ac:dyDescent="0.2">
      <c r="A278" s="30">
        <v>407</v>
      </c>
      <c r="B278" s="30" t="s">
        <v>28</v>
      </c>
      <c r="C278" s="30" t="s">
        <v>566</v>
      </c>
      <c r="D278" s="30" t="s">
        <v>552</v>
      </c>
      <c r="E278" s="30" t="s">
        <v>556</v>
      </c>
      <c r="F278" s="27">
        <v>3</v>
      </c>
      <c r="H278" s="28" t="s">
        <v>111</v>
      </c>
      <c r="R278" s="27">
        <v>311.40499999999997</v>
      </c>
      <c r="U278" s="30">
        <v>50</v>
      </c>
      <c r="V278" s="30">
        <v>0</v>
      </c>
      <c r="Y278" s="30" t="s">
        <v>440</v>
      </c>
      <c r="Z278" s="30" t="s">
        <v>441</v>
      </c>
    </row>
    <row r="279" spans="1:26" x14ac:dyDescent="0.2">
      <c r="A279" s="30">
        <v>408</v>
      </c>
      <c r="B279" s="30" t="s">
        <v>28</v>
      </c>
      <c r="C279" s="30" t="s">
        <v>566</v>
      </c>
      <c r="D279" s="30" t="s">
        <v>554</v>
      </c>
      <c r="E279" s="30" t="s">
        <v>556</v>
      </c>
      <c r="F279" s="27">
        <v>3</v>
      </c>
      <c r="H279" s="28" t="s">
        <v>111</v>
      </c>
      <c r="R279" s="27">
        <v>312.40600000000001</v>
      </c>
      <c r="U279" s="30">
        <v>50</v>
      </c>
      <c r="V279" s="30">
        <v>0</v>
      </c>
      <c r="Y279" s="30" t="s">
        <v>440</v>
      </c>
      <c r="Z279" s="30" t="s">
        <v>441</v>
      </c>
    </row>
    <row r="280" spans="1:26" x14ac:dyDescent="0.2">
      <c r="A280" s="30">
        <v>411</v>
      </c>
      <c r="B280" s="30" t="s">
        <v>28</v>
      </c>
      <c r="C280" s="30" t="s">
        <v>566</v>
      </c>
      <c r="D280" s="30" t="s">
        <v>747</v>
      </c>
      <c r="E280" s="30" t="s">
        <v>169</v>
      </c>
      <c r="F280" s="27">
        <v>3</v>
      </c>
      <c r="H280" s="28" t="s">
        <v>111</v>
      </c>
      <c r="L280" s="27">
        <f>VLOOKUP($A280, Stat!$A$1:$C$1000, 2,0)</f>
        <v>7</v>
      </c>
      <c r="M280" s="27">
        <f>VLOOKUP($A280, Stat!$A$1:$C$1000, 3,0)</f>
        <v>4</v>
      </c>
      <c r="N280" s="27">
        <v>1</v>
      </c>
      <c r="U280" s="30">
        <v>50</v>
      </c>
      <c r="V280" s="30">
        <v>0</v>
      </c>
      <c r="W280" s="30">
        <v>5</v>
      </c>
      <c r="Y280" s="30" t="s">
        <v>546</v>
      </c>
      <c r="Z280" s="30" t="s">
        <v>171</v>
      </c>
    </row>
    <row r="281" spans="1:26" x14ac:dyDescent="0.2">
      <c r="A281" s="30">
        <v>412</v>
      </c>
      <c r="B281" s="30" t="s">
        <v>28</v>
      </c>
      <c r="C281" s="30" t="s">
        <v>566</v>
      </c>
      <c r="D281" s="30" t="s">
        <v>747</v>
      </c>
      <c r="E281" s="30" t="s">
        <v>167</v>
      </c>
      <c r="F281" s="27">
        <v>3</v>
      </c>
      <c r="H281" s="28" t="s">
        <v>111</v>
      </c>
      <c r="L281" s="27">
        <f>VLOOKUP($A281, Stat!$A$1:$C$1000, 2,0)</f>
        <v>0</v>
      </c>
      <c r="M281" s="27">
        <f>VLOOKUP($A281, Stat!$A$1:$C$1000, 3,0)</f>
        <v>0</v>
      </c>
      <c r="N281" s="27">
        <v>1</v>
      </c>
      <c r="U281" s="30">
        <v>50</v>
      </c>
      <c r="V281" s="30">
        <v>0</v>
      </c>
      <c r="W281" s="30">
        <v>5</v>
      </c>
      <c r="Y281" s="30" t="s">
        <v>546</v>
      </c>
      <c r="Z281" s="30" t="s">
        <v>170</v>
      </c>
    </row>
    <row r="282" spans="1:26" x14ac:dyDescent="0.2">
      <c r="A282" s="30">
        <v>413</v>
      </c>
      <c r="B282" s="30" t="s">
        <v>28</v>
      </c>
      <c r="C282" s="30" t="s">
        <v>566</v>
      </c>
      <c r="D282" s="30" t="s">
        <v>747</v>
      </c>
      <c r="E282" s="30" t="s">
        <v>168</v>
      </c>
      <c r="F282" s="27">
        <v>3</v>
      </c>
      <c r="H282" s="28" t="s">
        <v>111</v>
      </c>
      <c r="L282" s="27">
        <f>VLOOKUP($A282, Stat!$A$1:$C$1000, 2,0)</f>
        <v>2</v>
      </c>
      <c r="M282" s="27">
        <f>VLOOKUP($A282, Stat!$A$1:$C$1000, 3,0)</f>
        <v>1</v>
      </c>
      <c r="N282" s="27">
        <v>1</v>
      </c>
      <c r="P282" s="27">
        <v>999</v>
      </c>
      <c r="U282" s="30">
        <v>0</v>
      </c>
      <c r="V282" s="30">
        <v>0</v>
      </c>
      <c r="W282" s="30">
        <v>5</v>
      </c>
      <c r="Y282" s="30" t="s">
        <v>546</v>
      </c>
    </row>
    <row r="283" spans="1:26" x14ac:dyDescent="0.2">
      <c r="A283" s="30">
        <v>414</v>
      </c>
      <c r="B283" s="30" t="s">
        <v>28</v>
      </c>
      <c r="C283" s="30" t="s">
        <v>594</v>
      </c>
      <c r="D283" s="30" t="s">
        <v>791</v>
      </c>
      <c r="E283" s="30" t="s">
        <v>2</v>
      </c>
      <c r="F283" s="27">
        <v>5</v>
      </c>
      <c r="H283" s="28" t="s">
        <v>111</v>
      </c>
      <c r="L283" s="27">
        <f>VLOOKUP($A283, Stat!$A$1:$C$1000, 2,0)</f>
        <v>72</v>
      </c>
      <c r="M283" s="27">
        <f>VLOOKUP($A283, Stat!$A$1:$C$1000, 3,0)</f>
        <v>5</v>
      </c>
      <c r="R283" s="27">
        <v>506</v>
      </c>
      <c r="U283" s="30">
        <v>0</v>
      </c>
      <c r="V283" s="30">
        <v>1</v>
      </c>
      <c r="W283" s="30">
        <v>35</v>
      </c>
      <c r="Y283" s="30" t="s">
        <v>794</v>
      </c>
    </row>
    <row r="284" spans="1:26" x14ac:dyDescent="0.2">
      <c r="A284" s="30">
        <v>415</v>
      </c>
      <c r="B284" s="30" t="s">
        <v>28</v>
      </c>
      <c r="C284" s="30" t="s">
        <v>594</v>
      </c>
      <c r="D284" s="30" t="s">
        <v>791</v>
      </c>
      <c r="E284" s="30" t="s">
        <v>3</v>
      </c>
      <c r="F284" s="27">
        <v>5</v>
      </c>
      <c r="H284" s="28" t="s">
        <v>111</v>
      </c>
      <c r="L284" s="27">
        <f>VLOOKUP($A284, Stat!$A$1:$C$1000, 2,0)</f>
        <v>35</v>
      </c>
      <c r="M284" s="27">
        <f>VLOOKUP($A284, Stat!$A$1:$C$1000, 3,0)</f>
        <v>0</v>
      </c>
      <c r="R284" s="27">
        <v>507</v>
      </c>
      <c r="U284" s="30">
        <v>0</v>
      </c>
      <c r="V284" s="30">
        <v>1</v>
      </c>
      <c r="W284" s="30">
        <v>35</v>
      </c>
      <c r="Y284" s="30" t="s">
        <v>794</v>
      </c>
    </row>
    <row r="285" spans="1:26" x14ac:dyDescent="0.2">
      <c r="A285" s="30">
        <v>416</v>
      </c>
      <c r="B285" s="30" t="s">
        <v>28</v>
      </c>
      <c r="C285" s="30" t="s">
        <v>594</v>
      </c>
      <c r="D285" s="30" t="s">
        <v>791</v>
      </c>
      <c r="E285" s="30" t="s">
        <v>4</v>
      </c>
      <c r="F285" s="27">
        <v>5</v>
      </c>
      <c r="H285" s="28" t="s">
        <v>111</v>
      </c>
      <c r="L285" s="27">
        <f>VLOOKUP($A285, Stat!$A$1:$C$1000, 2,0)</f>
        <v>23</v>
      </c>
      <c r="M285" s="27">
        <f>VLOOKUP($A285, Stat!$A$1:$C$1000, 3,0)</f>
        <v>0</v>
      </c>
      <c r="R285" s="27">
        <v>508</v>
      </c>
      <c r="U285" s="30">
        <v>0</v>
      </c>
      <c r="V285" s="30">
        <v>1</v>
      </c>
      <c r="W285" s="30">
        <v>35</v>
      </c>
      <c r="Y285" s="30" t="s">
        <v>794</v>
      </c>
    </row>
    <row r="286" spans="1:26" x14ac:dyDescent="0.2">
      <c r="A286" s="30">
        <v>417</v>
      </c>
      <c r="B286" s="30" t="s">
        <v>28</v>
      </c>
      <c r="C286" s="30" t="s">
        <v>594</v>
      </c>
      <c r="D286" s="30" t="s">
        <v>791</v>
      </c>
      <c r="E286" s="30" t="s">
        <v>34</v>
      </c>
      <c r="F286" s="27">
        <v>5</v>
      </c>
      <c r="H286" s="28" t="s">
        <v>111</v>
      </c>
      <c r="L286" s="27">
        <f>VLOOKUP($A286, Stat!$A$1:$C$1000, 2,0)</f>
        <v>11</v>
      </c>
      <c r="M286" s="27">
        <f>VLOOKUP($A286, Stat!$A$1:$C$1000, 3,0)</f>
        <v>4</v>
      </c>
      <c r="R286" s="27">
        <v>509</v>
      </c>
      <c r="U286" s="30">
        <v>0</v>
      </c>
      <c r="V286" s="30">
        <v>1</v>
      </c>
      <c r="W286" s="30">
        <v>35</v>
      </c>
      <c r="Y286" s="30" t="s">
        <v>794</v>
      </c>
    </row>
    <row r="287" spans="1:26" x14ac:dyDescent="0.2">
      <c r="A287" s="30">
        <v>418</v>
      </c>
      <c r="B287" s="30" t="s">
        <v>13</v>
      </c>
      <c r="C287" s="30" t="s">
        <v>13</v>
      </c>
      <c r="D287" s="30" t="s">
        <v>536</v>
      </c>
      <c r="E287" s="30" t="s">
        <v>539</v>
      </c>
      <c r="F287" s="27">
        <v>1</v>
      </c>
      <c r="H287" s="28" t="s">
        <v>111</v>
      </c>
      <c r="L287" s="27">
        <f>VLOOKUP($A287, Stat!$A$1:$C$1000, 2,0)</f>
        <v>130</v>
      </c>
      <c r="M287" s="27">
        <f>VLOOKUP($A287, Stat!$A$1:$C$1000, 3,0)</f>
        <v>3</v>
      </c>
      <c r="U287" s="30">
        <v>0</v>
      </c>
      <c r="V287" s="30">
        <v>0</v>
      </c>
      <c r="Y287" s="30" t="s">
        <v>906</v>
      </c>
      <c r="Z287" s="30" t="s">
        <v>319</v>
      </c>
    </row>
    <row r="288" spans="1:26" x14ac:dyDescent="0.2">
      <c r="A288" s="30">
        <v>419</v>
      </c>
      <c r="B288" s="30" t="s">
        <v>13</v>
      </c>
      <c r="C288" s="30" t="s">
        <v>93</v>
      </c>
      <c r="D288" s="30" t="s">
        <v>487</v>
      </c>
      <c r="E288" s="30" t="s">
        <v>488</v>
      </c>
      <c r="H288" s="28" t="s">
        <v>111</v>
      </c>
      <c r="L288" s="27">
        <f>VLOOKUP($A288, Stat!$A$1:$C$1000, 2,0)</f>
        <v>0</v>
      </c>
      <c r="M288" s="27">
        <f>VLOOKUP($A288, Stat!$A$1:$C$1000, 3,0)</f>
        <v>0</v>
      </c>
      <c r="N288" s="58"/>
      <c r="U288" s="30">
        <v>0</v>
      </c>
      <c r="V288" s="30">
        <v>1</v>
      </c>
      <c r="Z288" s="30" t="s">
        <v>320</v>
      </c>
    </row>
    <row r="289" spans="1:26" x14ac:dyDescent="0.2">
      <c r="A289" s="30">
        <v>420</v>
      </c>
      <c r="B289" s="30" t="s">
        <v>13</v>
      </c>
      <c r="C289" s="30" t="s">
        <v>93</v>
      </c>
      <c r="D289" s="30" t="s">
        <v>487</v>
      </c>
      <c r="E289" s="30" t="s">
        <v>489</v>
      </c>
      <c r="H289" s="28" t="s">
        <v>111</v>
      </c>
      <c r="L289" s="27">
        <f>VLOOKUP($A289, Stat!$A$1:$C$1000, 2,0)</f>
        <v>0</v>
      </c>
      <c r="M289" s="27">
        <f>VLOOKUP($A289, Stat!$A$1:$C$1000, 3,0)</f>
        <v>0</v>
      </c>
      <c r="N289" s="58"/>
      <c r="U289" s="30">
        <v>0</v>
      </c>
      <c r="V289" s="30">
        <v>1</v>
      </c>
      <c r="Z289" s="30" t="s">
        <v>321</v>
      </c>
    </row>
    <row r="290" spans="1:26" x14ac:dyDescent="0.2">
      <c r="A290" s="30">
        <v>427</v>
      </c>
      <c r="B290" s="30" t="s">
        <v>95</v>
      </c>
      <c r="C290" s="30" t="s">
        <v>95</v>
      </c>
      <c r="D290" s="30" t="s">
        <v>479</v>
      </c>
      <c r="E290" s="30" t="s">
        <v>773</v>
      </c>
      <c r="H290" s="28" t="s">
        <v>111</v>
      </c>
      <c r="L290" s="27">
        <f>VLOOKUP($A290, Stat!$A$1:$C$1000, 2,0)</f>
        <v>24</v>
      </c>
      <c r="M290" s="27">
        <f>VLOOKUP($A290, Stat!$A$1:$C$1000, 3,0)</f>
        <v>0</v>
      </c>
      <c r="N290" s="27">
        <v>1</v>
      </c>
      <c r="U290" s="30">
        <v>100</v>
      </c>
      <c r="V290" s="30">
        <v>0</v>
      </c>
      <c r="Y290" s="30" t="s">
        <v>774</v>
      </c>
      <c r="Z290" s="30" t="s">
        <v>775</v>
      </c>
    </row>
    <row r="291" spans="1:26" x14ac:dyDescent="0.2">
      <c r="A291" s="30">
        <v>428</v>
      </c>
      <c r="B291" s="30" t="s">
        <v>13</v>
      </c>
      <c r="C291" s="30" t="s">
        <v>13</v>
      </c>
      <c r="D291" s="30" t="s">
        <v>521</v>
      </c>
      <c r="E291" s="30" t="s">
        <v>324</v>
      </c>
      <c r="F291" s="28" t="s">
        <v>218</v>
      </c>
      <c r="G291" s="28"/>
      <c r="H291" s="28" t="s">
        <v>111</v>
      </c>
      <c r="I291" s="28"/>
      <c r="J291" s="28"/>
      <c r="K291" s="28" t="s">
        <v>336</v>
      </c>
      <c r="L291" s="27">
        <f>VLOOKUP($A291, Stat!$A$1:$C$1000, 2,0)</f>
        <v>1</v>
      </c>
      <c r="M291" s="27">
        <f>VLOOKUP($A291, Stat!$A$1:$C$1000, 3,0)</f>
        <v>0</v>
      </c>
      <c r="N291" s="58"/>
      <c r="O291" s="27">
        <v>1</v>
      </c>
      <c r="T291" s="28" t="s">
        <v>335</v>
      </c>
      <c r="U291" s="30">
        <v>0</v>
      </c>
      <c r="V291" s="30">
        <v>0</v>
      </c>
      <c r="Y291" s="30" t="s">
        <v>866</v>
      </c>
    </row>
    <row r="292" spans="1:26" x14ac:dyDescent="0.2">
      <c r="A292" s="30">
        <v>429</v>
      </c>
      <c r="B292" s="30" t="s">
        <v>13</v>
      </c>
      <c r="C292" s="30" t="s">
        <v>13</v>
      </c>
      <c r="D292" s="30" t="s">
        <v>521</v>
      </c>
      <c r="E292" s="30" t="s">
        <v>325</v>
      </c>
      <c r="F292" s="28" t="s">
        <v>218</v>
      </c>
      <c r="G292" s="28"/>
      <c r="H292" s="28" t="s">
        <v>111</v>
      </c>
      <c r="I292" s="28"/>
      <c r="J292" s="28"/>
      <c r="K292" s="28" t="s">
        <v>336</v>
      </c>
      <c r="L292" s="27">
        <f>VLOOKUP($A292, Stat!$A$1:$C$1000, 2,0)</f>
        <v>1</v>
      </c>
      <c r="M292" s="27">
        <f>VLOOKUP($A292, Stat!$A$1:$C$1000, 3,0)</f>
        <v>0</v>
      </c>
      <c r="N292" s="58"/>
      <c r="O292" s="27">
        <v>1</v>
      </c>
      <c r="T292" s="28" t="s">
        <v>335</v>
      </c>
      <c r="U292" s="30">
        <v>0</v>
      </c>
      <c r="V292" s="30">
        <v>0</v>
      </c>
      <c r="Y292" s="30" t="s">
        <v>866</v>
      </c>
    </row>
    <row r="293" spans="1:26" x14ac:dyDescent="0.2">
      <c r="A293" s="30">
        <v>430</v>
      </c>
      <c r="B293" s="30" t="s">
        <v>13</v>
      </c>
      <c r="C293" s="30" t="s">
        <v>13</v>
      </c>
      <c r="D293" s="30" t="s">
        <v>522</v>
      </c>
      <c r="E293" s="30" t="s">
        <v>327</v>
      </c>
      <c r="F293" s="28" t="s">
        <v>218</v>
      </c>
      <c r="G293" s="28"/>
      <c r="H293" s="28" t="s">
        <v>111</v>
      </c>
      <c r="I293" s="28"/>
      <c r="J293" s="28"/>
      <c r="K293" s="28" t="s">
        <v>338</v>
      </c>
      <c r="L293" s="27">
        <f>VLOOKUP($A293, Stat!$A$1:$C$1000, 2,0)</f>
        <v>10</v>
      </c>
      <c r="M293" s="27">
        <f>VLOOKUP($A293, Stat!$A$1:$C$1000, 3,0)</f>
        <v>0</v>
      </c>
      <c r="N293" s="58"/>
      <c r="O293" s="27">
        <v>1</v>
      </c>
      <c r="T293" s="28" t="s">
        <v>335</v>
      </c>
      <c r="U293" s="30">
        <v>0</v>
      </c>
      <c r="V293" s="30">
        <v>0</v>
      </c>
      <c r="Y293" s="30" t="s">
        <v>867</v>
      </c>
    </row>
    <row r="294" spans="1:26" x14ac:dyDescent="0.2">
      <c r="A294" s="30">
        <v>431</v>
      </c>
      <c r="B294" s="30" t="s">
        <v>13</v>
      </c>
      <c r="C294" s="30" t="s">
        <v>13</v>
      </c>
      <c r="D294" s="30" t="s">
        <v>522</v>
      </c>
      <c r="E294" s="30" t="s">
        <v>328</v>
      </c>
      <c r="F294" s="28" t="s">
        <v>218</v>
      </c>
      <c r="G294" s="28"/>
      <c r="H294" s="28" t="s">
        <v>111</v>
      </c>
      <c r="I294" s="28"/>
      <c r="J294" s="28"/>
      <c r="K294" s="28" t="s">
        <v>339</v>
      </c>
      <c r="L294" s="27">
        <f>VLOOKUP($A294, Stat!$A$1:$C$1000, 2,0)</f>
        <v>3</v>
      </c>
      <c r="M294" s="27">
        <f>VLOOKUP($A294, Stat!$A$1:$C$1000, 3,0)</f>
        <v>0</v>
      </c>
      <c r="N294" s="58"/>
      <c r="O294" s="27">
        <v>1</v>
      </c>
      <c r="T294" s="28" t="s">
        <v>335</v>
      </c>
      <c r="U294" s="30">
        <v>0</v>
      </c>
      <c r="V294" s="30">
        <v>0</v>
      </c>
      <c r="Y294" s="30" t="s">
        <v>867</v>
      </c>
    </row>
    <row r="295" spans="1:26" x14ac:dyDescent="0.2">
      <c r="A295" s="30">
        <v>432</v>
      </c>
      <c r="B295" s="30" t="s">
        <v>28</v>
      </c>
      <c r="C295" s="30" t="s">
        <v>648</v>
      </c>
      <c r="D295" s="30" t="s">
        <v>405</v>
      </c>
      <c r="E295" s="30" t="s">
        <v>438</v>
      </c>
      <c r="F295" s="27">
        <v>8</v>
      </c>
      <c r="H295" s="28" t="s">
        <v>111</v>
      </c>
      <c r="K295" s="27" t="s">
        <v>298</v>
      </c>
      <c r="L295" s="27">
        <f>VLOOKUP($A295, Stat!$A$1:$C$1000, 2,0)</f>
        <v>2</v>
      </c>
      <c r="M295" s="27">
        <f>VLOOKUP($A295, Stat!$A$1:$C$1000, 3,0)</f>
        <v>0</v>
      </c>
      <c r="N295" s="27">
        <v>1</v>
      </c>
      <c r="R295" s="27">
        <v>157</v>
      </c>
      <c r="U295" s="30">
        <v>0</v>
      </c>
      <c r="V295" s="30">
        <v>1</v>
      </c>
      <c r="Z295" s="30" t="s">
        <v>437</v>
      </c>
    </row>
    <row r="296" spans="1:26" x14ac:dyDescent="0.2">
      <c r="A296" s="30">
        <v>433</v>
      </c>
      <c r="B296" s="30" t="s">
        <v>13</v>
      </c>
      <c r="C296" s="30" t="s">
        <v>13</v>
      </c>
      <c r="D296" s="30" t="s">
        <v>525</v>
      </c>
      <c r="E296" s="30" t="s">
        <v>399</v>
      </c>
      <c r="F296" s="27">
        <v>1</v>
      </c>
      <c r="H296" s="28" t="s">
        <v>111</v>
      </c>
      <c r="L296" s="27">
        <f>VLOOKUP($A296, Stat!$A$1:$C$1000, 2,0)</f>
        <v>172</v>
      </c>
      <c r="M296" s="27">
        <f>VLOOKUP($A296, Stat!$A$1:$C$1000, 3,0)</f>
        <v>0</v>
      </c>
      <c r="N296" s="27">
        <v>1</v>
      </c>
      <c r="U296" s="30">
        <v>100</v>
      </c>
      <c r="V296" s="30">
        <v>0</v>
      </c>
      <c r="Z296" s="30" t="s">
        <v>748</v>
      </c>
    </row>
    <row r="297" spans="1:26" x14ac:dyDescent="0.2">
      <c r="A297" s="30">
        <v>434</v>
      </c>
      <c r="B297" s="30" t="s">
        <v>28</v>
      </c>
      <c r="C297" s="30" t="s">
        <v>12</v>
      </c>
      <c r="D297" s="30" t="s">
        <v>226</v>
      </c>
      <c r="E297" s="30" t="s">
        <v>147</v>
      </c>
      <c r="F297" s="27">
        <v>9</v>
      </c>
      <c r="H297" s="28" t="s">
        <v>111</v>
      </c>
      <c r="K297" s="61" t="s">
        <v>226</v>
      </c>
      <c r="L297" s="27">
        <f>VLOOKUP($A297, Stat!$A$1:$C$1000, 2,0)</f>
        <v>2</v>
      </c>
      <c r="M297" s="27">
        <f>VLOOKUP($A297, Stat!$A$1:$C$1000, 3,0)</f>
        <v>0</v>
      </c>
      <c r="N297" s="58"/>
      <c r="U297" s="30">
        <v>100</v>
      </c>
      <c r="V297" s="30">
        <v>0</v>
      </c>
      <c r="W297" s="30">
        <v>5</v>
      </c>
      <c r="Z297" s="30" t="s">
        <v>883</v>
      </c>
    </row>
    <row r="298" spans="1:26" x14ac:dyDescent="0.2">
      <c r="A298" s="30">
        <v>435</v>
      </c>
      <c r="B298" s="30" t="s">
        <v>28</v>
      </c>
      <c r="C298" s="30" t="s">
        <v>12</v>
      </c>
      <c r="D298" s="30" t="s">
        <v>226</v>
      </c>
      <c r="E298" s="30" t="s">
        <v>308</v>
      </c>
      <c r="F298" s="27">
        <v>9</v>
      </c>
      <c r="H298" s="28" t="s">
        <v>111</v>
      </c>
      <c r="K298" s="61" t="s">
        <v>226</v>
      </c>
      <c r="L298" s="27">
        <f>VLOOKUP($A298, Stat!$A$1:$C$1000, 2,0)</f>
        <v>7</v>
      </c>
      <c r="M298" s="27">
        <f>VLOOKUP($A298, Stat!$A$1:$C$1000, 3,0)</f>
        <v>0</v>
      </c>
      <c r="N298" s="58"/>
      <c r="U298" s="30">
        <v>50</v>
      </c>
      <c r="V298" s="30">
        <v>0</v>
      </c>
      <c r="W298" s="30">
        <v>5</v>
      </c>
      <c r="Z298" s="30" t="s">
        <v>884</v>
      </c>
    </row>
    <row r="299" spans="1:26" x14ac:dyDescent="0.2">
      <c r="A299" s="30">
        <v>436</v>
      </c>
      <c r="B299" s="30" t="s">
        <v>28</v>
      </c>
      <c r="C299" s="30" t="s">
        <v>12</v>
      </c>
      <c r="D299" s="30" t="s">
        <v>226</v>
      </c>
      <c r="E299" s="30" t="s">
        <v>390</v>
      </c>
      <c r="F299" s="27">
        <v>9</v>
      </c>
      <c r="H299" s="28" t="s">
        <v>111</v>
      </c>
      <c r="K299" s="61" t="s">
        <v>226</v>
      </c>
      <c r="L299" s="27">
        <f>VLOOKUP($A299, Stat!$A$1:$C$1000, 2,0)</f>
        <v>3</v>
      </c>
      <c r="M299" s="27">
        <f>VLOOKUP($A299, Stat!$A$1:$C$1000, 3,0)</f>
        <v>0</v>
      </c>
      <c r="N299" s="58"/>
      <c r="U299" s="30">
        <v>50</v>
      </c>
      <c r="V299" s="30">
        <v>0</v>
      </c>
      <c r="W299" s="30">
        <v>5</v>
      </c>
      <c r="Z299" s="30" t="s">
        <v>884</v>
      </c>
    </row>
    <row r="300" spans="1:26" x14ac:dyDescent="0.2">
      <c r="A300" s="30">
        <v>437</v>
      </c>
      <c r="B300" s="30" t="s">
        <v>28</v>
      </c>
      <c r="C300" s="30" t="s">
        <v>12</v>
      </c>
      <c r="D300" s="30" t="s">
        <v>226</v>
      </c>
      <c r="E300" s="30" t="s">
        <v>309</v>
      </c>
      <c r="F300" s="27">
        <v>9</v>
      </c>
      <c r="H300" s="28" t="s">
        <v>111</v>
      </c>
      <c r="K300" s="61" t="s">
        <v>226</v>
      </c>
      <c r="L300" s="27">
        <f>VLOOKUP($A300, Stat!$A$1:$C$1000, 2,0)</f>
        <v>3</v>
      </c>
      <c r="M300" s="27">
        <f>VLOOKUP($A300, Stat!$A$1:$C$1000, 3,0)</f>
        <v>0</v>
      </c>
      <c r="N300" s="58"/>
      <c r="U300" s="30">
        <v>0</v>
      </c>
      <c r="V300" s="30">
        <v>0</v>
      </c>
      <c r="W300" s="30">
        <v>5</v>
      </c>
      <c r="Z300" s="30" t="s">
        <v>884</v>
      </c>
    </row>
    <row r="301" spans="1:26" x14ac:dyDescent="0.2">
      <c r="A301" s="30">
        <v>458</v>
      </c>
      <c r="B301" s="30" t="s">
        <v>13</v>
      </c>
      <c r="C301" s="30" t="s">
        <v>93</v>
      </c>
      <c r="D301" s="30" t="s">
        <v>959</v>
      </c>
      <c r="E301" s="30" t="s">
        <v>901</v>
      </c>
      <c r="H301" s="28" t="s">
        <v>111</v>
      </c>
      <c r="L301" s="27">
        <f>VLOOKUP($A301, Stat!$A$1:$C$1000, 2,0)</f>
        <v>23</v>
      </c>
      <c r="M301" s="27">
        <f>VLOOKUP($A301, Stat!$A$1:$C$1000, 3,0)</f>
        <v>6</v>
      </c>
      <c r="U301" s="30">
        <v>100</v>
      </c>
      <c r="V301" s="30">
        <v>0</v>
      </c>
      <c r="Z301" s="30" t="s">
        <v>391</v>
      </c>
    </row>
    <row r="302" spans="1:26" x14ac:dyDescent="0.2">
      <c r="A302" s="30">
        <v>460</v>
      </c>
      <c r="B302" s="30" t="s">
        <v>28</v>
      </c>
      <c r="C302" s="30" t="s">
        <v>594</v>
      </c>
      <c r="D302" s="30" t="s">
        <v>606</v>
      </c>
      <c r="E302" s="30" t="s">
        <v>2</v>
      </c>
      <c r="F302" s="27">
        <v>5</v>
      </c>
      <c r="H302" s="28" t="s">
        <v>111</v>
      </c>
      <c r="L302" s="27">
        <f>VLOOKUP($A302, Stat!$A$1:$C$1000, 2,0)</f>
        <v>0</v>
      </c>
      <c r="M302" s="27">
        <f>VLOOKUP($A302, Stat!$A$1:$C$1000, 3,0)</f>
        <v>0</v>
      </c>
      <c r="N302" s="27">
        <v>1</v>
      </c>
      <c r="R302" s="28" t="s">
        <v>451</v>
      </c>
      <c r="U302" s="30">
        <v>50</v>
      </c>
      <c r="V302" s="30">
        <v>0</v>
      </c>
      <c r="Y302" s="30" t="s">
        <v>406</v>
      </c>
    </row>
    <row r="303" spans="1:26" x14ac:dyDescent="0.2">
      <c r="A303" s="30">
        <v>461</v>
      </c>
      <c r="B303" s="30" t="s">
        <v>28</v>
      </c>
      <c r="C303" s="30" t="s">
        <v>594</v>
      </c>
      <c r="D303" s="30" t="s">
        <v>606</v>
      </c>
      <c r="E303" s="30" t="s">
        <v>3</v>
      </c>
      <c r="F303" s="27">
        <v>5</v>
      </c>
      <c r="H303" s="28" t="s">
        <v>111</v>
      </c>
      <c r="L303" s="27">
        <f>VLOOKUP($A303, Stat!$A$1:$C$1000, 2,0)</f>
        <v>0</v>
      </c>
      <c r="M303" s="27">
        <f>VLOOKUP($A303, Stat!$A$1:$C$1000, 3,0)</f>
        <v>0</v>
      </c>
      <c r="N303" s="27">
        <v>1</v>
      </c>
      <c r="R303" s="28" t="s">
        <v>452</v>
      </c>
      <c r="U303" s="30">
        <v>50</v>
      </c>
      <c r="V303" s="30">
        <v>0</v>
      </c>
      <c r="Y303" s="30" t="s">
        <v>406</v>
      </c>
    </row>
    <row r="304" spans="1:26" x14ac:dyDescent="0.2">
      <c r="A304" s="30">
        <v>462</v>
      </c>
      <c r="B304" s="30" t="s">
        <v>28</v>
      </c>
      <c r="C304" s="30" t="s">
        <v>594</v>
      </c>
      <c r="D304" s="30" t="s">
        <v>606</v>
      </c>
      <c r="E304" s="30" t="s">
        <v>4</v>
      </c>
      <c r="F304" s="27">
        <v>5</v>
      </c>
      <c r="H304" s="28" t="s">
        <v>111</v>
      </c>
      <c r="L304" s="27">
        <f>VLOOKUP($A304, Stat!$A$1:$C$1000, 2,0)</f>
        <v>0</v>
      </c>
      <c r="M304" s="27">
        <f>VLOOKUP($A304, Stat!$A$1:$C$1000, 3,0)</f>
        <v>0</v>
      </c>
      <c r="N304" s="27">
        <v>1</v>
      </c>
      <c r="R304" s="28" t="s">
        <v>453</v>
      </c>
      <c r="U304" s="30">
        <v>100</v>
      </c>
      <c r="V304" s="30">
        <v>0</v>
      </c>
      <c r="Y304" s="30" t="s">
        <v>406</v>
      </c>
    </row>
    <row r="305" spans="1:25" x14ac:dyDescent="0.2">
      <c r="A305" s="30">
        <v>463</v>
      </c>
      <c r="B305" s="30" t="s">
        <v>28</v>
      </c>
      <c r="C305" s="30" t="s">
        <v>594</v>
      </c>
      <c r="D305" s="30" t="s">
        <v>606</v>
      </c>
      <c r="E305" s="30" t="s">
        <v>34</v>
      </c>
      <c r="F305" s="27">
        <v>5</v>
      </c>
      <c r="H305" s="28" t="s">
        <v>111</v>
      </c>
      <c r="L305" s="27">
        <f>VLOOKUP($A305, Stat!$A$1:$C$1000, 2,0)</f>
        <v>1</v>
      </c>
      <c r="M305" s="27">
        <f>VLOOKUP($A305, Stat!$A$1:$C$1000, 3,0)</f>
        <v>1</v>
      </c>
      <c r="N305" s="27">
        <v>1</v>
      </c>
      <c r="R305" s="28" t="s">
        <v>454</v>
      </c>
      <c r="U305" s="30">
        <v>100</v>
      </c>
      <c r="V305" s="30">
        <v>0</v>
      </c>
      <c r="Y305" s="30" t="s">
        <v>406</v>
      </c>
    </row>
    <row r="306" spans="1:25" x14ac:dyDescent="0.2">
      <c r="A306" s="30">
        <v>464</v>
      </c>
      <c r="B306" s="30" t="s">
        <v>28</v>
      </c>
      <c r="C306" s="30" t="s">
        <v>594</v>
      </c>
      <c r="D306" s="30" t="s">
        <v>607</v>
      </c>
      <c r="E306" s="30" t="s">
        <v>2</v>
      </c>
      <c r="F306" s="27">
        <v>5</v>
      </c>
      <c r="H306" s="28" t="s">
        <v>111</v>
      </c>
      <c r="L306" s="27">
        <f>VLOOKUP($A306, Stat!$A$1:$C$1000, 2,0)</f>
        <v>1</v>
      </c>
      <c r="M306" s="27">
        <f>VLOOKUP($A306, Stat!$A$1:$C$1000, 3,0)</f>
        <v>1</v>
      </c>
      <c r="N306" s="27">
        <v>1</v>
      </c>
      <c r="R306" s="28" t="s">
        <v>455</v>
      </c>
      <c r="U306" s="30">
        <v>50</v>
      </c>
      <c r="V306" s="30">
        <v>0</v>
      </c>
      <c r="Y306" s="30" t="s">
        <v>407</v>
      </c>
    </row>
    <row r="307" spans="1:25" x14ac:dyDescent="0.2">
      <c r="A307" s="30">
        <v>465</v>
      </c>
      <c r="B307" s="30" t="s">
        <v>28</v>
      </c>
      <c r="C307" s="30" t="s">
        <v>594</v>
      </c>
      <c r="D307" s="30" t="s">
        <v>607</v>
      </c>
      <c r="E307" s="30" t="s">
        <v>3</v>
      </c>
      <c r="F307" s="27">
        <v>5</v>
      </c>
      <c r="H307" s="28" t="s">
        <v>111</v>
      </c>
      <c r="L307" s="27">
        <f>VLOOKUP($A307, Stat!$A$1:$C$1000, 2,0)</f>
        <v>1</v>
      </c>
      <c r="M307" s="27">
        <f>VLOOKUP($A307, Stat!$A$1:$C$1000, 3,0)</f>
        <v>0</v>
      </c>
      <c r="N307" s="27">
        <v>1</v>
      </c>
      <c r="R307" s="28" t="s">
        <v>456</v>
      </c>
      <c r="U307" s="30">
        <v>50</v>
      </c>
      <c r="V307" s="30">
        <v>0</v>
      </c>
      <c r="Y307" s="30" t="s">
        <v>407</v>
      </c>
    </row>
    <row r="308" spans="1:25" x14ac:dyDescent="0.2">
      <c r="A308" s="30">
        <v>466</v>
      </c>
      <c r="B308" s="30" t="s">
        <v>28</v>
      </c>
      <c r="C308" s="30" t="s">
        <v>594</v>
      </c>
      <c r="D308" s="30" t="s">
        <v>607</v>
      </c>
      <c r="E308" s="30" t="s">
        <v>4</v>
      </c>
      <c r="F308" s="27">
        <v>5</v>
      </c>
      <c r="H308" s="28" t="s">
        <v>111</v>
      </c>
      <c r="L308" s="27">
        <f>VLOOKUP($A308, Stat!$A$1:$C$1000, 2,0)</f>
        <v>0</v>
      </c>
      <c r="M308" s="27">
        <f>VLOOKUP($A308, Stat!$A$1:$C$1000, 3,0)</f>
        <v>0</v>
      </c>
      <c r="N308" s="27">
        <v>1</v>
      </c>
      <c r="R308" s="28" t="s">
        <v>457</v>
      </c>
      <c r="U308" s="30">
        <v>100</v>
      </c>
      <c r="V308" s="30">
        <v>0</v>
      </c>
      <c r="Y308" s="30" t="s">
        <v>407</v>
      </c>
    </row>
    <row r="309" spans="1:25" x14ac:dyDescent="0.2">
      <c r="A309" s="30">
        <v>467</v>
      </c>
      <c r="B309" s="30" t="s">
        <v>28</v>
      </c>
      <c r="C309" s="30" t="s">
        <v>594</v>
      </c>
      <c r="D309" s="30" t="s">
        <v>607</v>
      </c>
      <c r="E309" s="30" t="s">
        <v>34</v>
      </c>
      <c r="F309" s="27">
        <v>5</v>
      </c>
      <c r="H309" s="28" t="s">
        <v>111</v>
      </c>
      <c r="L309" s="27">
        <f>VLOOKUP($A309, Stat!$A$1:$C$1000, 2,0)</f>
        <v>0</v>
      </c>
      <c r="M309" s="27">
        <f>VLOOKUP($A309, Stat!$A$1:$C$1000, 3,0)</f>
        <v>0</v>
      </c>
      <c r="N309" s="27">
        <v>1</v>
      </c>
      <c r="R309" s="28" t="s">
        <v>458</v>
      </c>
      <c r="U309" s="30">
        <v>100</v>
      </c>
      <c r="V309" s="30">
        <v>0</v>
      </c>
      <c r="Y309" s="30" t="s">
        <v>407</v>
      </c>
    </row>
    <row r="310" spans="1:25" x14ac:dyDescent="0.2">
      <c r="A310" s="30">
        <v>468</v>
      </c>
      <c r="B310" s="30" t="s">
        <v>28</v>
      </c>
      <c r="C310" s="30" t="s">
        <v>594</v>
      </c>
      <c r="D310" s="30" t="s">
        <v>608</v>
      </c>
      <c r="E310" s="30" t="s">
        <v>2</v>
      </c>
      <c r="F310" s="27">
        <v>5</v>
      </c>
      <c r="H310" s="28" t="s">
        <v>111</v>
      </c>
      <c r="L310" s="27">
        <f>VLOOKUP($A310, Stat!$A$1:$C$1000, 2,0)</f>
        <v>6</v>
      </c>
      <c r="M310" s="27">
        <f>VLOOKUP($A310, Stat!$A$1:$C$1000, 3,0)</f>
        <v>3</v>
      </c>
      <c r="N310" s="27">
        <v>1</v>
      </c>
      <c r="R310" s="28" t="s">
        <v>459</v>
      </c>
      <c r="U310" s="30">
        <v>50</v>
      </c>
      <c r="V310" s="30">
        <v>0</v>
      </c>
      <c r="Y310" s="30" t="s">
        <v>408</v>
      </c>
    </row>
    <row r="311" spans="1:25" x14ac:dyDescent="0.2">
      <c r="A311" s="30">
        <v>469</v>
      </c>
      <c r="B311" s="30" t="s">
        <v>28</v>
      </c>
      <c r="C311" s="30" t="s">
        <v>594</v>
      </c>
      <c r="D311" s="30" t="s">
        <v>608</v>
      </c>
      <c r="E311" s="30" t="s">
        <v>3</v>
      </c>
      <c r="F311" s="27">
        <v>5</v>
      </c>
      <c r="H311" s="28" t="s">
        <v>111</v>
      </c>
      <c r="L311" s="27">
        <f>VLOOKUP($A311, Stat!$A$1:$C$1000, 2,0)</f>
        <v>0</v>
      </c>
      <c r="M311" s="27">
        <f>VLOOKUP($A311, Stat!$A$1:$C$1000, 3,0)</f>
        <v>0</v>
      </c>
      <c r="N311" s="27">
        <v>1</v>
      </c>
      <c r="R311" s="28" t="s">
        <v>460</v>
      </c>
      <c r="U311" s="30">
        <v>50</v>
      </c>
      <c r="V311" s="30">
        <v>0</v>
      </c>
      <c r="Y311" s="30" t="s">
        <v>408</v>
      </c>
    </row>
    <row r="312" spans="1:25" x14ac:dyDescent="0.2">
      <c r="A312" s="30">
        <v>470</v>
      </c>
      <c r="B312" s="30" t="s">
        <v>28</v>
      </c>
      <c r="C312" s="30" t="s">
        <v>594</v>
      </c>
      <c r="D312" s="30" t="s">
        <v>608</v>
      </c>
      <c r="E312" s="30" t="s">
        <v>4</v>
      </c>
      <c r="F312" s="27">
        <v>5</v>
      </c>
      <c r="H312" s="28" t="s">
        <v>111</v>
      </c>
      <c r="L312" s="27">
        <f>VLOOKUP($A312, Stat!$A$1:$C$1000, 2,0)</f>
        <v>1</v>
      </c>
      <c r="M312" s="27">
        <f>VLOOKUP($A312, Stat!$A$1:$C$1000, 3,0)</f>
        <v>1</v>
      </c>
      <c r="N312" s="27">
        <v>1</v>
      </c>
      <c r="R312" s="28" t="s">
        <v>461</v>
      </c>
      <c r="U312" s="30">
        <v>100</v>
      </c>
      <c r="V312" s="30">
        <v>0</v>
      </c>
      <c r="Y312" s="30" t="s">
        <v>408</v>
      </c>
    </row>
    <row r="313" spans="1:25" x14ac:dyDescent="0.2">
      <c r="A313" s="30">
        <v>471</v>
      </c>
      <c r="B313" s="30" t="s">
        <v>28</v>
      </c>
      <c r="C313" s="30" t="s">
        <v>594</v>
      </c>
      <c r="D313" s="30" t="s">
        <v>608</v>
      </c>
      <c r="E313" s="30" t="s">
        <v>34</v>
      </c>
      <c r="F313" s="27">
        <v>5</v>
      </c>
      <c r="H313" s="28" t="s">
        <v>111</v>
      </c>
      <c r="L313" s="27">
        <f>VLOOKUP($A313, Stat!$A$1:$C$1000, 2,0)</f>
        <v>0</v>
      </c>
      <c r="M313" s="27">
        <f>VLOOKUP($A313, Stat!$A$1:$C$1000, 3,0)</f>
        <v>0</v>
      </c>
      <c r="N313" s="27">
        <v>1</v>
      </c>
      <c r="R313" s="28" t="s">
        <v>462</v>
      </c>
      <c r="U313" s="30">
        <v>100</v>
      </c>
      <c r="V313" s="30">
        <v>0</v>
      </c>
      <c r="Y313" s="30" t="s">
        <v>408</v>
      </c>
    </row>
    <row r="314" spans="1:25" x14ac:dyDescent="0.2">
      <c r="A314" s="30">
        <v>472</v>
      </c>
      <c r="B314" s="30" t="s">
        <v>28</v>
      </c>
      <c r="C314" s="30" t="s">
        <v>594</v>
      </c>
      <c r="D314" s="30" t="s">
        <v>609</v>
      </c>
      <c r="E314" s="30" t="s">
        <v>2</v>
      </c>
      <c r="F314" s="27">
        <v>5</v>
      </c>
      <c r="H314" s="28" t="s">
        <v>111</v>
      </c>
      <c r="L314" s="27">
        <f>VLOOKUP($A314, Stat!$A$1:$C$1000, 2,0)</f>
        <v>1</v>
      </c>
      <c r="M314" s="27">
        <f>VLOOKUP($A314, Stat!$A$1:$C$1000, 3,0)</f>
        <v>0</v>
      </c>
      <c r="N314" s="27">
        <v>1</v>
      </c>
      <c r="R314" s="28" t="s">
        <v>463</v>
      </c>
      <c r="U314" s="30">
        <v>50</v>
      </c>
      <c r="V314" s="30">
        <v>0</v>
      </c>
      <c r="Y314" s="30" t="s">
        <v>409</v>
      </c>
    </row>
    <row r="315" spans="1:25" x14ac:dyDescent="0.2">
      <c r="A315" s="30">
        <v>473</v>
      </c>
      <c r="B315" s="30" t="s">
        <v>28</v>
      </c>
      <c r="C315" s="30" t="s">
        <v>594</v>
      </c>
      <c r="D315" s="30" t="s">
        <v>609</v>
      </c>
      <c r="E315" s="30" t="s">
        <v>3</v>
      </c>
      <c r="F315" s="27">
        <v>5</v>
      </c>
      <c r="H315" s="28" t="s">
        <v>111</v>
      </c>
      <c r="L315" s="27">
        <f>VLOOKUP($A315, Stat!$A$1:$C$1000, 2,0)</f>
        <v>0</v>
      </c>
      <c r="M315" s="27">
        <f>VLOOKUP($A315, Stat!$A$1:$C$1000, 3,0)</f>
        <v>0</v>
      </c>
      <c r="N315" s="27">
        <v>1</v>
      </c>
      <c r="R315" s="28" t="s">
        <v>464</v>
      </c>
      <c r="U315" s="30">
        <v>50</v>
      </c>
      <c r="V315" s="30">
        <v>0</v>
      </c>
      <c r="Y315" s="30" t="s">
        <v>409</v>
      </c>
    </row>
    <row r="316" spans="1:25" x14ac:dyDescent="0.2">
      <c r="A316" s="30">
        <v>474</v>
      </c>
      <c r="B316" s="30" t="s">
        <v>28</v>
      </c>
      <c r="C316" s="30" t="s">
        <v>594</v>
      </c>
      <c r="D316" s="30" t="s">
        <v>609</v>
      </c>
      <c r="E316" s="30" t="s">
        <v>4</v>
      </c>
      <c r="F316" s="27">
        <v>5</v>
      </c>
      <c r="H316" s="28" t="s">
        <v>111</v>
      </c>
      <c r="L316" s="27">
        <f>VLOOKUP($A316, Stat!$A$1:$C$1000, 2,0)</f>
        <v>0</v>
      </c>
      <c r="M316" s="27">
        <f>VLOOKUP($A316, Stat!$A$1:$C$1000, 3,0)</f>
        <v>0</v>
      </c>
      <c r="N316" s="27">
        <v>1</v>
      </c>
      <c r="R316" s="28" t="s">
        <v>465</v>
      </c>
      <c r="U316" s="30">
        <v>100</v>
      </c>
      <c r="V316" s="30">
        <v>0</v>
      </c>
      <c r="Y316" s="30" t="s">
        <v>409</v>
      </c>
    </row>
    <row r="317" spans="1:25" x14ac:dyDescent="0.2">
      <c r="A317" s="30">
        <v>475</v>
      </c>
      <c r="B317" s="30" t="s">
        <v>28</v>
      </c>
      <c r="C317" s="30" t="s">
        <v>594</v>
      </c>
      <c r="D317" s="30" t="s">
        <v>609</v>
      </c>
      <c r="E317" s="30" t="s">
        <v>34</v>
      </c>
      <c r="F317" s="27">
        <v>5</v>
      </c>
      <c r="H317" s="28" t="s">
        <v>111</v>
      </c>
      <c r="L317" s="27">
        <f>VLOOKUP($A317, Stat!$A$1:$C$1000, 2,0)</f>
        <v>0</v>
      </c>
      <c r="M317" s="27">
        <f>VLOOKUP($A317, Stat!$A$1:$C$1000, 3,0)</f>
        <v>0</v>
      </c>
      <c r="N317" s="27">
        <v>1</v>
      </c>
      <c r="R317" s="28" t="s">
        <v>466</v>
      </c>
      <c r="U317" s="30">
        <v>100</v>
      </c>
      <c r="V317" s="30">
        <v>0</v>
      </c>
      <c r="Y317" s="30" t="s">
        <v>409</v>
      </c>
    </row>
    <row r="318" spans="1:25" x14ac:dyDescent="0.2">
      <c r="A318" s="30">
        <v>476</v>
      </c>
      <c r="B318" s="30" t="s">
        <v>28</v>
      </c>
      <c r="C318" s="30" t="s">
        <v>594</v>
      </c>
      <c r="D318" s="30" t="s">
        <v>604</v>
      </c>
      <c r="E318" s="30" t="s">
        <v>2</v>
      </c>
      <c r="F318" s="27">
        <v>5</v>
      </c>
      <c r="H318" s="28" t="s">
        <v>111</v>
      </c>
      <c r="N318" s="27">
        <v>1</v>
      </c>
      <c r="U318" s="30">
        <v>50</v>
      </c>
      <c r="V318" s="30">
        <v>0</v>
      </c>
      <c r="Y318" s="30" t="s">
        <v>346</v>
      </c>
    </row>
    <row r="319" spans="1:25" x14ac:dyDescent="0.2">
      <c r="A319" s="30">
        <v>477</v>
      </c>
      <c r="B319" s="30" t="s">
        <v>28</v>
      </c>
      <c r="C319" s="30" t="s">
        <v>594</v>
      </c>
      <c r="D319" s="30" t="s">
        <v>604</v>
      </c>
      <c r="E319" s="30" t="s">
        <v>3</v>
      </c>
      <c r="F319" s="27">
        <v>5</v>
      </c>
      <c r="H319" s="28" t="s">
        <v>111</v>
      </c>
      <c r="N319" s="27">
        <v>1</v>
      </c>
      <c r="U319" s="30">
        <v>50</v>
      </c>
      <c r="V319" s="30">
        <v>0</v>
      </c>
      <c r="Y319" s="30" t="s">
        <v>346</v>
      </c>
    </row>
    <row r="320" spans="1:25" x14ac:dyDescent="0.2">
      <c r="A320" s="30">
        <v>478</v>
      </c>
      <c r="B320" s="30" t="s">
        <v>28</v>
      </c>
      <c r="C320" s="30" t="s">
        <v>594</v>
      </c>
      <c r="D320" s="30" t="s">
        <v>604</v>
      </c>
      <c r="E320" s="30" t="s">
        <v>4</v>
      </c>
      <c r="F320" s="27">
        <v>5</v>
      </c>
      <c r="H320" s="28" t="s">
        <v>111</v>
      </c>
      <c r="N320" s="27">
        <v>1</v>
      </c>
      <c r="U320" s="30">
        <v>100</v>
      </c>
      <c r="V320" s="30">
        <v>0</v>
      </c>
      <c r="Y320" s="30" t="s">
        <v>346</v>
      </c>
    </row>
    <row r="321" spans="1:26" x14ac:dyDescent="0.2">
      <c r="A321" s="30">
        <v>479</v>
      </c>
      <c r="B321" s="30" t="s">
        <v>28</v>
      </c>
      <c r="C321" s="30" t="s">
        <v>594</v>
      </c>
      <c r="D321" s="30" t="s">
        <v>604</v>
      </c>
      <c r="E321" s="30" t="s">
        <v>34</v>
      </c>
      <c r="F321" s="27">
        <v>5</v>
      </c>
      <c r="H321" s="28" t="s">
        <v>111</v>
      </c>
      <c r="N321" s="27">
        <v>1</v>
      </c>
      <c r="U321" s="30">
        <v>100</v>
      </c>
      <c r="V321" s="30">
        <v>0</v>
      </c>
      <c r="Y321" s="30" t="s">
        <v>346</v>
      </c>
    </row>
    <row r="322" spans="1:26" x14ac:dyDescent="0.2">
      <c r="A322" s="30">
        <v>481</v>
      </c>
      <c r="B322" s="30" t="s">
        <v>13</v>
      </c>
      <c r="C322" s="30" t="s">
        <v>41</v>
      </c>
      <c r="D322" s="30" t="s">
        <v>513</v>
      </c>
      <c r="E322" s="30" t="s">
        <v>40</v>
      </c>
      <c r="F322" s="28" t="s">
        <v>216</v>
      </c>
      <c r="G322" s="28" t="s">
        <v>111</v>
      </c>
      <c r="H322" s="28"/>
      <c r="I322" s="28"/>
      <c r="J322" s="28"/>
      <c r="K322" s="27" t="s">
        <v>941</v>
      </c>
      <c r="L322" s="27">
        <f>VLOOKUP($A322, Stat!$A$1:$C$1000, 2,0)</f>
        <v>65</v>
      </c>
      <c r="M322" s="27">
        <f>VLOOKUP($A322, Stat!$A$1:$C$1000, 3,0)</f>
        <v>37</v>
      </c>
      <c r="N322" s="27">
        <v>1</v>
      </c>
      <c r="U322" s="30">
        <v>100</v>
      </c>
      <c r="V322" s="30">
        <v>0</v>
      </c>
    </row>
    <row r="323" spans="1:26" x14ac:dyDescent="0.2">
      <c r="A323" s="30">
        <v>482</v>
      </c>
      <c r="B323" s="30" t="s">
        <v>13</v>
      </c>
      <c r="C323" s="30" t="s">
        <v>41</v>
      </c>
      <c r="D323" s="30" t="s">
        <v>513</v>
      </c>
      <c r="E323" s="30" t="s">
        <v>175</v>
      </c>
      <c r="F323" s="28" t="s">
        <v>216</v>
      </c>
      <c r="G323" s="28" t="s">
        <v>111</v>
      </c>
      <c r="H323" s="28"/>
      <c r="I323" s="28"/>
      <c r="J323" s="28"/>
      <c r="K323" s="27" t="s">
        <v>941</v>
      </c>
      <c r="L323" s="27">
        <f>VLOOKUP($A323, Stat!$A$1:$C$1000, 2,0)</f>
        <v>9</v>
      </c>
      <c r="M323" s="27">
        <f>VLOOKUP($A323, Stat!$A$1:$C$1000, 3,0)</f>
        <v>4</v>
      </c>
      <c r="N323" s="27">
        <v>1</v>
      </c>
      <c r="U323" s="30">
        <v>50</v>
      </c>
      <c r="V323" s="30">
        <v>0</v>
      </c>
      <c r="X323" s="30" t="s">
        <v>623</v>
      </c>
      <c r="Z323" s="30" t="s">
        <v>176</v>
      </c>
    </row>
    <row r="324" spans="1:26" x14ac:dyDescent="0.2">
      <c r="A324" s="30">
        <v>484</v>
      </c>
      <c r="B324" s="30" t="s">
        <v>13</v>
      </c>
      <c r="C324" s="30" t="s">
        <v>41</v>
      </c>
      <c r="D324" s="30" t="s">
        <v>857</v>
      </c>
      <c r="E324" s="30" t="s">
        <v>98</v>
      </c>
      <c r="F324" s="27">
        <v>7</v>
      </c>
      <c r="G324" s="27">
        <v>1</v>
      </c>
      <c r="H324" s="28"/>
      <c r="K324" s="27" t="s">
        <v>941</v>
      </c>
      <c r="L324" s="27">
        <f>VLOOKUP($A324, Stat!$A$1:$C$1000, 2,0)</f>
        <v>22</v>
      </c>
      <c r="M324" s="27">
        <f>VLOOKUP($A324, Stat!$A$1:$C$1000, 3,0)</f>
        <v>3</v>
      </c>
      <c r="N324" s="27">
        <v>1</v>
      </c>
      <c r="U324" s="30">
        <v>0</v>
      </c>
      <c r="V324" s="30">
        <v>1</v>
      </c>
      <c r="X324" s="30" t="s">
        <v>693</v>
      </c>
      <c r="Y324" s="30" t="s">
        <v>859</v>
      </c>
      <c r="Z324" s="30" t="s">
        <v>778</v>
      </c>
    </row>
    <row r="325" spans="1:26" x14ac:dyDescent="0.2">
      <c r="A325" s="30">
        <v>485</v>
      </c>
      <c r="B325" s="30" t="s">
        <v>13</v>
      </c>
      <c r="C325" s="30" t="s">
        <v>41</v>
      </c>
      <c r="D325" s="30" t="s">
        <v>857</v>
      </c>
      <c r="E325" s="30" t="s">
        <v>199</v>
      </c>
      <c r="F325" s="27">
        <v>7</v>
      </c>
      <c r="G325" s="27">
        <v>1</v>
      </c>
      <c r="H325" s="28"/>
      <c r="K325" s="27" t="s">
        <v>941</v>
      </c>
      <c r="L325" s="27">
        <f>VLOOKUP($A325, Stat!$A$1:$C$1000, 2,0)</f>
        <v>8</v>
      </c>
      <c r="M325" s="27">
        <f>VLOOKUP($A325, Stat!$A$1:$C$1000, 3,0)</f>
        <v>4</v>
      </c>
      <c r="N325" s="27">
        <v>1</v>
      </c>
      <c r="U325" s="30">
        <v>0</v>
      </c>
      <c r="V325" s="30">
        <v>1</v>
      </c>
      <c r="X325" s="30" t="s">
        <v>693</v>
      </c>
      <c r="Y325" s="30" t="s">
        <v>859</v>
      </c>
      <c r="Z325" s="30" t="s">
        <v>198</v>
      </c>
    </row>
    <row r="326" spans="1:26" x14ac:dyDescent="0.2">
      <c r="A326" s="30">
        <v>488</v>
      </c>
      <c r="B326" s="30" t="s">
        <v>13</v>
      </c>
      <c r="C326" s="30" t="s">
        <v>41</v>
      </c>
      <c r="D326" s="30" t="s">
        <v>857</v>
      </c>
      <c r="E326" s="30" t="s">
        <v>777</v>
      </c>
      <c r="F326" s="27">
        <v>7</v>
      </c>
      <c r="G326" s="27">
        <v>1</v>
      </c>
      <c r="H326" s="28"/>
      <c r="K326" s="27" t="s">
        <v>941</v>
      </c>
      <c r="L326" s="27">
        <f>VLOOKUP($A326, Stat!$A$1:$C$1000, 2,0)</f>
        <v>81</v>
      </c>
      <c r="M326" s="27">
        <f>VLOOKUP($A326, Stat!$A$1:$C$1000, 3,0)</f>
        <v>28</v>
      </c>
      <c r="N326" s="27">
        <v>1</v>
      </c>
      <c r="U326" s="30">
        <v>0</v>
      </c>
      <c r="V326" s="30">
        <v>1</v>
      </c>
      <c r="X326" s="30" t="s">
        <v>693</v>
      </c>
      <c r="Y326" s="30" t="s">
        <v>859</v>
      </c>
      <c r="Z326" s="30" t="s">
        <v>781</v>
      </c>
    </row>
    <row r="327" spans="1:26" x14ac:dyDescent="0.2">
      <c r="A327" s="30">
        <v>490</v>
      </c>
      <c r="B327" s="30" t="s">
        <v>13</v>
      </c>
      <c r="C327" s="30" t="s">
        <v>41</v>
      </c>
      <c r="D327" s="30" t="s">
        <v>857</v>
      </c>
      <c r="E327" s="30" t="s">
        <v>39</v>
      </c>
      <c r="F327" s="27">
        <v>7</v>
      </c>
      <c r="G327" s="27">
        <v>1</v>
      </c>
      <c r="H327" s="28"/>
      <c r="K327" s="27" t="s">
        <v>941</v>
      </c>
      <c r="L327" s="27">
        <f>VLOOKUP($A327, Stat!$A$1:$C$1000, 2,0)</f>
        <v>42</v>
      </c>
      <c r="M327" s="27">
        <f>VLOOKUP($A327, Stat!$A$1:$C$1000, 3,0)</f>
        <v>12</v>
      </c>
      <c r="N327" s="27">
        <v>1</v>
      </c>
      <c r="U327" s="30">
        <v>100</v>
      </c>
      <c r="V327" s="30">
        <v>0</v>
      </c>
      <c r="X327" s="30" t="s">
        <v>693</v>
      </c>
      <c r="Y327" s="30" t="s">
        <v>859</v>
      </c>
      <c r="Z327" s="30" t="s">
        <v>780</v>
      </c>
    </row>
    <row r="328" spans="1:26" x14ac:dyDescent="0.2">
      <c r="A328" s="30">
        <v>491</v>
      </c>
      <c r="B328" s="30" t="s">
        <v>13</v>
      </c>
      <c r="C328" s="30" t="s">
        <v>41</v>
      </c>
      <c r="D328" s="30" t="s">
        <v>857</v>
      </c>
      <c r="E328" s="30" t="s">
        <v>981</v>
      </c>
      <c r="F328" s="27">
        <v>7</v>
      </c>
      <c r="G328" s="27">
        <v>1</v>
      </c>
      <c r="H328" s="28"/>
      <c r="K328" s="27" t="s">
        <v>941</v>
      </c>
      <c r="L328" s="27">
        <f>VLOOKUP($A328, Stat!$A$1:$C$1000, 2,0)</f>
        <v>4</v>
      </c>
      <c r="M328" s="27">
        <f>VLOOKUP($A328, Stat!$A$1:$C$1000, 3,0)</f>
        <v>2</v>
      </c>
      <c r="N328" s="27">
        <v>1</v>
      </c>
      <c r="U328" s="30">
        <v>50</v>
      </c>
      <c r="V328" s="30">
        <v>0</v>
      </c>
      <c r="X328" s="30" t="s">
        <v>693</v>
      </c>
      <c r="Y328" s="30" t="s">
        <v>859</v>
      </c>
      <c r="Z328" s="30" t="s">
        <v>982</v>
      </c>
    </row>
    <row r="329" spans="1:26" x14ac:dyDescent="0.2">
      <c r="A329" s="30">
        <v>492</v>
      </c>
      <c r="B329" s="30" t="s">
        <v>13</v>
      </c>
      <c r="C329" s="30" t="s">
        <v>41</v>
      </c>
      <c r="D329" s="30" t="s">
        <v>857</v>
      </c>
      <c r="E329" s="30" t="s">
        <v>776</v>
      </c>
      <c r="F329" s="27">
        <v>7</v>
      </c>
      <c r="G329" s="27">
        <v>1</v>
      </c>
      <c r="H329" s="28"/>
      <c r="K329" s="27" t="s">
        <v>941</v>
      </c>
      <c r="L329" s="27">
        <f>VLOOKUP($A329, Stat!$A$1:$C$1000, 2,0)</f>
        <v>43</v>
      </c>
      <c r="M329" s="27">
        <f>VLOOKUP($A329, Stat!$A$1:$C$1000, 3,0)</f>
        <v>12</v>
      </c>
      <c r="N329" s="27">
        <v>1</v>
      </c>
      <c r="R329" s="27">
        <v>488</v>
      </c>
      <c r="U329" s="30">
        <v>0</v>
      </c>
      <c r="V329" s="30">
        <v>1</v>
      </c>
      <c r="X329" s="30" t="s">
        <v>693</v>
      </c>
      <c r="Y329" s="30" t="s">
        <v>859</v>
      </c>
      <c r="Z329" s="30" t="s">
        <v>779</v>
      </c>
    </row>
    <row r="330" spans="1:26" x14ac:dyDescent="0.2">
      <c r="A330" s="30">
        <v>493</v>
      </c>
      <c r="B330" s="30" t="s">
        <v>28</v>
      </c>
      <c r="C330" s="30" t="s">
        <v>6</v>
      </c>
      <c r="D330" s="30" t="s">
        <v>588</v>
      </c>
      <c r="E330" s="30" t="s">
        <v>141</v>
      </c>
      <c r="F330" s="69" t="s">
        <v>217</v>
      </c>
      <c r="G330" s="29"/>
      <c r="H330" s="28" t="s">
        <v>111</v>
      </c>
      <c r="I330" s="29"/>
      <c r="J330" s="29"/>
      <c r="K330" s="28" t="s">
        <v>222</v>
      </c>
      <c r="L330" s="55">
        <f>VLOOKUP($A330, Stat!$A$1:$C$1000, 2,0)</f>
        <v>10</v>
      </c>
      <c r="M330" s="55">
        <f>VLOOKUP($A330, Stat!$A$1:$C$1000, 3,0)</f>
        <v>0</v>
      </c>
      <c r="N330" s="58"/>
      <c r="Q330" s="27">
        <v>1</v>
      </c>
      <c r="R330" s="28"/>
      <c r="U330" s="30">
        <v>0</v>
      </c>
      <c r="V330" s="30">
        <v>0</v>
      </c>
      <c r="W330" s="30">
        <v>5</v>
      </c>
    </row>
    <row r="331" spans="1:26" x14ac:dyDescent="0.2">
      <c r="A331" s="30">
        <v>494</v>
      </c>
      <c r="B331" s="30" t="s">
        <v>28</v>
      </c>
      <c r="C331" s="30" t="s">
        <v>6</v>
      </c>
      <c r="D331" s="30" t="s">
        <v>588</v>
      </c>
      <c r="E331" s="30" t="s">
        <v>429</v>
      </c>
      <c r="F331" s="69" t="s">
        <v>217</v>
      </c>
      <c r="G331" s="29"/>
      <c r="H331" s="28" t="s">
        <v>111</v>
      </c>
      <c r="I331" s="29"/>
      <c r="J331" s="29"/>
      <c r="K331" s="28" t="s">
        <v>222</v>
      </c>
      <c r="L331" s="55">
        <f>VLOOKUP($A331, Stat!$A$1:$C$1000, 2,0)</f>
        <v>11</v>
      </c>
      <c r="M331" s="55">
        <f>VLOOKUP($A331, Stat!$A$1:$C$1000, 3,0)</f>
        <v>0</v>
      </c>
      <c r="N331" s="58"/>
      <c r="Q331" s="27">
        <v>1</v>
      </c>
      <c r="R331" s="28"/>
      <c r="U331" s="30">
        <v>0</v>
      </c>
      <c r="V331" s="30">
        <v>0</v>
      </c>
      <c r="W331" s="30">
        <v>5</v>
      </c>
      <c r="Z331" s="30" t="s">
        <v>882</v>
      </c>
    </row>
    <row r="332" spans="1:26" x14ac:dyDescent="0.2">
      <c r="A332" s="30">
        <v>495</v>
      </c>
      <c r="B332" s="30" t="s">
        <v>28</v>
      </c>
      <c r="C332" s="30" t="s">
        <v>6</v>
      </c>
      <c r="D332" s="30" t="s">
        <v>588</v>
      </c>
      <c r="E332" s="30" t="s">
        <v>162</v>
      </c>
      <c r="F332" s="69" t="s">
        <v>217</v>
      </c>
      <c r="G332" s="29"/>
      <c r="H332" s="28" t="s">
        <v>111</v>
      </c>
      <c r="I332" s="29"/>
      <c r="J332" s="29"/>
      <c r="K332" s="28" t="s">
        <v>222</v>
      </c>
      <c r="L332" s="55">
        <f>VLOOKUP($A332, Stat!$A$1:$C$1000, 2,0)</f>
        <v>0</v>
      </c>
      <c r="M332" s="55">
        <f>VLOOKUP($A332, Stat!$A$1:$C$1000, 3,0)</f>
        <v>0</v>
      </c>
      <c r="N332" s="58"/>
      <c r="Q332" s="27">
        <v>1</v>
      </c>
      <c r="R332" s="28" t="s">
        <v>423</v>
      </c>
      <c r="U332" s="30">
        <v>50</v>
      </c>
      <c r="V332" s="30">
        <v>0</v>
      </c>
      <c r="W332" s="30">
        <v>5</v>
      </c>
    </row>
    <row r="333" spans="1:26" x14ac:dyDescent="0.2">
      <c r="A333" s="30">
        <v>496</v>
      </c>
      <c r="B333" s="30" t="s">
        <v>28</v>
      </c>
      <c r="C333" s="30" t="s">
        <v>6</v>
      </c>
      <c r="D333" s="30" t="s">
        <v>588</v>
      </c>
      <c r="E333" s="30" t="s">
        <v>418</v>
      </c>
      <c r="F333" s="69" t="s">
        <v>217</v>
      </c>
      <c r="G333" s="29"/>
      <c r="H333" s="28" t="s">
        <v>111</v>
      </c>
      <c r="I333" s="29"/>
      <c r="J333" s="29"/>
      <c r="K333" s="28" t="s">
        <v>222</v>
      </c>
      <c r="L333" s="55">
        <f>VLOOKUP($A333, Stat!$A$1:$C$1000, 2,0)</f>
        <v>0</v>
      </c>
      <c r="M333" s="55">
        <f>VLOOKUP($A333, Stat!$A$1:$C$1000, 3,0)</f>
        <v>0</v>
      </c>
      <c r="N333" s="58"/>
      <c r="Q333" s="27">
        <v>1</v>
      </c>
      <c r="R333" s="28" t="s">
        <v>424</v>
      </c>
      <c r="U333" s="30">
        <v>50</v>
      </c>
      <c r="V333" s="30">
        <v>0</v>
      </c>
      <c r="W333" s="30">
        <v>5</v>
      </c>
      <c r="Z333" s="30" t="s">
        <v>882</v>
      </c>
    </row>
    <row r="334" spans="1:26" x14ac:dyDescent="0.2">
      <c r="A334" s="30">
        <v>497</v>
      </c>
      <c r="B334" s="30" t="s">
        <v>28</v>
      </c>
      <c r="C334" s="30" t="s">
        <v>6</v>
      </c>
      <c r="D334" s="30" t="s">
        <v>589</v>
      </c>
      <c r="E334" s="30" t="s">
        <v>430</v>
      </c>
      <c r="F334" s="69" t="s">
        <v>217</v>
      </c>
      <c r="G334" s="29"/>
      <c r="H334" s="28" t="s">
        <v>111</v>
      </c>
      <c r="I334" s="29"/>
      <c r="J334" s="29"/>
      <c r="K334" s="28" t="s">
        <v>222</v>
      </c>
      <c r="L334" s="27">
        <f>VLOOKUP($A334, Stat!$A$1:$C$1000, 2,0)</f>
        <v>6</v>
      </c>
      <c r="M334" s="27">
        <f>VLOOKUP($A334, Stat!$A$1:$C$1000, 3,0)</f>
        <v>0</v>
      </c>
      <c r="N334" s="58"/>
      <c r="Q334" s="27">
        <v>1</v>
      </c>
      <c r="R334" s="28"/>
      <c r="U334" s="30">
        <v>0</v>
      </c>
      <c r="V334" s="30">
        <v>0</v>
      </c>
      <c r="W334" s="30">
        <v>5</v>
      </c>
    </row>
    <row r="335" spans="1:26" x14ac:dyDescent="0.2">
      <c r="A335" s="30">
        <v>498</v>
      </c>
      <c r="B335" s="30" t="s">
        <v>28</v>
      </c>
      <c r="C335" s="30" t="s">
        <v>6</v>
      </c>
      <c r="D335" s="30" t="s">
        <v>589</v>
      </c>
      <c r="E335" s="30" t="s">
        <v>431</v>
      </c>
      <c r="F335" s="69" t="s">
        <v>217</v>
      </c>
      <c r="G335" s="29"/>
      <c r="H335" s="28" t="s">
        <v>111</v>
      </c>
      <c r="I335" s="29"/>
      <c r="J335" s="29"/>
      <c r="K335" s="28" t="s">
        <v>222</v>
      </c>
      <c r="L335" s="27">
        <f>VLOOKUP($A335, Stat!$A$1:$C$1000, 2,0)</f>
        <v>5</v>
      </c>
      <c r="M335" s="27">
        <f>VLOOKUP($A335, Stat!$A$1:$C$1000, 3,0)</f>
        <v>0</v>
      </c>
      <c r="N335" s="58"/>
      <c r="Q335" s="27">
        <v>1</v>
      </c>
      <c r="R335" s="28"/>
      <c r="U335" s="30">
        <v>0</v>
      </c>
      <c r="V335" s="30">
        <v>0</v>
      </c>
      <c r="W335" s="30">
        <v>5</v>
      </c>
      <c r="Z335" s="30" t="s">
        <v>882</v>
      </c>
    </row>
    <row r="336" spans="1:26" x14ac:dyDescent="0.2">
      <c r="A336" s="30">
        <v>499</v>
      </c>
      <c r="B336" s="30" t="s">
        <v>28</v>
      </c>
      <c r="C336" s="30" t="s">
        <v>6</v>
      </c>
      <c r="D336" s="30" t="s">
        <v>589</v>
      </c>
      <c r="E336" s="30" t="s">
        <v>432</v>
      </c>
      <c r="F336" s="69" t="s">
        <v>217</v>
      </c>
      <c r="G336" s="29"/>
      <c r="H336" s="28" t="s">
        <v>111</v>
      </c>
      <c r="I336" s="29"/>
      <c r="J336" s="29"/>
      <c r="K336" s="28" t="s">
        <v>222</v>
      </c>
      <c r="L336" s="27">
        <f>VLOOKUP($A336, Stat!$A$1:$C$1000, 2,0)</f>
        <v>0</v>
      </c>
      <c r="M336" s="27">
        <f>VLOOKUP($A336, Stat!$A$1:$C$1000, 3,0)</f>
        <v>0</v>
      </c>
      <c r="N336" s="58"/>
      <c r="Q336" s="27">
        <v>1</v>
      </c>
      <c r="R336" s="28" t="s">
        <v>425</v>
      </c>
      <c r="U336" s="30">
        <v>50</v>
      </c>
      <c r="V336" s="30">
        <v>0</v>
      </c>
      <c r="W336" s="30">
        <v>5</v>
      </c>
    </row>
    <row r="337" spans="1:26" x14ac:dyDescent="0.2">
      <c r="A337" s="30">
        <v>500</v>
      </c>
      <c r="B337" s="30" t="s">
        <v>28</v>
      </c>
      <c r="C337" s="30" t="s">
        <v>6</v>
      </c>
      <c r="D337" s="30" t="s">
        <v>589</v>
      </c>
      <c r="E337" s="30" t="s">
        <v>433</v>
      </c>
      <c r="F337" s="69" t="s">
        <v>217</v>
      </c>
      <c r="G337" s="29"/>
      <c r="H337" s="28" t="s">
        <v>111</v>
      </c>
      <c r="I337" s="29"/>
      <c r="J337" s="29"/>
      <c r="K337" s="28" t="s">
        <v>222</v>
      </c>
      <c r="L337" s="27">
        <f>VLOOKUP($A337, Stat!$A$1:$C$1000, 2,0)</f>
        <v>0</v>
      </c>
      <c r="M337" s="27">
        <f>VLOOKUP($A337, Stat!$A$1:$C$1000, 3,0)</f>
        <v>0</v>
      </c>
      <c r="N337" s="58"/>
      <c r="Q337" s="27">
        <v>1</v>
      </c>
      <c r="R337" s="28" t="s">
        <v>426</v>
      </c>
      <c r="U337" s="30">
        <v>50</v>
      </c>
      <c r="V337" s="30">
        <v>0</v>
      </c>
      <c r="W337" s="30">
        <v>5</v>
      </c>
      <c r="Z337" s="30" t="s">
        <v>882</v>
      </c>
    </row>
    <row r="338" spans="1:26" x14ac:dyDescent="0.2">
      <c r="A338" s="30">
        <v>501</v>
      </c>
      <c r="B338" s="30" t="s">
        <v>28</v>
      </c>
      <c r="C338" s="30" t="s">
        <v>6</v>
      </c>
      <c r="D338" s="30" t="s">
        <v>302</v>
      </c>
      <c r="E338" s="30">
        <v>4</v>
      </c>
      <c r="F338" s="69" t="s">
        <v>217</v>
      </c>
      <c r="G338" s="28"/>
      <c r="H338" s="28" t="s">
        <v>111</v>
      </c>
      <c r="I338" s="28"/>
      <c r="J338" s="28"/>
      <c r="K338" s="28" t="s">
        <v>302</v>
      </c>
      <c r="L338" s="55">
        <f>VLOOKUP($A338, Stat!$A$1:$C$1000, 2,0)</f>
        <v>28</v>
      </c>
      <c r="M338" s="55">
        <f>VLOOKUP($A338, Stat!$A$1:$C$1000, 3,0)</f>
        <v>0</v>
      </c>
      <c r="N338" s="58"/>
      <c r="Q338" s="27">
        <v>1</v>
      </c>
      <c r="R338" s="28"/>
      <c r="U338" s="30">
        <v>50</v>
      </c>
      <c r="V338" s="30">
        <v>0</v>
      </c>
      <c r="W338" s="30">
        <v>5</v>
      </c>
      <c r="Y338" s="30" t="s">
        <v>422</v>
      </c>
    </row>
    <row r="339" spans="1:26" x14ac:dyDescent="0.2">
      <c r="A339" s="30">
        <v>502</v>
      </c>
      <c r="B339" s="30" t="s">
        <v>28</v>
      </c>
      <c r="C339" s="30" t="s">
        <v>6</v>
      </c>
      <c r="D339" s="30" t="s">
        <v>302</v>
      </c>
      <c r="E339" s="30" t="s">
        <v>593</v>
      </c>
      <c r="F339" s="69" t="s">
        <v>217</v>
      </c>
      <c r="G339" s="28"/>
      <c r="H339" s="28" t="s">
        <v>111</v>
      </c>
      <c r="I339" s="28"/>
      <c r="J339" s="28"/>
      <c r="K339" s="28" t="s">
        <v>302</v>
      </c>
      <c r="L339" s="55">
        <f>VLOOKUP($A339, Stat!$A$1:$C$1000, 2,0)</f>
        <v>8</v>
      </c>
      <c r="M339" s="55">
        <f>VLOOKUP($A339, Stat!$A$1:$C$1000, 3,0)</f>
        <v>0</v>
      </c>
      <c r="N339" s="58"/>
      <c r="Q339" s="27">
        <v>1</v>
      </c>
      <c r="R339" s="27">
        <v>501</v>
      </c>
      <c r="U339" s="30">
        <v>100</v>
      </c>
      <c r="V339" s="30">
        <v>0</v>
      </c>
      <c r="W339" s="30">
        <v>5</v>
      </c>
      <c r="Y339" s="30" t="s">
        <v>422</v>
      </c>
    </row>
    <row r="340" spans="1:26" x14ac:dyDescent="0.2">
      <c r="A340" s="30">
        <v>503</v>
      </c>
      <c r="B340" s="30" t="s">
        <v>28</v>
      </c>
      <c r="C340" s="30" t="s">
        <v>6</v>
      </c>
      <c r="D340" s="30" t="s">
        <v>7</v>
      </c>
      <c r="E340" s="30" t="s">
        <v>972</v>
      </c>
      <c r="F340" s="69" t="s">
        <v>217</v>
      </c>
      <c r="G340" s="29"/>
      <c r="H340" s="28" t="s">
        <v>111</v>
      </c>
      <c r="I340" s="29"/>
      <c r="J340" s="29"/>
      <c r="K340" s="28" t="s">
        <v>298</v>
      </c>
      <c r="L340" s="55">
        <f>VLOOKUP($A340, Stat!$A$1:$C$1000, 2,0)</f>
        <v>92</v>
      </c>
      <c r="M340" s="55">
        <f>VLOOKUP($A340, Stat!$A$1:$C$1000, 3,0)</f>
        <v>30</v>
      </c>
      <c r="N340" s="27">
        <v>1</v>
      </c>
      <c r="R340" s="28"/>
      <c r="U340" s="30">
        <v>0</v>
      </c>
      <c r="V340" s="30">
        <v>0</v>
      </c>
      <c r="W340" s="30">
        <v>45</v>
      </c>
    </row>
    <row r="341" spans="1:26" x14ac:dyDescent="0.2">
      <c r="A341" s="30">
        <v>504</v>
      </c>
      <c r="B341" s="30" t="s">
        <v>28</v>
      </c>
      <c r="C341" s="30" t="s">
        <v>6</v>
      </c>
      <c r="D341" s="30" t="s">
        <v>7</v>
      </c>
      <c r="E341" s="30" t="s">
        <v>973</v>
      </c>
      <c r="F341" s="69" t="s">
        <v>217</v>
      </c>
      <c r="G341" s="29"/>
      <c r="H341" s="28" t="s">
        <v>111</v>
      </c>
      <c r="I341" s="29"/>
      <c r="J341" s="29"/>
      <c r="K341" s="28" t="s">
        <v>298</v>
      </c>
      <c r="L341" s="55">
        <f>VLOOKUP($A341, Stat!$A$1:$C$1000, 2,0)</f>
        <v>10</v>
      </c>
      <c r="M341" s="55">
        <f>VLOOKUP($A341, Stat!$A$1:$C$1000, 3,0)</f>
        <v>0</v>
      </c>
      <c r="N341" s="27">
        <v>1</v>
      </c>
      <c r="R341" s="28" t="s">
        <v>427</v>
      </c>
      <c r="U341" s="30">
        <v>100</v>
      </c>
      <c r="V341" s="30">
        <v>0</v>
      </c>
      <c r="W341" s="30">
        <v>45</v>
      </c>
    </row>
    <row r="342" spans="1:26" x14ac:dyDescent="0.2">
      <c r="A342" s="30">
        <v>505</v>
      </c>
      <c r="B342" s="30" t="s">
        <v>28</v>
      </c>
      <c r="C342" s="30" t="s">
        <v>6</v>
      </c>
      <c r="D342" s="30" t="s">
        <v>7</v>
      </c>
      <c r="E342" s="30" t="s">
        <v>974</v>
      </c>
      <c r="F342" s="69" t="s">
        <v>217</v>
      </c>
      <c r="H342" s="28" t="s">
        <v>111</v>
      </c>
      <c r="K342" s="61" t="s">
        <v>428</v>
      </c>
      <c r="L342" s="55">
        <f>VLOOKUP($A342, Stat!$A$1:$C$1000, 2,0)</f>
        <v>64</v>
      </c>
      <c r="M342" s="55">
        <f>VLOOKUP($A342, Stat!$A$1:$C$1000, 3,0)</f>
        <v>34</v>
      </c>
      <c r="N342" s="27">
        <v>1</v>
      </c>
      <c r="R342" s="28"/>
      <c r="U342" s="30">
        <v>100</v>
      </c>
      <c r="V342" s="30">
        <v>0</v>
      </c>
      <c r="W342" s="30">
        <v>45</v>
      </c>
      <c r="Z342" s="30" t="s">
        <v>421</v>
      </c>
    </row>
    <row r="343" spans="1:26" x14ac:dyDescent="0.2">
      <c r="A343" s="30">
        <v>506</v>
      </c>
      <c r="B343" s="30" t="s">
        <v>28</v>
      </c>
      <c r="C343" s="30" t="s">
        <v>594</v>
      </c>
      <c r="D343" s="30" t="s">
        <v>790</v>
      </c>
      <c r="E343" s="30" t="s">
        <v>2</v>
      </c>
      <c r="F343" s="27">
        <v>5</v>
      </c>
      <c r="H343" s="28" t="s">
        <v>111</v>
      </c>
      <c r="N343" s="27">
        <v>1</v>
      </c>
      <c r="U343" s="30">
        <v>0</v>
      </c>
      <c r="V343" s="30">
        <v>1</v>
      </c>
      <c r="W343" s="30">
        <v>35</v>
      </c>
      <c r="Y343" s="30" t="s">
        <v>793</v>
      </c>
    </row>
    <row r="344" spans="1:26" x14ac:dyDescent="0.2">
      <c r="A344" s="30">
        <v>507</v>
      </c>
      <c r="B344" s="30" t="s">
        <v>28</v>
      </c>
      <c r="C344" s="30" t="s">
        <v>594</v>
      </c>
      <c r="D344" s="30" t="s">
        <v>790</v>
      </c>
      <c r="E344" s="30" t="s">
        <v>3</v>
      </c>
      <c r="F344" s="27">
        <v>5</v>
      </c>
      <c r="H344" s="28" t="s">
        <v>111</v>
      </c>
      <c r="N344" s="27">
        <v>1</v>
      </c>
      <c r="U344" s="30">
        <v>0</v>
      </c>
      <c r="V344" s="30">
        <v>1</v>
      </c>
      <c r="W344" s="30">
        <v>35</v>
      </c>
      <c r="Y344" s="30" t="s">
        <v>793</v>
      </c>
    </row>
    <row r="345" spans="1:26" x14ac:dyDescent="0.2">
      <c r="A345" s="30">
        <v>508</v>
      </c>
      <c r="B345" s="30" t="s">
        <v>28</v>
      </c>
      <c r="C345" s="30" t="s">
        <v>594</v>
      </c>
      <c r="D345" s="30" t="s">
        <v>790</v>
      </c>
      <c r="E345" s="30" t="s">
        <v>4</v>
      </c>
      <c r="F345" s="27">
        <v>5</v>
      </c>
      <c r="H345" s="28" t="s">
        <v>111</v>
      </c>
      <c r="N345" s="27">
        <v>1</v>
      </c>
      <c r="U345" s="30">
        <v>0</v>
      </c>
      <c r="V345" s="30">
        <v>1</v>
      </c>
      <c r="W345" s="30">
        <v>35</v>
      </c>
      <c r="Y345" s="30" t="s">
        <v>793</v>
      </c>
    </row>
    <row r="346" spans="1:26" x14ac:dyDescent="0.2">
      <c r="A346" s="30">
        <v>509</v>
      </c>
      <c r="B346" s="30" t="s">
        <v>28</v>
      </c>
      <c r="C346" s="30" t="s">
        <v>594</v>
      </c>
      <c r="D346" s="30" t="s">
        <v>790</v>
      </c>
      <c r="E346" s="30" t="s">
        <v>34</v>
      </c>
      <c r="F346" s="27">
        <v>5</v>
      </c>
      <c r="H346" s="28" t="s">
        <v>111</v>
      </c>
      <c r="N346" s="27">
        <v>1</v>
      </c>
      <c r="U346" s="30">
        <v>0</v>
      </c>
      <c r="V346" s="30">
        <v>1</v>
      </c>
      <c r="W346" s="30">
        <v>35</v>
      </c>
      <c r="Y346" s="30" t="s">
        <v>793</v>
      </c>
    </row>
    <row r="347" spans="1:26" x14ac:dyDescent="0.2">
      <c r="A347" s="30">
        <v>510</v>
      </c>
      <c r="B347" s="30" t="s">
        <v>28</v>
      </c>
      <c r="C347" s="30" t="s">
        <v>594</v>
      </c>
      <c r="D347" s="30" t="s">
        <v>789</v>
      </c>
      <c r="E347" s="30" t="s">
        <v>2</v>
      </c>
      <c r="F347" s="27">
        <v>5</v>
      </c>
      <c r="H347" s="28" t="s">
        <v>111</v>
      </c>
      <c r="N347" s="27">
        <v>1</v>
      </c>
      <c r="U347" s="30">
        <v>0</v>
      </c>
      <c r="V347" s="30">
        <v>1</v>
      </c>
      <c r="W347" s="30">
        <v>35</v>
      </c>
      <c r="Y347" s="30" t="s">
        <v>792</v>
      </c>
    </row>
    <row r="348" spans="1:26" x14ac:dyDescent="0.2">
      <c r="A348" s="30">
        <v>511</v>
      </c>
      <c r="B348" s="30" t="s">
        <v>28</v>
      </c>
      <c r="C348" s="30" t="s">
        <v>594</v>
      </c>
      <c r="D348" s="30" t="s">
        <v>789</v>
      </c>
      <c r="E348" s="30" t="s">
        <v>3</v>
      </c>
      <c r="F348" s="27">
        <v>5</v>
      </c>
      <c r="H348" s="28" t="s">
        <v>111</v>
      </c>
      <c r="N348" s="27">
        <v>1</v>
      </c>
      <c r="U348" s="30">
        <v>0</v>
      </c>
      <c r="V348" s="30">
        <v>1</v>
      </c>
      <c r="W348" s="30">
        <v>35</v>
      </c>
      <c r="Y348" s="30" t="s">
        <v>792</v>
      </c>
    </row>
    <row r="349" spans="1:26" x14ac:dyDescent="0.2">
      <c r="A349" s="30">
        <v>512</v>
      </c>
      <c r="B349" s="30" t="s">
        <v>28</v>
      </c>
      <c r="C349" s="30" t="s">
        <v>594</v>
      </c>
      <c r="D349" s="30" t="s">
        <v>789</v>
      </c>
      <c r="E349" s="30" t="s">
        <v>4</v>
      </c>
      <c r="F349" s="27">
        <v>5</v>
      </c>
      <c r="H349" s="28" t="s">
        <v>111</v>
      </c>
      <c r="N349" s="27">
        <v>1</v>
      </c>
      <c r="U349" s="30">
        <v>0</v>
      </c>
      <c r="V349" s="30">
        <v>1</v>
      </c>
      <c r="W349" s="30">
        <v>35</v>
      </c>
      <c r="Y349" s="30" t="s">
        <v>792</v>
      </c>
    </row>
    <row r="350" spans="1:26" x14ac:dyDescent="0.2">
      <c r="A350" s="30">
        <v>513</v>
      </c>
      <c r="B350" s="30" t="s">
        <v>28</v>
      </c>
      <c r="C350" s="30" t="s">
        <v>594</v>
      </c>
      <c r="D350" s="30" t="s">
        <v>789</v>
      </c>
      <c r="E350" s="30" t="s">
        <v>34</v>
      </c>
      <c r="F350" s="27">
        <v>5</v>
      </c>
      <c r="H350" s="28" t="s">
        <v>111</v>
      </c>
      <c r="N350" s="27">
        <v>1</v>
      </c>
      <c r="U350" s="30">
        <v>0</v>
      </c>
      <c r="V350" s="30">
        <v>1</v>
      </c>
      <c r="W350" s="30">
        <v>35</v>
      </c>
      <c r="Y350" s="30" t="s">
        <v>792</v>
      </c>
    </row>
    <row r="351" spans="1:26" x14ac:dyDescent="0.2">
      <c r="A351" s="30">
        <v>514</v>
      </c>
      <c r="B351" s="30" t="s">
        <v>95</v>
      </c>
      <c r="C351" s="30" t="s">
        <v>95</v>
      </c>
      <c r="D351" s="30" t="s">
        <v>478</v>
      </c>
      <c r="E351" s="30" t="s">
        <v>887</v>
      </c>
      <c r="H351" s="28" t="s">
        <v>111</v>
      </c>
      <c r="U351" s="30">
        <v>50</v>
      </c>
      <c r="V351" s="30">
        <v>0</v>
      </c>
      <c r="Y351" s="30" t="s">
        <v>179</v>
      </c>
    </row>
    <row r="352" spans="1:26" x14ac:dyDescent="0.2">
      <c r="A352" s="30">
        <v>515</v>
      </c>
      <c r="B352" s="30" t="s">
        <v>95</v>
      </c>
      <c r="C352" s="30" t="s">
        <v>95</v>
      </c>
      <c r="D352" s="30" t="s">
        <v>952</v>
      </c>
      <c r="E352" s="30" t="s">
        <v>889</v>
      </c>
      <c r="H352" s="28" t="s">
        <v>111</v>
      </c>
      <c r="U352" s="30">
        <v>50</v>
      </c>
      <c r="V352" s="30">
        <v>0</v>
      </c>
    </row>
    <row r="353" spans="1:26" x14ac:dyDescent="0.2">
      <c r="A353" s="30">
        <v>516</v>
      </c>
      <c r="B353" s="30" t="s">
        <v>95</v>
      </c>
      <c r="C353" s="30" t="s">
        <v>727</v>
      </c>
      <c r="D353" s="30" t="s">
        <v>641</v>
      </c>
      <c r="E353" s="30" t="s">
        <v>642</v>
      </c>
      <c r="H353" s="28" t="s">
        <v>111</v>
      </c>
      <c r="U353" s="30">
        <v>50</v>
      </c>
      <c r="V353" s="30">
        <v>0</v>
      </c>
    </row>
    <row r="354" spans="1:26" x14ac:dyDescent="0.2">
      <c r="A354" s="30">
        <v>517</v>
      </c>
      <c r="B354" s="30" t="s">
        <v>95</v>
      </c>
      <c r="C354" s="30" t="s">
        <v>95</v>
      </c>
      <c r="D354" s="30" t="s">
        <v>946</v>
      </c>
      <c r="E354" s="30" t="s">
        <v>677</v>
      </c>
      <c r="H354" s="28" t="s">
        <v>111</v>
      </c>
      <c r="U354" s="30">
        <v>50</v>
      </c>
      <c r="V354" s="30">
        <v>0</v>
      </c>
      <c r="Z354" s="30" t="s">
        <v>680</v>
      </c>
    </row>
    <row r="355" spans="1:26" x14ac:dyDescent="0.2">
      <c r="A355" s="30">
        <v>518</v>
      </c>
      <c r="B355" s="30" t="s">
        <v>13</v>
      </c>
      <c r="C355" s="30" t="s">
        <v>502</v>
      </c>
      <c r="D355" s="30" t="s">
        <v>643</v>
      </c>
      <c r="E355" s="30" t="s">
        <v>644</v>
      </c>
      <c r="F355" s="27">
        <v>12</v>
      </c>
      <c r="H355" s="28" t="s">
        <v>111</v>
      </c>
      <c r="K355" s="70" t="s">
        <v>971</v>
      </c>
      <c r="U355" s="30">
        <v>0</v>
      </c>
      <c r="V355" s="30">
        <v>0</v>
      </c>
      <c r="X355" s="30" t="s">
        <v>693</v>
      </c>
    </row>
    <row r="356" spans="1:26" x14ac:dyDescent="0.2">
      <c r="A356" s="30">
        <v>519</v>
      </c>
      <c r="B356" s="30" t="s">
        <v>13</v>
      </c>
      <c r="C356" s="30" t="s">
        <v>502</v>
      </c>
      <c r="D356" s="30" t="s">
        <v>643</v>
      </c>
      <c r="E356" s="30" t="s">
        <v>645</v>
      </c>
      <c r="F356" s="27">
        <v>12</v>
      </c>
      <c r="H356" s="28" t="s">
        <v>111</v>
      </c>
      <c r="K356" s="70" t="s">
        <v>971</v>
      </c>
      <c r="U356" s="30">
        <v>50</v>
      </c>
      <c r="V356" s="30">
        <v>0</v>
      </c>
      <c r="X356" s="30" t="s">
        <v>693</v>
      </c>
    </row>
    <row r="357" spans="1:26" x14ac:dyDescent="0.2">
      <c r="A357" s="30">
        <v>520</v>
      </c>
      <c r="B357" s="30" t="s">
        <v>13</v>
      </c>
      <c r="C357" s="30" t="s">
        <v>502</v>
      </c>
      <c r="D357" s="30" t="s">
        <v>647</v>
      </c>
      <c r="E357" s="30" t="s">
        <v>904</v>
      </c>
      <c r="F357" s="27">
        <v>12</v>
      </c>
      <c r="H357" s="28" t="s">
        <v>111</v>
      </c>
      <c r="K357" s="70" t="s">
        <v>971</v>
      </c>
      <c r="U357" s="30">
        <v>100</v>
      </c>
      <c r="V357" s="30">
        <v>0</v>
      </c>
    </row>
    <row r="358" spans="1:26" x14ac:dyDescent="0.2">
      <c r="A358" s="30">
        <v>521</v>
      </c>
      <c r="B358" s="30" t="s">
        <v>28</v>
      </c>
      <c r="C358" s="30" t="s">
        <v>648</v>
      </c>
      <c r="D358" s="30" t="s">
        <v>676</v>
      </c>
      <c r="E358" s="30" t="s">
        <v>894</v>
      </c>
      <c r="H358" s="28" t="s">
        <v>111</v>
      </c>
      <c r="U358" s="30">
        <v>100</v>
      </c>
      <c r="V358" s="30">
        <v>0</v>
      </c>
      <c r="Z358" s="30" t="s">
        <v>649</v>
      </c>
    </row>
    <row r="359" spans="1:26" x14ac:dyDescent="0.2">
      <c r="A359" s="30">
        <v>522</v>
      </c>
      <c r="B359" s="30" t="s">
        <v>28</v>
      </c>
      <c r="C359" s="30" t="s">
        <v>12</v>
      </c>
      <c r="D359" s="30" t="s">
        <v>653</v>
      </c>
      <c r="E359" s="30" t="s">
        <v>892</v>
      </c>
      <c r="F359" s="27">
        <v>12</v>
      </c>
      <c r="H359" s="28" t="s">
        <v>111</v>
      </c>
      <c r="K359" s="70" t="s">
        <v>975</v>
      </c>
      <c r="U359" s="30">
        <v>50</v>
      </c>
      <c r="V359" s="30">
        <v>0</v>
      </c>
      <c r="Z359" s="30" t="s">
        <v>654</v>
      </c>
    </row>
    <row r="360" spans="1:26" x14ac:dyDescent="0.2">
      <c r="A360" s="30">
        <v>523</v>
      </c>
      <c r="B360" s="30" t="s">
        <v>28</v>
      </c>
      <c r="C360" s="30" t="s">
        <v>12</v>
      </c>
      <c r="D360" s="30" t="s">
        <v>954</v>
      </c>
      <c r="E360" s="30" t="s">
        <v>893</v>
      </c>
      <c r="H360" s="28" t="s">
        <v>111</v>
      </c>
      <c r="U360" s="30">
        <v>50</v>
      </c>
      <c r="V360" s="30">
        <v>0</v>
      </c>
      <c r="Z360" s="30" t="s">
        <v>650</v>
      </c>
    </row>
    <row r="361" spans="1:26" x14ac:dyDescent="0.2">
      <c r="A361" s="30">
        <v>524</v>
      </c>
      <c r="B361" s="30" t="s">
        <v>28</v>
      </c>
      <c r="C361" s="30" t="s">
        <v>12</v>
      </c>
      <c r="D361" s="152" t="s">
        <v>986</v>
      </c>
      <c r="E361" s="30" t="s">
        <v>675</v>
      </c>
      <c r="F361" s="27">
        <v>12</v>
      </c>
      <c r="H361" s="28" t="s">
        <v>111</v>
      </c>
      <c r="K361" s="70" t="s">
        <v>985</v>
      </c>
      <c r="U361" s="30">
        <v>50</v>
      </c>
      <c r="V361" s="30">
        <v>0</v>
      </c>
      <c r="Y361" s="30" t="s">
        <v>865</v>
      </c>
    </row>
    <row r="362" spans="1:26" x14ac:dyDescent="0.2">
      <c r="A362" s="30">
        <v>525</v>
      </c>
      <c r="B362" s="30" t="s">
        <v>95</v>
      </c>
      <c r="C362" s="30" t="s">
        <v>95</v>
      </c>
      <c r="D362" s="30" t="s">
        <v>951</v>
      </c>
      <c r="E362" s="30" t="s">
        <v>888</v>
      </c>
      <c r="H362" s="28" t="s">
        <v>111</v>
      </c>
      <c r="U362" s="30">
        <v>50</v>
      </c>
      <c r="V362" s="30">
        <v>0</v>
      </c>
    </row>
    <row r="363" spans="1:26" x14ac:dyDescent="0.2">
      <c r="A363" s="30">
        <v>526</v>
      </c>
      <c r="B363" s="30" t="s">
        <v>28</v>
      </c>
      <c r="C363" s="30" t="s">
        <v>12</v>
      </c>
      <c r="D363" s="152" t="s">
        <v>986</v>
      </c>
      <c r="E363" s="30" t="s">
        <v>674</v>
      </c>
      <c r="F363" s="27">
        <v>12</v>
      </c>
      <c r="H363" s="28" t="s">
        <v>111</v>
      </c>
      <c r="K363" s="70" t="s">
        <v>985</v>
      </c>
      <c r="U363" s="30">
        <v>100</v>
      </c>
      <c r="V363" s="30">
        <v>0</v>
      </c>
      <c r="Y363" s="30" t="s">
        <v>865</v>
      </c>
    </row>
    <row r="364" spans="1:26" x14ac:dyDescent="0.2">
      <c r="A364" s="30">
        <v>527</v>
      </c>
      <c r="B364" s="30" t="s">
        <v>95</v>
      </c>
      <c r="C364" s="30" t="s">
        <v>95</v>
      </c>
      <c r="D364" s="30" t="s">
        <v>946</v>
      </c>
      <c r="E364" s="30" t="s">
        <v>679</v>
      </c>
      <c r="H364" s="28" t="s">
        <v>111</v>
      </c>
      <c r="U364" s="30">
        <v>50</v>
      </c>
      <c r="V364" s="30">
        <v>0</v>
      </c>
      <c r="Z364" s="30" t="s">
        <v>681</v>
      </c>
    </row>
    <row r="365" spans="1:26" x14ac:dyDescent="0.2">
      <c r="A365" s="30">
        <v>530</v>
      </c>
      <c r="B365" s="30" t="s">
        <v>95</v>
      </c>
      <c r="C365" s="30" t="s">
        <v>95</v>
      </c>
      <c r="D365" s="30" t="s">
        <v>948</v>
      </c>
      <c r="E365" s="30" t="s">
        <v>885</v>
      </c>
      <c r="H365" s="28" t="s">
        <v>111</v>
      </c>
      <c r="U365" s="30">
        <v>50</v>
      </c>
      <c r="V365" s="30">
        <v>0</v>
      </c>
    </row>
    <row r="366" spans="1:26" x14ac:dyDescent="0.2">
      <c r="A366" s="30">
        <v>531</v>
      </c>
      <c r="B366" s="30" t="s">
        <v>13</v>
      </c>
      <c r="C366" s="30" t="s">
        <v>719</v>
      </c>
      <c r="D366" s="30" t="s">
        <v>683</v>
      </c>
      <c r="E366" s="30" t="s">
        <v>636</v>
      </c>
      <c r="F366" s="27">
        <v>1</v>
      </c>
      <c r="H366" s="28" t="s">
        <v>111</v>
      </c>
      <c r="U366" s="30">
        <v>50</v>
      </c>
      <c r="V366" s="30">
        <v>0</v>
      </c>
      <c r="Z366" s="30" t="s">
        <v>638</v>
      </c>
    </row>
    <row r="367" spans="1:26" x14ac:dyDescent="0.2">
      <c r="A367" s="30">
        <v>532</v>
      </c>
      <c r="B367" s="30" t="s">
        <v>13</v>
      </c>
      <c r="C367" s="30" t="s">
        <v>719</v>
      </c>
      <c r="D367" s="30" t="s">
        <v>684</v>
      </c>
      <c r="E367" s="30" t="s">
        <v>686</v>
      </c>
      <c r="H367" s="28" t="s">
        <v>111</v>
      </c>
      <c r="U367" s="30">
        <v>0</v>
      </c>
      <c r="V367" s="30">
        <v>-1</v>
      </c>
    </row>
    <row r="368" spans="1:26" x14ac:dyDescent="0.2">
      <c r="A368" s="30">
        <v>533</v>
      </c>
      <c r="B368" s="30" t="s">
        <v>13</v>
      </c>
      <c r="C368" s="30" t="s">
        <v>719</v>
      </c>
      <c r="D368" s="30" t="s">
        <v>684</v>
      </c>
      <c r="E368" s="30" t="s">
        <v>688</v>
      </c>
      <c r="H368" s="28" t="s">
        <v>111</v>
      </c>
      <c r="U368" s="30">
        <v>0</v>
      </c>
      <c r="V368" s="30">
        <v>-1</v>
      </c>
    </row>
    <row r="369" spans="1:26" x14ac:dyDescent="0.2">
      <c r="A369" s="30">
        <v>534</v>
      </c>
      <c r="B369" s="30" t="s">
        <v>13</v>
      </c>
      <c r="C369" s="30" t="s">
        <v>719</v>
      </c>
      <c r="D369" s="30" t="s">
        <v>684</v>
      </c>
      <c r="E369" s="30" t="s">
        <v>687</v>
      </c>
      <c r="H369" s="28" t="s">
        <v>111</v>
      </c>
      <c r="U369" s="30">
        <v>0</v>
      </c>
      <c r="V369" s="30">
        <v>0</v>
      </c>
    </row>
    <row r="370" spans="1:26" x14ac:dyDescent="0.2">
      <c r="A370" s="30">
        <v>535</v>
      </c>
      <c r="B370" s="30" t="s">
        <v>13</v>
      </c>
      <c r="C370" s="30" t="s">
        <v>719</v>
      </c>
      <c r="D370" s="30" t="s">
        <v>684</v>
      </c>
      <c r="E370" s="30" t="s">
        <v>125</v>
      </c>
      <c r="H370" s="28" t="s">
        <v>111</v>
      </c>
      <c r="U370" s="30">
        <v>0</v>
      </c>
      <c r="V370" s="30">
        <v>0</v>
      </c>
    </row>
    <row r="371" spans="1:26" x14ac:dyDescent="0.2">
      <c r="A371" s="30">
        <v>536</v>
      </c>
      <c r="B371" s="30" t="s">
        <v>13</v>
      </c>
      <c r="C371" s="30" t="s">
        <v>719</v>
      </c>
      <c r="D371" s="30" t="s">
        <v>685</v>
      </c>
      <c r="E371" s="30" t="s">
        <v>686</v>
      </c>
      <c r="H371" s="28" t="s">
        <v>111</v>
      </c>
      <c r="U371" s="30">
        <v>0</v>
      </c>
      <c r="V371" s="30">
        <v>-1</v>
      </c>
      <c r="X371" s="30" t="s">
        <v>633</v>
      </c>
      <c r="Y371" s="30" t="s">
        <v>945</v>
      </c>
    </row>
    <row r="372" spans="1:26" x14ac:dyDescent="0.2">
      <c r="A372" s="30">
        <v>537</v>
      </c>
      <c r="B372" s="30" t="s">
        <v>13</v>
      </c>
      <c r="C372" s="30" t="s">
        <v>719</v>
      </c>
      <c r="D372" s="30" t="s">
        <v>685</v>
      </c>
      <c r="E372" s="30" t="s">
        <v>687</v>
      </c>
      <c r="H372" s="28" t="s">
        <v>111</v>
      </c>
      <c r="U372" s="30">
        <v>0</v>
      </c>
      <c r="V372" s="30">
        <v>1</v>
      </c>
      <c r="X372" s="30" t="s">
        <v>633</v>
      </c>
      <c r="Y372" s="30" t="s">
        <v>945</v>
      </c>
    </row>
    <row r="373" spans="1:26" x14ac:dyDescent="0.2">
      <c r="A373" s="30">
        <v>538</v>
      </c>
      <c r="B373" s="30" t="s">
        <v>13</v>
      </c>
      <c r="C373" s="30" t="s">
        <v>719</v>
      </c>
      <c r="D373" s="30" t="s">
        <v>685</v>
      </c>
      <c r="E373" s="30" t="s">
        <v>125</v>
      </c>
      <c r="H373" s="28" t="s">
        <v>111</v>
      </c>
      <c r="U373" s="30">
        <v>0</v>
      </c>
      <c r="V373" s="30">
        <v>0</v>
      </c>
      <c r="X373" s="30" t="s">
        <v>633</v>
      </c>
      <c r="Y373" s="30" t="s">
        <v>945</v>
      </c>
    </row>
    <row r="374" spans="1:26" x14ac:dyDescent="0.2">
      <c r="A374" s="30">
        <v>541</v>
      </c>
      <c r="B374" s="30" t="s">
        <v>13</v>
      </c>
      <c r="C374" s="30" t="s">
        <v>502</v>
      </c>
      <c r="D374" s="30" t="s">
        <v>690</v>
      </c>
      <c r="E374" s="30" t="s">
        <v>691</v>
      </c>
      <c r="F374" s="27">
        <v>12</v>
      </c>
      <c r="H374" s="28" t="s">
        <v>111</v>
      </c>
      <c r="K374" s="70" t="s">
        <v>971</v>
      </c>
      <c r="U374" s="30">
        <v>0</v>
      </c>
      <c r="V374" s="30">
        <v>0</v>
      </c>
      <c r="X374" s="30" t="s">
        <v>693</v>
      </c>
    </row>
    <row r="375" spans="1:26" x14ac:dyDescent="0.2">
      <c r="A375" s="30">
        <v>542</v>
      </c>
      <c r="B375" s="30" t="s">
        <v>13</v>
      </c>
      <c r="C375" s="30" t="s">
        <v>502</v>
      </c>
      <c r="D375" s="30" t="s">
        <v>690</v>
      </c>
      <c r="E375" s="30" t="s">
        <v>692</v>
      </c>
      <c r="F375" s="27">
        <v>12</v>
      </c>
      <c r="H375" s="28" t="s">
        <v>111</v>
      </c>
      <c r="K375" s="70" t="s">
        <v>971</v>
      </c>
      <c r="U375" s="30">
        <v>0</v>
      </c>
      <c r="V375" s="30">
        <v>1</v>
      </c>
      <c r="X375" s="30" t="s">
        <v>693</v>
      </c>
    </row>
    <row r="376" spans="1:26" x14ac:dyDescent="0.2">
      <c r="A376" s="30">
        <v>543</v>
      </c>
      <c r="B376" s="30" t="s">
        <v>13</v>
      </c>
      <c r="C376" s="30" t="s">
        <v>502</v>
      </c>
      <c r="D376" s="30" t="s">
        <v>690</v>
      </c>
      <c r="E376" s="30" t="s">
        <v>130</v>
      </c>
      <c r="F376" s="27">
        <v>12</v>
      </c>
      <c r="H376" s="28" t="s">
        <v>111</v>
      </c>
      <c r="K376" s="70" t="s">
        <v>971</v>
      </c>
      <c r="U376" s="30">
        <v>100</v>
      </c>
      <c r="V376" s="30">
        <v>0</v>
      </c>
      <c r="X376" s="30" t="s">
        <v>689</v>
      </c>
    </row>
    <row r="377" spans="1:26" x14ac:dyDescent="0.2">
      <c r="A377" s="30">
        <v>544</v>
      </c>
      <c r="B377" s="30" t="s">
        <v>13</v>
      </c>
      <c r="C377" s="30" t="s">
        <v>502</v>
      </c>
      <c r="D377" s="30" t="s">
        <v>996</v>
      </c>
      <c r="E377" s="30" t="s">
        <v>998</v>
      </c>
      <c r="H377" s="28" t="s">
        <v>111</v>
      </c>
      <c r="K377" s="70"/>
      <c r="U377" s="30">
        <v>0</v>
      </c>
      <c r="V377" s="30">
        <v>0</v>
      </c>
      <c r="Z377" s="30" t="s">
        <v>694</v>
      </c>
    </row>
    <row r="378" spans="1:26" x14ac:dyDescent="0.2">
      <c r="A378" s="30">
        <v>545</v>
      </c>
      <c r="B378" s="30" t="s">
        <v>13</v>
      </c>
      <c r="C378" s="30" t="s">
        <v>502</v>
      </c>
      <c r="D378" s="30" t="s">
        <v>987</v>
      </c>
      <c r="E378" s="30" t="s">
        <v>999</v>
      </c>
      <c r="F378" s="27">
        <v>12</v>
      </c>
      <c r="H378" s="28" t="s">
        <v>111</v>
      </c>
      <c r="K378" s="70" t="s">
        <v>1000</v>
      </c>
      <c r="U378" s="30">
        <v>50</v>
      </c>
      <c r="V378" s="30">
        <v>0</v>
      </c>
      <c r="Y378" s="30" t="s">
        <v>988</v>
      </c>
      <c r="Z378" s="30" t="s">
        <v>695</v>
      </c>
    </row>
    <row r="379" spans="1:26" x14ac:dyDescent="0.2">
      <c r="A379" s="30">
        <v>546</v>
      </c>
      <c r="B379" s="30" t="s">
        <v>13</v>
      </c>
      <c r="C379" s="30" t="s">
        <v>502</v>
      </c>
      <c r="D379" s="30" t="s">
        <v>994</v>
      </c>
      <c r="E379" s="152" t="s">
        <v>1001</v>
      </c>
      <c r="F379" s="27">
        <v>12</v>
      </c>
      <c r="H379" s="28" t="s">
        <v>111</v>
      </c>
      <c r="K379" s="70" t="s">
        <v>971</v>
      </c>
      <c r="U379" s="30">
        <v>0</v>
      </c>
      <c r="V379" s="30">
        <v>0</v>
      </c>
      <c r="Z379" s="30" t="s">
        <v>696</v>
      </c>
    </row>
    <row r="380" spans="1:26" x14ac:dyDescent="0.2">
      <c r="A380" s="30">
        <v>547</v>
      </c>
      <c r="B380" s="30" t="s">
        <v>13</v>
      </c>
      <c r="C380" s="30" t="s">
        <v>502</v>
      </c>
      <c r="D380" s="30" t="s">
        <v>994</v>
      </c>
      <c r="E380" s="30" t="s">
        <v>995</v>
      </c>
      <c r="F380" s="27">
        <v>12</v>
      </c>
      <c r="H380" s="28" t="s">
        <v>111</v>
      </c>
      <c r="K380" s="70" t="s">
        <v>971</v>
      </c>
      <c r="U380" s="30">
        <v>50</v>
      </c>
      <c r="V380" s="30">
        <v>0</v>
      </c>
      <c r="Z380" s="30" t="s">
        <v>697</v>
      </c>
    </row>
    <row r="381" spans="1:26" x14ac:dyDescent="0.2">
      <c r="A381" s="30">
        <v>548</v>
      </c>
      <c r="B381" s="30" t="s">
        <v>13</v>
      </c>
      <c r="C381" s="30" t="s">
        <v>502</v>
      </c>
      <c r="D381" s="30" t="s">
        <v>795</v>
      </c>
      <c r="E381" s="30" t="s">
        <v>646</v>
      </c>
      <c r="F381" s="27">
        <v>10</v>
      </c>
      <c r="H381" s="28" t="s">
        <v>111</v>
      </c>
      <c r="K381" s="69" t="s">
        <v>966</v>
      </c>
      <c r="U381" s="30">
        <v>100</v>
      </c>
      <c r="V381" s="30">
        <v>0</v>
      </c>
      <c r="X381" s="30" t="s">
        <v>693</v>
      </c>
    </row>
    <row r="382" spans="1:26" x14ac:dyDescent="0.2">
      <c r="A382" s="30">
        <v>549</v>
      </c>
      <c r="B382" s="30" t="s">
        <v>95</v>
      </c>
      <c r="C382" s="30" t="s">
        <v>95</v>
      </c>
      <c r="D382" s="30" t="s">
        <v>950</v>
      </c>
      <c r="E382" s="30" t="s">
        <v>886</v>
      </c>
      <c r="F382" s="27">
        <v>12</v>
      </c>
      <c r="H382" s="28" t="s">
        <v>111</v>
      </c>
      <c r="K382" s="70" t="s">
        <v>721</v>
      </c>
      <c r="U382" s="30">
        <v>0</v>
      </c>
      <c r="V382" s="30">
        <v>1</v>
      </c>
      <c r="Z382" s="30" t="s">
        <v>720</v>
      </c>
    </row>
    <row r="383" spans="1:26" x14ac:dyDescent="0.2">
      <c r="A383" s="30">
        <v>550</v>
      </c>
      <c r="B383" s="30" t="s">
        <v>13</v>
      </c>
      <c r="C383" s="30" t="s">
        <v>502</v>
      </c>
      <c r="D383" s="30" t="s">
        <v>963</v>
      </c>
      <c r="E383" s="30" t="s">
        <v>726</v>
      </c>
      <c r="F383" s="27">
        <v>10</v>
      </c>
      <c r="H383" s="28"/>
      <c r="K383" s="70" t="s">
        <v>1002</v>
      </c>
      <c r="U383" s="30">
        <v>50</v>
      </c>
      <c r="V383" s="30">
        <v>0</v>
      </c>
      <c r="X383" s="30" t="s">
        <v>35</v>
      </c>
    </row>
    <row r="384" spans="1:26" x14ac:dyDescent="0.2">
      <c r="A384" s="30">
        <v>551</v>
      </c>
      <c r="B384" s="30" t="s">
        <v>13</v>
      </c>
      <c r="C384" s="30" t="s">
        <v>495</v>
      </c>
      <c r="D384" s="30" t="s">
        <v>960</v>
      </c>
      <c r="E384" s="30" t="s">
        <v>723</v>
      </c>
      <c r="H384" s="28" t="s">
        <v>111</v>
      </c>
      <c r="U384" s="30">
        <v>100</v>
      </c>
      <c r="V384" s="30">
        <v>0</v>
      </c>
    </row>
    <row r="385" spans="1:26" x14ac:dyDescent="0.2">
      <c r="A385" s="30">
        <v>555</v>
      </c>
      <c r="B385" s="30" t="s">
        <v>13</v>
      </c>
      <c r="C385" s="30" t="s">
        <v>13</v>
      </c>
      <c r="D385" s="30" t="s">
        <v>725</v>
      </c>
      <c r="E385" s="30" t="s">
        <v>895</v>
      </c>
      <c r="F385" s="27">
        <v>1</v>
      </c>
      <c r="H385" s="28" t="s">
        <v>111</v>
      </c>
      <c r="U385" s="30">
        <v>100</v>
      </c>
      <c r="V385" s="30">
        <v>0</v>
      </c>
      <c r="Y385" s="30" t="s">
        <v>729</v>
      </c>
    </row>
    <row r="386" spans="1:26" x14ac:dyDescent="0.2">
      <c r="A386" s="30">
        <v>557</v>
      </c>
      <c r="B386" s="30" t="s">
        <v>95</v>
      </c>
      <c r="C386" s="30" t="s">
        <v>727</v>
      </c>
      <c r="D386" s="30" t="s">
        <v>953</v>
      </c>
      <c r="E386" s="30" t="s">
        <v>890</v>
      </c>
      <c r="H386" s="28" t="s">
        <v>111</v>
      </c>
      <c r="U386" s="30">
        <v>50</v>
      </c>
      <c r="V386" s="30">
        <v>0</v>
      </c>
    </row>
    <row r="387" spans="1:26" x14ac:dyDescent="0.2">
      <c r="A387" s="30">
        <v>558</v>
      </c>
      <c r="B387" s="30" t="s">
        <v>13</v>
      </c>
      <c r="C387" s="30" t="s">
        <v>13</v>
      </c>
      <c r="D387" s="30" t="s">
        <v>730</v>
      </c>
      <c r="E387" s="30" t="s">
        <v>896</v>
      </c>
      <c r="F387" s="27">
        <v>1</v>
      </c>
      <c r="H387" s="28" t="s">
        <v>111</v>
      </c>
      <c r="U387" s="30">
        <v>100</v>
      </c>
      <c r="V387" s="30">
        <v>0</v>
      </c>
      <c r="Y387" s="30" t="s">
        <v>786</v>
      </c>
    </row>
    <row r="388" spans="1:26" x14ac:dyDescent="0.2">
      <c r="A388" s="30">
        <v>559</v>
      </c>
      <c r="B388" s="30" t="s">
        <v>13</v>
      </c>
      <c r="C388" s="30" t="s">
        <v>13</v>
      </c>
      <c r="D388" s="30" t="s">
        <v>728</v>
      </c>
      <c r="E388" s="30" t="s">
        <v>930</v>
      </c>
      <c r="F388" s="27">
        <v>1</v>
      </c>
      <c r="H388" s="28" t="s">
        <v>111</v>
      </c>
      <c r="U388" s="30">
        <v>50</v>
      </c>
      <c r="V388" s="30">
        <v>0</v>
      </c>
      <c r="Z388" s="30" t="s">
        <v>934</v>
      </c>
    </row>
    <row r="389" spans="1:26" x14ac:dyDescent="0.2">
      <c r="A389" s="30">
        <v>139</v>
      </c>
      <c r="B389" s="30" t="s">
        <v>13</v>
      </c>
      <c r="C389" s="30" t="s">
        <v>13</v>
      </c>
      <c r="D389" s="30" t="s">
        <v>845</v>
      </c>
      <c r="E389" s="30" t="s">
        <v>843</v>
      </c>
      <c r="F389" s="27">
        <v>1</v>
      </c>
      <c r="H389" s="28" t="s">
        <v>111</v>
      </c>
      <c r="U389" s="30">
        <v>50</v>
      </c>
      <c r="V389" s="30">
        <v>0</v>
      </c>
      <c r="Z389" s="30" t="s">
        <v>849</v>
      </c>
    </row>
    <row r="390" spans="1:26" x14ac:dyDescent="0.2">
      <c r="A390" s="30">
        <v>161</v>
      </c>
      <c r="B390" s="30" t="s">
        <v>13</v>
      </c>
      <c r="C390" s="30" t="s">
        <v>495</v>
      </c>
      <c r="D390" s="30" t="s">
        <v>989</v>
      </c>
      <c r="E390" s="30" t="s">
        <v>733</v>
      </c>
      <c r="F390" s="27">
        <v>7</v>
      </c>
      <c r="G390" s="27">
        <v>3</v>
      </c>
      <c r="H390" s="28"/>
      <c r="K390" s="27" t="s">
        <v>941</v>
      </c>
      <c r="U390" s="30">
        <v>0</v>
      </c>
      <c r="V390" s="30">
        <v>0</v>
      </c>
      <c r="Z390" s="30" t="s">
        <v>798</v>
      </c>
    </row>
    <row r="391" spans="1:26" x14ac:dyDescent="0.2">
      <c r="A391" s="30">
        <v>162</v>
      </c>
      <c r="B391" s="30" t="s">
        <v>13</v>
      </c>
      <c r="C391" s="30" t="s">
        <v>495</v>
      </c>
      <c r="D391" s="30" t="s">
        <v>797</v>
      </c>
      <c r="E391" s="30" t="s">
        <v>40</v>
      </c>
      <c r="F391" s="27">
        <v>7</v>
      </c>
      <c r="G391" s="27">
        <v>1</v>
      </c>
      <c r="H391" s="28"/>
      <c r="K391" s="27" t="s">
        <v>941</v>
      </c>
      <c r="U391" s="30">
        <v>0</v>
      </c>
      <c r="V391" s="30">
        <v>0</v>
      </c>
    </row>
    <row r="392" spans="1:26" x14ac:dyDescent="0.2">
      <c r="A392" s="30">
        <v>163</v>
      </c>
      <c r="B392" s="30" t="s">
        <v>13</v>
      </c>
      <c r="C392" s="30" t="s">
        <v>495</v>
      </c>
      <c r="D392" s="30" t="s">
        <v>797</v>
      </c>
      <c r="E392" s="30" t="s">
        <v>175</v>
      </c>
      <c r="F392" s="27">
        <v>7</v>
      </c>
      <c r="G392" s="27">
        <v>1</v>
      </c>
      <c r="H392" s="28"/>
      <c r="K392" s="27" t="s">
        <v>941</v>
      </c>
      <c r="U392" s="30">
        <v>0</v>
      </c>
      <c r="V392" s="30">
        <v>0</v>
      </c>
      <c r="X392" s="30" t="s">
        <v>623</v>
      </c>
    </row>
    <row r="393" spans="1:26" x14ac:dyDescent="0.2">
      <c r="A393" s="30">
        <v>166</v>
      </c>
      <c r="B393" s="30" t="s">
        <v>13</v>
      </c>
      <c r="C393" s="30" t="s">
        <v>41</v>
      </c>
      <c r="D393" s="30" t="s">
        <v>991</v>
      </c>
      <c r="E393" s="30" t="s">
        <v>854</v>
      </c>
      <c r="F393" s="28" t="s">
        <v>216</v>
      </c>
      <c r="G393" s="28" t="s">
        <v>126</v>
      </c>
      <c r="K393" s="27" t="s">
        <v>941</v>
      </c>
      <c r="U393" s="30">
        <v>50</v>
      </c>
      <c r="V393" s="30">
        <v>0</v>
      </c>
      <c r="Z393" s="30" t="s">
        <v>851</v>
      </c>
    </row>
    <row r="394" spans="1:26" x14ac:dyDescent="0.2">
      <c r="A394" s="30">
        <v>167</v>
      </c>
      <c r="B394" s="30" t="s">
        <v>13</v>
      </c>
      <c r="C394" s="30" t="s">
        <v>41</v>
      </c>
      <c r="D394" s="30" t="s">
        <v>992</v>
      </c>
      <c r="E394" s="30" t="s">
        <v>854</v>
      </c>
      <c r="F394" s="28" t="s">
        <v>216</v>
      </c>
      <c r="G394" s="28" t="s">
        <v>126</v>
      </c>
      <c r="K394" s="27" t="s">
        <v>941</v>
      </c>
      <c r="U394" s="30">
        <v>50</v>
      </c>
      <c r="V394" s="30">
        <v>0</v>
      </c>
      <c r="Z394" s="30" t="s">
        <v>850</v>
      </c>
    </row>
    <row r="395" spans="1:26" x14ac:dyDescent="0.2">
      <c r="A395" s="30">
        <v>168</v>
      </c>
      <c r="B395" s="30" t="s">
        <v>13</v>
      </c>
      <c r="C395" s="30" t="s">
        <v>41</v>
      </c>
      <c r="D395" s="30" t="s">
        <v>993</v>
      </c>
      <c r="E395" s="30" t="s">
        <v>854</v>
      </c>
      <c r="F395" s="28" t="s">
        <v>216</v>
      </c>
      <c r="G395" s="28" t="s">
        <v>126</v>
      </c>
      <c r="K395" s="27" t="s">
        <v>941</v>
      </c>
      <c r="U395" s="30">
        <v>50</v>
      </c>
      <c r="V395" s="30">
        <v>0</v>
      </c>
      <c r="Z395" s="30" t="s">
        <v>852</v>
      </c>
    </row>
    <row r="396" spans="1:26" x14ac:dyDescent="0.2">
      <c r="A396" s="30">
        <v>194</v>
      </c>
      <c r="B396" s="30" t="s">
        <v>13</v>
      </c>
      <c r="C396" s="30" t="s">
        <v>13</v>
      </c>
      <c r="D396" s="30" t="s">
        <v>855</v>
      </c>
      <c r="E396" s="30" t="s">
        <v>897</v>
      </c>
      <c r="F396" s="27">
        <v>1</v>
      </c>
      <c r="U396" s="30">
        <v>50</v>
      </c>
      <c r="V396" s="30">
        <v>0</v>
      </c>
      <c r="X396" s="30" t="s">
        <v>35</v>
      </c>
    </row>
    <row r="397" spans="1:26" x14ac:dyDescent="0.2">
      <c r="A397" s="30">
        <v>237</v>
      </c>
      <c r="B397" s="30" t="s">
        <v>95</v>
      </c>
      <c r="C397" s="30" t="s">
        <v>95</v>
      </c>
      <c r="D397" s="30" t="s">
        <v>947</v>
      </c>
      <c r="E397" s="30" t="s">
        <v>909</v>
      </c>
      <c r="U397" s="30">
        <v>50</v>
      </c>
      <c r="V397" s="30">
        <v>0</v>
      </c>
      <c r="Z397" s="30" t="s">
        <v>908</v>
      </c>
    </row>
    <row r="398" spans="1:26" x14ac:dyDescent="0.2">
      <c r="A398" s="30">
        <v>195</v>
      </c>
      <c r="B398" s="30" t="s">
        <v>13</v>
      </c>
      <c r="C398" s="30" t="s">
        <v>495</v>
      </c>
      <c r="D398" s="30" t="s">
        <v>910</v>
      </c>
      <c r="E398" s="30" t="s">
        <v>911</v>
      </c>
      <c r="H398" s="27">
        <v>1</v>
      </c>
      <c r="U398" s="30">
        <v>50</v>
      </c>
      <c r="V398" s="30">
        <v>0</v>
      </c>
      <c r="Z398" s="30" t="s">
        <v>914</v>
      </c>
    </row>
    <row r="399" spans="1:26" x14ac:dyDescent="0.2">
      <c r="A399" s="30">
        <v>214</v>
      </c>
      <c r="B399" s="30" t="s">
        <v>13</v>
      </c>
      <c r="C399" s="30" t="s">
        <v>502</v>
      </c>
      <c r="D399" s="30" t="s">
        <v>962</v>
      </c>
      <c r="E399" s="30" t="s">
        <v>923</v>
      </c>
      <c r="F399" s="27">
        <v>10</v>
      </c>
      <c r="K399" s="70" t="s">
        <v>1003</v>
      </c>
      <c r="U399" s="30">
        <v>50</v>
      </c>
      <c r="V399" s="30">
        <v>0</v>
      </c>
      <c r="X399" s="30" t="s">
        <v>35</v>
      </c>
    </row>
    <row r="400" spans="1:26" x14ac:dyDescent="0.2">
      <c r="A400" s="30">
        <v>215</v>
      </c>
      <c r="B400" s="30" t="s">
        <v>95</v>
      </c>
      <c r="C400" s="30" t="s">
        <v>95</v>
      </c>
      <c r="D400" s="30" t="s">
        <v>949</v>
      </c>
      <c r="E400" s="30" t="s">
        <v>886</v>
      </c>
      <c r="U400" s="30">
        <v>50</v>
      </c>
      <c r="V400" s="30">
        <v>0</v>
      </c>
      <c r="Y400" s="30" t="s">
        <v>924</v>
      </c>
      <c r="Z400" s="30" t="s">
        <v>925</v>
      </c>
    </row>
    <row r="401" spans="1:26" x14ac:dyDescent="0.2">
      <c r="A401" s="30">
        <v>238</v>
      </c>
      <c r="B401" s="30" t="s">
        <v>13</v>
      </c>
      <c r="C401" s="30" t="s">
        <v>928</v>
      </c>
      <c r="D401" s="30" t="s">
        <v>926</v>
      </c>
      <c r="E401" s="30" t="s">
        <v>414</v>
      </c>
      <c r="F401" s="27">
        <v>9</v>
      </c>
      <c r="G401" s="27">
        <v>1</v>
      </c>
      <c r="H401" s="27">
        <v>1</v>
      </c>
      <c r="K401" s="70" t="s">
        <v>929</v>
      </c>
      <c r="U401" s="30">
        <v>50</v>
      </c>
      <c r="V401" s="30">
        <v>0</v>
      </c>
      <c r="Y401" s="30" t="s">
        <v>927</v>
      </c>
    </row>
    <row r="402" spans="1:26" x14ac:dyDescent="0.2">
      <c r="A402" s="30">
        <v>251</v>
      </c>
      <c r="B402" s="30" t="s">
        <v>13</v>
      </c>
      <c r="C402" s="30" t="s">
        <v>13</v>
      </c>
      <c r="D402" s="30" t="s">
        <v>931</v>
      </c>
      <c r="E402" s="30" t="s">
        <v>932</v>
      </c>
      <c r="F402" s="27">
        <v>1</v>
      </c>
      <c r="H402" s="27">
        <v>1</v>
      </c>
      <c r="U402" s="30">
        <v>50</v>
      </c>
      <c r="V402" s="30">
        <v>0</v>
      </c>
      <c r="X402" s="30" t="s">
        <v>35</v>
      </c>
      <c r="Z402" s="30" t="s">
        <v>935</v>
      </c>
    </row>
    <row r="403" spans="1:26" x14ac:dyDescent="0.2">
      <c r="A403" s="30">
        <v>241</v>
      </c>
      <c r="B403" s="30" t="s">
        <v>13</v>
      </c>
      <c r="C403" s="30" t="s">
        <v>719</v>
      </c>
      <c r="D403" s="30" t="s">
        <v>976</v>
      </c>
      <c r="E403" s="30" t="s">
        <v>978</v>
      </c>
      <c r="U403" s="30">
        <v>0</v>
      </c>
      <c r="V403" s="30">
        <v>1</v>
      </c>
    </row>
    <row r="404" spans="1:26" x14ac:dyDescent="0.2">
      <c r="A404" s="30">
        <v>242</v>
      </c>
      <c r="B404" s="30" t="s">
        <v>13</v>
      </c>
      <c r="C404" s="30" t="s">
        <v>719</v>
      </c>
      <c r="D404" s="30" t="s">
        <v>976</v>
      </c>
      <c r="E404" s="30" t="s">
        <v>738</v>
      </c>
      <c r="U404" s="30">
        <v>0</v>
      </c>
      <c r="V404" s="30">
        <v>1</v>
      </c>
    </row>
    <row r="405" spans="1:26" x14ac:dyDescent="0.2">
      <c r="A405" s="30">
        <v>243</v>
      </c>
      <c r="B405" s="30" t="s">
        <v>13</v>
      </c>
      <c r="C405" s="30" t="s">
        <v>719</v>
      </c>
      <c r="D405" s="30" t="s">
        <v>976</v>
      </c>
      <c r="E405" s="30" t="s">
        <v>741</v>
      </c>
      <c r="U405" s="30">
        <v>0</v>
      </c>
      <c r="V405" s="30">
        <v>1</v>
      </c>
    </row>
    <row r="406" spans="1:26" x14ac:dyDescent="0.2">
      <c r="A406" s="30">
        <v>252</v>
      </c>
      <c r="B406" s="30" t="s">
        <v>13</v>
      </c>
      <c r="C406" s="30" t="s">
        <v>719</v>
      </c>
      <c r="D406" s="30" t="s">
        <v>976</v>
      </c>
      <c r="E406" s="30" t="s">
        <v>977</v>
      </c>
      <c r="U406" s="30">
        <v>50</v>
      </c>
      <c r="V406" s="30">
        <v>0</v>
      </c>
    </row>
    <row r="407" spans="1:26" x14ac:dyDescent="0.2">
      <c r="A407" s="30">
        <v>253</v>
      </c>
      <c r="B407" s="30" t="s">
        <v>13</v>
      </c>
      <c r="C407" s="30" t="s">
        <v>719</v>
      </c>
      <c r="D407" s="30" t="s">
        <v>976</v>
      </c>
      <c r="E407" s="30" t="s">
        <v>739</v>
      </c>
      <c r="U407" s="30">
        <v>50</v>
      </c>
      <c r="V407" s="30">
        <v>0</v>
      </c>
    </row>
    <row r="408" spans="1:26" x14ac:dyDescent="0.2">
      <c r="A408" s="30">
        <v>254</v>
      </c>
      <c r="B408" s="30" t="s">
        <v>13</v>
      </c>
      <c r="C408" s="30" t="s">
        <v>719</v>
      </c>
      <c r="D408" s="30" t="s">
        <v>976</v>
      </c>
      <c r="E408" s="30" t="s">
        <v>740</v>
      </c>
      <c r="U408" s="30">
        <v>50</v>
      </c>
      <c r="V408" s="30">
        <v>0</v>
      </c>
    </row>
    <row r="409" spans="1:26" x14ac:dyDescent="0.2">
      <c r="A409" s="30">
        <v>257</v>
      </c>
      <c r="B409" s="30" t="s">
        <v>13</v>
      </c>
      <c r="C409" s="30" t="s">
        <v>107</v>
      </c>
      <c r="D409" s="30" t="s">
        <v>1005</v>
      </c>
      <c r="E409" s="30" t="s">
        <v>1006</v>
      </c>
      <c r="U409" s="30">
        <v>0</v>
      </c>
      <c r="V409" s="30">
        <v>1</v>
      </c>
    </row>
  </sheetData>
  <autoFilter ref="A1:Z409"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10" sqref="A10"/>
    </sheetView>
  </sheetViews>
  <sheetFormatPr defaultRowHeight="12.75" x14ac:dyDescent="0.2"/>
  <cols>
    <col min="1" max="1" width="24.140625" bestFit="1" customWidth="1"/>
  </cols>
  <sheetData>
    <row r="1" spans="1:2" x14ac:dyDescent="0.2">
      <c r="B1" s="2" t="s">
        <v>943</v>
      </c>
    </row>
    <row r="2" spans="1:2" x14ac:dyDescent="0.2">
      <c r="A2" s="2" t="s">
        <v>938</v>
      </c>
      <c r="B2" s="2" t="s">
        <v>939</v>
      </c>
    </row>
    <row r="3" spans="1:2" x14ac:dyDescent="0.2">
      <c r="A3" s="2" t="s">
        <v>656</v>
      </c>
      <c r="B3" s="2" t="s">
        <v>940</v>
      </c>
    </row>
    <row r="4" spans="1:2" x14ac:dyDescent="0.2">
      <c r="A4" s="2" t="s">
        <v>657</v>
      </c>
      <c r="B4" s="2" t="s">
        <v>940</v>
      </c>
    </row>
    <row r="5" spans="1:2" x14ac:dyDescent="0.2">
      <c r="A5" s="2" t="s">
        <v>658</v>
      </c>
      <c r="B5" s="128" t="s">
        <v>940</v>
      </c>
    </row>
    <row r="6" spans="1:2" x14ac:dyDescent="0.2">
      <c r="A6" s="2" t="s">
        <v>659</v>
      </c>
      <c r="B6" t="s">
        <v>939</v>
      </c>
    </row>
    <row r="7" spans="1:2" x14ac:dyDescent="0.2">
      <c r="A7" s="2" t="s">
        <v>660</v>
      </c>
      <c r="B7" s="128" t="s">
        <v>940</v>
      </c>
    </row>
    <row r="8" spans="1:2" x14ac:dyDescent="0.2">
      <c r="A8" s="2" t="s">
        <v>661</v>
      </c>
      <c r="B8" s="128" t="s">
        <v>940</v>
      </c>
    </row>
    <row r="9" spans="1:2" x14ac:dyDescent="0.2">
      <c r="A9" s="2" t="s">
        <v>662</v>
      </c>
      <c r="B9" t="s">
        <v>942</v>
      </c>
    </row>
    <row r="10" spans="1:2" x14ac:dyDescent="0.2">
      <c r="A10" s="2" t="s">
        <v>663</v>
      </c>
      <c r="B10" t="s">
        <v>939</v>
      </c>
    </row>
    <row r="11" spans="1:2" x14ac:dyDescent="0.2">
      <c r="A11" s="2" t="s">
        <v>664</v>
      </c>
      <c r="B11" t="s">
        <v>939</v>
      </c>
    </row>
    <row r="12" spans="1:2" x14ac:dyDescent="0.2">
      <c r="A12" s="2" t="s">
        <v>665</v>
      </c>
      <c r="B12" t="s">
        <v>939</v>
      </c>
    </row>
    <row r="13" spans="1:2" x14ac:dyDescent="0.2">
      <c r="A13" s="2" t="s">
        <v>667</v>
      </c>
      <c r="B13" t="s">
        <v>939</v>
      </c>
    </row>
    <row r="14" spans="1:2" x14ac:dyDescent="0.2">
      <c r="A14" s="2" t="s">
        <v>666</v>
      </c>
      <c r="B14" t="s">
        <v>939</v>
      </c>
    </row>
    <row r="15" spans="1:2" x14ac:dyDescent="0.2">
      <c r="A15" s="2" t="s">
        <v>655</v>
      </c>
      <c r="B15" s="2" t="s">
        <v>940</v>
      </c>
    </row>
    <row r="16" spans="1:2" x14ac:dyDescent="0.2">
      <c r="A16" s="2" t="s">
        <v>668</v>
      </c>
    </row>
    <row r="17" spans="1:2" x14ac:dyDescent="0.2">
      <c r="A17" s="2" t="s">
        <v>669</v>
      </c>
    </row>
    <row r="18" spans="1:2" x14ac:dyDescent="0.2">
      <c r="A18" s="2" t="s">
        <v>670</v>
      </c>
      <c r="B18" t="s">
        <v>940</v>
      </c>
    </row>
    <row r="19" spans="1:2" x14ac:dyDescent="0.2">
      <c r="A19" s="2" t="s">
        <v>673</v>
      </c>
    </row>
    <row r="20" spans="1:2" x14ac:dyDescent="0.2">
      <c r="A20" s="2" t="s">
        <v>671</v>
      </c>
    </row>
    <row r="21" spans="1:2" x14ac:dyDescent="0.2">
      <c r="A21" s="2" t="s">
        <v>672</v>
      </c>
      <c r="B21" t="s">
        <v>940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3"/>
  <sheetViews>
    <sheetView topLeftCell="A5" workbookViewId="0">
      <selection activeCell="A30" sqref="A30"/>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259</v>
      </c>
    </row>
    <row r="34" spans="1:1" x14ac:dyDescent="0.2">
      <c r="A34">
        <v>260</v>
      </c>
    </row>
    <row r="35" spans="1:1" x14ac:dyDescent="0.2">
      <c r="A35">
        <v>261</v>
      </c>
    </row>
    <row r="36" spans="1:1" x14ac:dyDescent="0.2">
      <c r="A36">
        <v>262</v>
      </c>
    </row>
    <row r="37" spans="1:1" x14ac:dyDescent="0.2">
      <c r="A37">
        <v>263</v>
      </c>
    </row>
    <row r="38" spans="1:1" x14ac:dyDescent="0.2">
      <c r="A38">
        <v>264</v>
      </c>
    </row>
    <row r="39" spans="1:1" x14ac:dyDescent="0.2">
      <c r="A39">
        <v>265</v>
      </c>
    </row>
    <row r="40" spans="1:1" x14ac:dyDescent="0.2">
      <c r="A40">
        <v>266</v>
      </c>
    </row>
    <row r="41" spans="1:1" x14ac:dyDescent="0.2">
      <c r="A41">
        <v>268</v>
      </c>
    </row>
    <row r="42" spans="1:1" x14ac:dyDescent="0.2">
      <c r="A42">
        <v>269</v>
      </c>
    </row>
    <row r="43" spans="1:1" x14ac:dyDescent="0.2">
      <c r="A43">
        <v>270</v>
      </c>
    </row>
    <row r="44" spans="1:1" x14ac:dyDescent="0.2">
      <c r="A44">
        <v>271</v>
      </c>
    </row>
    <row r="45" spans="1:1" x14ac:dyDescent="0.2">
      <c r="A45">
        <v>272</v>
      </c>
    </row>
    <row r="46" spans="1:1" x14ac:dyDescent="0.2">
      <c r="A46">
        <v>273</v>
      </c>
    </row>
    <row r="47" spans="1:1" x14ac:dyDescent="0.2">
      <c r="A47">
        <v>278</v>
      </c>
    </row>
    <row r="48" spans="1:1" x14ac:dyDescent="0.2">
      <c r="A48">
        <v>279</v>
      </c>
    </row>
    <row r="49" spans="1:1" x14ac:dyDescent="0.2">
      <c r="A49">
        <v>280</v>
      </c>
    </row>
    <row r="50" spans="1:1" x14ac:dyDescent="0.2">
      <c r="A50">
        <v>281</v>
      </c>
    </row>
    <row r="51" spans="1:1" x14ac:dyDescent="0.2">
      <c r="A51">
        <v>283</v>
      </c>
    </row>
    <row r="52" spans="1:1" x14ac:dyDescent="0.2">
      <c r="A52">
        <v>284</v>
      </c>
    </row>
    <row r="53" spans="1:1" x14ac:dyDescent="0.2">
      <c r="A53">
        <v>285</v>
      </c>
    </row>
    <row r="54" spans="1:1" x14ac:dyDescent="0.2">
      <c r="A54">
        <v>288</v>
      </c>
    </row>
    <row r="55" spans="1:1" x14ac:dyDescent="0.2">
      <c r="A55">
        <v>289</v>
      </c>
    </row>
    <row r="56" spans="1:1" x14ac:dyDescent="0.2">
      <c r="A56">
        <v>290</v>
      </c>
    </row>
    <row r="57" spans="1:1" x14ac:dyDescent="0.2">
      <c r="A57">
        <v>293</v>
      </c>
    </row>
    <row r="58" spans="1:1" x14ac:dyDescent="0.2">
      <c r="A58">
        <v>294</v>
      </c>
    </row>
    <row r="59" spans="1:1" x14ac:dyDescent="0.2">
      <c r="A59">
        <v>297</v>
      </c>
    </row>
    <row r="60" spans="1:1" x14ac:dyDescent="0.2">
      <c r="A60">
        <v>298</v>
      </c>
    </row>
    <row r="61" spans="1:1" x14ac:dyDescent="0.2">
      <c r="A61">
        <v>299</v>
      </c>
    </row>
    <row r="62" spans="1:1" x14ac:dyDescent="0.2">
      <c r="A62">
        <v>300</v>
      </c>
    </row>
    <row r="63" spans="1:1" x14ac:dyDescent="0.2">
      <c r="A63">
        <v>304</v>
      </c>
    </row>
    <row r="64" spans="1:1" x14ac:dyDescent="0.2">
      <c r="A64">
        <v>306</v>
      </c>
    </row>
    <row r="65" spans="1:1" x14ac:dyDescent="0.2">
      <c r="A65">
        <v>307</v>
      </c>
    </row>
    <row r="66" spans="1:1" x14ac:dyDescent="0.2">
      <c r="A66">
        <v>315</v>
      </c>
    </row>
    <row r="67" spans="1:1" x14ac:dyDescent="0.2">
      <c r="A67">
        <v>317</v>
      </c>
    </row>
    <row r="68" spans="1:1" x14ac:dyDescent="0.2">
      <c r="A68">
        <v>318</v>
      </c>
    </row>
    <row r="69" spans="1:1" x14ac:dyDescent="0.2">
      <c r="A69">
        <v>319</v>
      </c>
    </row>
    <row r="70" spans="1:1" x14ac:dyDescent="0.2">
      <c r="A70">
        <v>320</v>
      </c>
    </row>
    <row r="71" spans="1:1" x14ac:dyDescent="0.2">
      <c r="A71">
        <v>322</v>
      </c>
    </row>
    <row r="72" spans="1:1" x14ac:dyDescent="0.2">
      <c r="A72">
        <v>323</v>
      </c>
    </row>
    <row r="73" spans="1:1" x14ac:dyDescent="0.2">
      <c r="A73">
        <v>327</v>
      </c>
    </row>
    <row r="74" spans="1:1" x14ac:dyDescent="0.2">
      <c r="A74">
        <v>328</v>
      </c>
    </row>
    <row r="75" spans="1:1" x14ac:dyDescent="0.2">
      <c r="A75">
        <v>329</v>
      </c>
    </row>
    <row r="76" spans="1:1" x14ac:dyDescent="0.2">
      <c r="A76">
        <v>330</v>
      </c>
    </row>
    <row r="77" spans="1:1" x14ac:dyDescent="0.2">
      <c r="A77">
        <v>332</v>
      </c>
    </row>
    <row r="78" spans="1:1" x14ac:dyDescent="0.2">
      <c r="A78">
        <v>333</v>
      </c>
    </row>
    <row r="79" spans="1:1" x14ac:dyDescent="0.2">
      <c r="A79">
        <v>334</v>
      </c>
    </row>
    <row r="80" spans="1:1" x14ac:dyDescent="0.2">
      <c r="A80">
        <v>336</v>
      </c>
    </row>
    <row r="81" spans="1:1" x14ac:dyDescent="0.2">
      <c r="A81">
        <v>337</v>
      </c>
    </row>
    <row r="82" spans="1:1" x14ac:dyDescent="0.2">
      <c r="A82">
        <v>338</v>
      </c>
    </row>
    <row r="83" spans="1:1" x14ac:dyDescent="0.2">
      <c r="A83">
        <v>339</v>
      </c>
    </row>
    <row r="84" spans="1:1" x14ac:dyDescent="0.2">
      <c r="A84">
        <v>340</v>
      </c>
    </row>
    <row r="85" spans="1:1" x14ac:dyDescent="0.2">
      <c r="A85">
        <v>347</v>
      </c>
    </row>
    <row r="86" spans="1:1" x14ac:dyDescent="0.2">
      <c r="A86">
        <v>351</v>
      </c>
    </row>
    <row r="87" spans="1:1" x14ac:dyDescent="0.2">
      <c r="A87">
        <v>352</v>
      </c>
    </row>
    <row r="88" spans="1:1" x14ac:dyDescent="0.2">
      <c r="A88">
        <v>353</v>
      </c>
    </row>
    <row r="89" spans="1:1" x14ac:dyDescent="0.2">
      <c r="A89">
        <v>354</v>
      </c>
    </row>
    <row r="90" spans="1:1" x14ac:dyDescent="0.2">
      <c r="A90">
        <v>355</v>
      </c>
    </row>
    <row r="91" spans="1:1" x14ac:dyDescent="0.2">
      <c r="A91">
        <v>356</v>
      </c>
    </row>
    <row r="92" spans="1:1" x14ac:dyDescent="0.2">
      <c r="A92">
        <v>357</v>
      </c>
    </row>
    <row r="93" spans="1:1" x14ac:dyDescent="0.2">
      <c r="A93">
        <v>358</v>
      </c>
    </row>
    <row r="94" spans="1:1" x14ac:dyDescent="0.2">
      <c r="A94">
        <v>359</v>
      </c>
    </row>
    <row r="95" spans="1:1" x14ac:dyDescent="0.2">
      <c r="A95">
        <v>362</v>
      </c>
    </row>
    <row r="96" spans="1:1" x14ac:dyDescent="0.2">
      <c r="A96">
        <v>363</v>
      </c>
    </row>
    <row r="97" spans="1:1" x14ac:dyDescent="0.2">
      <c r="A97">
        <v>364</v>
      </c>
    </row>
    <row r="98" spans="1:1" x14ac:dyDescent="0.2">
      <c r="A98">
        <v>367</v>
      </c>
    </row>
    <row r="99" spans="1:1" x14ac:dyDescent="0.2">
      <c r="A99">
        <v>370</v>
      </c>
    </row>
    <row r="100" spans="1:1" x14ac:dyDescent="0.2">
      <c r="A100">
        <v>373</v>
      </c>
    </row>
    <row r="101" spans="1:1" x14ac:dyDescent="0.2">
      <c r="A101">
        <v>374</v>
      </c>
    </row>
    <row r="102" spans="1:1" x14ac:dyDescent="0.2">
      <c r="A102">
        <v>380</v>
      </c>
    </row>
    <row r="103" spans="1:1" x14ac:dyDescent="0.2">
      <c r="A103">
        <v>381</v>
      </c>
    </row>
    <row r="104" spans="1:1" x14ac:dyDescent="0.2">
      <c r="A104">
        <v>382</v>
      </c>
    </row>
    <row r="105" spans="1:1" x14ac:dyDescent="0.2">
      <c r="A105">
        <v>384</v>
      </c>
    </row>
    <row r="106" spans="1:1" x14ac:dyDescent="0.2">
      <c r="A106">
        <v>389</v>
      </c>
    </row>
    <row r="107" spans="1:1" x14ac:dyDescent="0.2">
      <c r="A107">
        <v>390</v>
      </c>
    </row>
    <row r="108" spans="1:1" x14ac:dyDescent="0.2">
      <c r="A108">
        <v>395</v>
      </c>
    </row>
    <row r="109" spans="1:1" x14ac:dyDescent="0.2">
      <c r="A109">
        <v>396</v>
      </c>
    </row>
    <row r="110" spans="1:1" x14ac:dyDescent="0.2">
      <c r="A110">
        <v>397</v>
      </c>
    </row>
    <row r="111" spans="1:1" x14ac:dyDescent="0.2">
      <c r="A111">
        <v>409</v>
      </c>
    </row>
    <row r="112" spans="1:1" x14ac:dyDescent="0.2">
      <c r="A112">
        <v>410</v>
      </c>
    </row>
    <row r="113" spans="1:1" x14ac:dyDescent="0.2">
      <c r="A113">
        <v>421</v>
      </c>
    </row>
    <row r="114" spans="1:1" x14ac:dyDescent="0.2">
      <c r="A114">
        <v>422</v>
      </c>
    </row>
    <row r="115" spans="1:1" x14ac:dyDescent="0.2">
      <c r="A115">
        <v>423</v>
      </c>
    </row>
    <row r="116" spans="1:1" x14ac:dyDescent="0.2">
      <c r="A116">
        <v>424</v>
      </c>
    </row>
    <row r="117" spans="1:1" x14ac:dyDescent="0.2">
      <c r="A117">
        <v>425</v>
      </c>
    </row>
    <row r="118" spans="1:1" x14ac:dyDescent="0.2">
      <c r="A118">
        <v>426</v>
      </c>
    </row>
    <row r="119" spans="1:1" x14ac:dyDescent="0.2">
      <c r="A119">
        <v>438</v>
      </c>
    </row>
    <row r="120" spans="1:1" x14ac:dyDescent="0.2">
      <c r="A120">
        <v>439</v>
      </c>
    </row>
    <row r="121" spans="1:1" x14ac:dyDescent="0.2">
      <c r="A121">
        <v>440</v>
      </c>
    </row>
    <row r="122" spans="1:1" x14ac:dyDescent="0.2">
      <c r="A122">
        <v>441</v>
      </c>
    </row>
    <row r="123" spans="1:1" x14ac:dyDescent="0.2">
      <c r="A123">
        <v>442</v>
      </c>
    </row>
    <row r="124" spans="1:1" x14ac:dyDescent="0.2">
      <c r="A124">
        <v>443</v>
      </c>
    </row>
    <row r="125" spans="1:1" x14ac:dyDescent="0.2">
      <c r="A125">
        <v>444</v>
      </c>
    </row>
    <row r="126" spans="1:1" x14ac:dyDescent="0.2">
      <c r="A126">
        <v>445</v>
      </c>
    </row>
    <row r="127" spans="1:1" x14ac:dyDescent="0.2">
      <c r="A127">
        <v>446</v>
      </c>
    </row>
    <row r="128" spans="1:1" x14ac:dyDescent="0.2">
      <c r="A128">
        <v>447</v>
      </c>
    </row>
    <row r="129" spans="1:1" x14ac:dyDescent="0.2">
      <c r="A129">
        <v>448</v>
      </c>
    </row>
    <row r="130" spans="1:1" x14ac:dyDescent="0.2">
      <c r="A130">
        <v>449</v>
      </c>
    </row>
    <row r="131" spans="1:1" x14ac:dyDescent="0.2">
      <c r="A131">
        <v>450</v>
      </c>
    </row>
    <row r="132" spans="1:1" x14ac:dyDescent="0.2">
      <c r="A132">
        <v>451</v>
      </c>
    </row>
    <row r="133" spans="1:1" x14ac:dyDescent="0.2">
      <c r="A133">
        <v>452</v>
      </c>
    </row>
    <row r="134" spans="1:1" x14ac:dyDescent="0.2">
      <c r="A134">
        <v>453</v>
      </c>
    </row>
    <row r="135" spans="1:1" x14ac:dyDescent="0.2">
      <c r="A135">
        <v>454</v>
      </c>
    </row>
    <row r="136" spans="1:1" x14ac:dyDescent="0.2">
      <c r="A136">
        <v>455</v>
      </c>
    </row>
    <row r="137" spans="1:1" x14ac:dyDescent="0.2">
      <c r="A137">
        <v>456</v>
      </c>
    </row>
    <row r="138" spans="1:1" x14ac:dyDescent="0.2">
      <c r="A138">
        <v>457</v>
      </c>
    </row>
    <row r="139" spans="1:1" x14ac:dyDescent="0.2">
      <c r="A139">
        <v>459</v>
      </c>
    </row>
    <row r="140" spans="1:1" x14ac:dyDescent="0.2">
      <c r="A140">
        <v>480</v>
      </c>
    </row>
    <row r="141" spans="1:1" x14ac:dyDescent="0.2">
      <c r="A141">
        <v>483</v>
      </c>
    </row>
    <row r="142" spans="1:1" x14ac:dyDescent="0.2">
      <c r="A142">
        <v>486</v>
      </c>
    </row>
    <row r="143" spans="1:1" x14ac:dyDescent="0.2">
      <c r="A143">
        <v>487</v>
      </c>
    </row>
    <row r="144" spans="1:1" x14ac:dyDescent="0.2">
      <c r="A144">
        <v>489</v>
      </c>
    </row>
    <row r="145" spans="1:1" x14ac:dyDescent="0.2">
      <c r="A145">
        <v>528</v>
      </c>
    </row>
    <row r="146" spans="1:1" x14ac:dyDescent="0.2">
      <c r="A146">
        <v>529</v>
      </c>
    </row>
    <row r="147" spans="1:1" x14ac:dyDescent="0.2">
      <c r="A147">
        <v>539</v>
      </c>
    </row>
    <row r="148" spans="1:1" x14ac:dyDescent="0.2">
      <c r="A148">
        <v>540</v>
      </c>
    </row>
    <row r="149" spans="1:1" x14ac:dyDescent="0.2">
      <c r="A149">
        <v>552</v>
      </c>
    </row>
    <row r="150" spans="1:1" x14ac:dyDescent="0.2">
      <c r="A150">
        <v>553</v>
      </c>
    </row>
    <row r="151" spans="1:1" x14ac:dyDescent="0.2">
      <c r="A151">
        <v>554</v>
      </c>
    </row>
    <row r="152" spans="1:1" x14ac:dyDescent="0.2">
      <c r="A152">
        <v>556</v>
      </c>
    </row>
    <row r="153" spans="1:1" x14ac:dyDescent="0.2">
      <c r="A15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4" t="s">
        <v>631</v>
      </c>
      <c r="B1" s="84" t="s">
        <v>632</v>
      </c>
      <c r="C1" s="84" t="s">
        <v>633</v>
      </c>
    </row>
    <row r="2" spans="1:3" x14ac:dyDescent="0.2">
      <c r="A2" s="82" t="s">
        <v>625</v>
      </c>
      <c r="B2" s="82" t="s">
        <v>626</v>
      </c>
      <c r="C2" s="82" t="s">
        <v>628</v>
      </c>
    </row>
    <row r="3" spans="1:3" x14ac:dyDescent="0.2">
      <c r="A3" s="82" t="s">
        <v>627</v>
      </c>
      <c r="B3" s="82" t="s">
        <v>630</v>
      </c>
      <c r="C3" s="82" t="s">
        <v>629</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532</v>
      </c>
    </row>
    <row r="2" spans="1:1" x14ac:dyDescent="0.2">
      <c r="A2" s="2" t="s">
        <v>531</v>
      </c>
    </row>
    <row r="3" spans="1:1" x14ac:dyDescent="0.2">
      <c r="A3" s="2" t="s">
        <v>530</v>
      </c>
    </row>
    <row r="4" spans="1:1" x14ac:dyDescent="0.2">
      <c r="A4" s="2" t="s">
        <v>533</v>
      </c>
    </row>
    <row r="5" spans="1:1" x14ac:dyDescent="0.2">
      <c r="A5" s="2" t="s">
        <v>534</v>
      </c>
    </row>
    <row r="6" spans="1:1" x14ac:dyDescent="0.2">
      <c r="A6" s="2" t="s">
        <v>535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717</v>
      </c>
      <c r="B1" s="144" t="s">
        <v>714</v>
      </c>
      <c r="C1" s="144"/>
      <c r="D1" s="144"/>
      <c r="E1" s="144"/>
      <c r="F1" s="144" t="s">
        <v>715</v>
      </c>
      <c r="G1" s="144"/>
      <c r="H1" s="144"/>
      <c r="I1" s="144"/>
      <c r="J1" s="144" t="s">
        <v>716</v>
      </c>
      <c r="K1" s="144"/>
      <c r="L1" s="144"/>
      <c r="M1" s="144"/>
    </row>
    <row r="2" spans="1:13" x14ac:dyDescent="0.2">
      <c r="A2" s="101"/>
      <c r="B2" s="102" t="s">
        <v>710</v>
      </c>
      <c r="C2" s="102" t="s">
        <v>711</v>
      </c>
      <c r="D2" s="102" t="s">
        <v>712</v>
      </c>
      <c r="E2" s="102" t="s">
        <v>713</v>
      </c>
      <c r="F2" s="102" t="s">
        <v>710</v>
      </c>
      <c r="G2" s="102" t="s">
        <v>711</v>
      </c>
      <c r="H2" s="102" t="s">
        <v>712</v>
      </c>
      <c r="I2" s="102" t="s">
        <v>713</v>
      </c>
      <c r="J2" s="102" t="s">
        <v>710</v>
      </c>
      <c r="K2" s="102" t="s">
        <v>711</v>
      </c>
      <c r="L2" s="102" t="s">
        <v>712</v>
      </c>
      <c r="M2" s="102" t="s">
        <v>713</v>
      </c>
    </row>
    <row r="3" spans="1:13" x14ac:dyDescent="0.2">
      <c r="A3" s="14" t="s">
        <v>700</v>
      </c>
      <c r="B3" s="87"/>
      <c r="C3" s="85"/>
      <c r="D3" s="85"/>
      <c r="E3" s="85"/>
      <c r="F3" s="87"/>
      <c r="G3" s="85"/>
      <c r="H3" s="85"/>
      <c r="I3" s="85"/>
      <c r="J3" s="103"/>
      <c r="K3" s="85"/>
      <c r="L3" s="85"/>
      <c r="M3" s="85"/>
    </row>
    <row r="4" spans="1:13" x14ac:dyDescent="0.2">
      <c r="A4" s="14" t="s">
        <v>701</v>
      </c>
      <c r="B4" s="87"/>
      <c r="C4" s="85"/>
      <c r="D4" s="85"/>
      <c r="E4" s="85"/>
      <c r="F4" s="87"/>
      <c r="G4" s="85"/>
      <c r="H4" s="85"/>
      <c r="I4" s="85"/>
      <c r="J4" s="103"/>
      <c r="K4" s="85"/>
      <c r="L4" s="85"/>
      <c r="M4" s="85"/>
    </row>
    <row r="5" spans="1:13" ht="13.5" thickBot="1" x14ac:dyDescent="0.25">
      <c r="A5" s="88" t="s">
        <v>702</v>
      </c>
      <c r="B5" s="87"/>
      <c r="C5" s="89"/>
      <c r="D5" s="89"/>
      <c r="E5" s="89"/>
      <c r="F5" s="90"/>
      <c r="G5" s="89"/>
      <c r="H5" s="89"/>
      <c r="I5" s="89"/>
      <c r="J5" s="104"/>
      <c r="K5" s="89"/>
      <c r="L5" s="89"/>
      <c r="M5" s="89"/>
    </row>
    <row r="6" spans="1:13" x14ac:dyDescent="0.2">
      <c r="A6" s="93" t="s">
        <v>703</v>
      </c>
      <c r="B6" s="86"/>
      <c r="C6" s="94"/>
      <c r="D6" s="94"/>
      <c r="E6" s="94"/>
      <c r="F6" s="86"/>
      <c r="G6" s="94"/>
      <c r="H6" s="94"/>
      <c r="I6" s="94"/>
      <c r="J6" s="86"/>
      <c r="K6" s="94"/>
      <c r="L6" s="94"/>
      <c r="M6" s="95"/>
    </row>
    <row r="7" spans="1:13" x14ac:dyDescent="0.2">
      <c r="A7" s="96" t="s">
        <v>704</v>
      </c>
      <c r="B7" s="86"/>
      <c r="C7" s="85"/>
      <c r="D7" s="85"/>
      <c r="E7" s="85"/>
      <c r="F7" s="86"/>
      <c r="G7" s="85"/>
      <c r="H7" s="85"/>
      <c r="I7" s="85"/>
      <c r="J7" s="86"/>
      <c r="K7" s="85"/>
      <c r="L7" s="85"/>
      <c r="M7" s="97"/>
    </row>
    <row r="8" spans="1:13" x14ac:dyDescent="0.2">
      <c r="A8" s="96" t="s">
        <v>705</v>
      </c>
      <c r="B8" s="86"/>
      <c r="C8" s="85"/>
      <c r="D8" s="85"/>
      <c r="E8" s="85"/>
      <c r="F8" s="86"/>
      <c r="G8" s="85"/>
      <c r="H8" s="85"/>
      <c r="I8" s="85"/>
      <c r="J8" s="86"/>
      <c r="K8" s="85"/>
      <c r="L8" s="85"/>
      <c r="M8" s="97"/>
    </row>
    <row r="9" spans="1:13" ht="13.5" thickBot="1" x14ac:dyDescent="0.25">
      <c r="A9" s="98" t="s">
        <v>706</v>
      </c>
      <c r="B9" s="86"/>
      <c r="C9" s="99"/>
      <c r="D9" s="99"/>
      <c r="E9" s="99"/>
      <c r="F9" s="86"/>
      <c r="G9" s="99"/>
      <c r="H9" s="99"/>
      <c r="I9" s="99"/>
      <c r="J9" s="86"/>
      <c r="K9" s="99"/>
      <c r="L9" s="99"/>
      <c r="M9" s="100"/>
    </row>
    <row r="10" spans="1:13" x14ac:dyDescent="0.2">
      <c r="A10" s="91" t="s">
        <v>707</v>
      </c>
      <c r="B10" s="86"/>
      <c r="C10" s="92"/>
      <c r="D10" s="92"/>
      <c r="E10" s="92"/>
      <c r="F10" s="86"/>
      <c r="G10" s="92"/>
      <c r="H10" s="92"/>
      <c r="I10" s="92"/>
      <c r="J10" s="86"/>
      <c r="K10" s="92"/>
      <c r="L10" s="92"/>
      <c r="M10" s="92"/>
    </row>
    <row r="11" spans="1:13" x14ac:dyDescent="0.2">
      <c r="A11" s="14" t="s">
        <v>708</v>
      </c>
      <c r="B11" s="86"/>
      <c r="C11" s="85"/>
      <c r="D11" s="85"/>
      <c r="E11" s="85"/>
      <c r="F11" s="86"/>
      <c r="G11" s="85"/>
      <c r="H11" s="85"/>
      <c r="I11" s="85"/>
      <c r="J11" s="86"/>
      <c r="K11" s="85"/>
      <c r="L11" s="85"/>
      <c r="M11" s="85"/>
    </row>
    <row r="12" spans="1:13" x14ac:dyDescent="0.2">
      <c r="A12" s="14" t="s">
        <v>709</v>
      </c>
      <c r="B12" s="86"/>
      <c r="C12" s="85"/>
      <c r="D12" s="85"/>
      <c r="E12" s="85"/>
      <c r="F12" s="86"/>
      <c r="G12" s="85"/>
      <c r="H12" s="85"/>
      <c r="I12" s="85"/>
      <c r="J12" s="86"/>
      <c r="K12" s="85"/>
      <c r="L12" s="85"/>
      <c r="M12" s="85"/>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4" t="s">
        <v>826</v>
      </c>
      <c r="B1" s="124" t="s">
        <v>827</v>
      </c>
      <c r="C1" s="124" t="s">
        <v>828</v>
      </c>
      <c r="D1" s="124">
        <v>9</v>
      </c>
      <c r="E1" s="124">
        <v>11</v>
      </c>
      <c r="F1" s="124">
        <v>0</v>
      </c>
      <c r="G1" s="124">
        <v>2</v>
      </c>
      <c r="H1" s="124">
        <v>4</v>
      </c>
      <c r="I1" s="124">
        <v>5</v>
      </c>
      <c r="J1" s="125">
        <v>6</v>
      </c>
      <c r="K1" s="124">
        <v>7</v>
      </c>
      <c r="L1" s="126">
        <v>8</v>
      </c>
    </row>
    <row r="2" spans="1:12" x14ac:dyDescent="0.2">
      <c r="A2" s="145" t="s">
        <v>811</v>
      </c>
      <c r="B2" s="145"/>
      <c r="C2" s="145"/>
      <c r="D2" s="145" t="s">
        <v>810</v>
      </c>
      <c r="E2" s="145"/>
      <c r="F2" s="145"/>
      <c r="G2" s="145"/>
      <c r="H2" s="145"/>
      <c r="I2" s="145"/>
      <c r="J2" s="145"/>
      <c r="K2" s="145"/>
      <c r="L2" s="145"/>
    </row>
    <row r="3" spans="1:12" x14ac:dyDescent="0.2">
      <c r="A3" s="146"/>
      <c r="B3" s="147"/>
      <c r="C3" s="148"/>
      <c r="D3" s="121" t="s">
        <v>805</v>
      </c>
      <c r="E3" s="121" t="s">
        <v>806</v>
      </c>
      <c r="F3" s="121" t="s">
        <v>687</v>
      </c>
      <c r="G3" s="121" t="s">
        <v>807</v>
      </c>
      <c r="H3" s="121" t="s">
        <v>686</v>
      </c>
      <c r="I3" s="121" t="s">
        <v>213</v>
      </c>
      <c r="J3" s="122" t="s">
        <v>442</v>
      </c>
      <c r="K3" s="121" t="s">
        <v>808</v>
      </c>
      <c r="L3" s="123" t="s">
        <v>809</v>
      </c>
    </row>
    <row r="4" spans="1:12" x14ac:dyDescent="0.2">
      <c r="A4" s="149"/>
      <c r="B4" s="150"/>
      <c r="C4" s="151"/>
      <c r="D4" s="121" t="s">
        <v>812</v>
      </c>
      <c r="E4" s="121" t="s">
        <v>632</v>
      </c>
      <c r="F4" s="121" t="s">
        <v>813</v>
      </c>
      <c r="G4" s="121" t="s">
        <v>814</v>
      </c>
      <c r="H4" s="121" t="s">
        <v>631</v>
      </c>
      <c r="I4" s="121" t="s">
        <v>815</v>
      </c>
      <c r="J4" s="122" t="s">
        <v>816</v>
      </c>
      <c r="K4" s="121" t="s">
        <v>817</v>
      </c>
      <c r="L4" s="123" t="s">
        <v>818</v>
      </c>
    </row>
    <row r="5" spans="1:12" x14ac:dyDescent="0.2">
      <c r="A5" s="124">
        <v>9</v>
      </c>
      <c r="B5" s="121" t="s">
        <v>805</v>
      </c>
      <c r="C5" s="121" t="s">
        <v>812</v>
      </c>
      <c r="D5" s="116" t="s">
        <v>834</v>
      </c>
      <c r="E5" s="116" t="s">
        <v>832</v>
      </c>
      <c r="F5" s="116" t="s">
        <v>819</v>
      </c>
      <c r="G5" s="116" t="s">
        <v>682</v>
      </c>
      <c r="H5" s="116" t="s">
        <v>127</v>
      </c>
      <c r="I5" s="116" t="s">
        <v>820</v>
      </c>
      <c r="J5" s="117" t="s">
        <v>821</v>
      </c>
      <c r="K5" s="116" t="s">
        <v>738</v>
      </c>
      <c r="L5" s="118" t="s">
        <v>739</v>
      </c>
    </row>
    <row r="6" spans="1:12" x14ac:dyDescent="0.2">
      <c r="A6" s="124">
        <v>11</v>
      </c>
      <c r="B6" s="121" t="s">
        <v>806</v>
      </c>
      <c r="C6" s="121" t="s">
        <v>632</v>
      </c>
      <c r="D6" s="116" t="s">
        <v>738</v>
      </c>
      <c r="E6" s="116" t="s">
        <v>834</v>
      </c>
      <c r="F6" s="116" t="s">
        <v>833</v>
      </c>
      <c r="G6" s="116" t="s">
        <v>819</v>
      </c>
      <c r="H6" s="116" t="s">
        <v>682</v>
      </c>
      <c r="I6" s="116" t="s">
        <v>823</v>
      </c>
      <c r="J6" s="117" t="s">
        <v>127</v>
      </c>
      <c r="K6" s="116" t="s">
        <v>820</v>
      </c>
      <c r="L6" s="118" t="s">
        <v>821</v>
      </c>
    </row>
    <row r="7" spans="1:12" x14ac:dyDescent="0.2">
      <c r="A7" s="124">
        <v>0</v>
      </c>
      <c r="B7" s="121" t="s">
        <v>687</v>
      </c>
      <c r="C7" s="121" t="s">
        <v>813</v>
      </c>
      <c r="D7" s="116" t="s">
        <v>821</v>
      </c>
      <c r="E7" s="116" t="s">
        <v>739</v>
      </c>
      <c r="F7" s="116" t="s">
        <v>834</v>
      </c>
      <c r="G7" s="116" t="s">
        <v>832</v>
      </c>
      <c r="H7" s="116" t="s">
        <v>819</v>
      </c>
      <c r="I7" s="116" t="s">
        <v>682</v>
      </c>
      <c r="J7" s="120" t="s">
        <v>825</v>
      </c>
      <c r="K7" s="116" t="s">
        <v>127</v>
      </c>
      <c r="L7" s="119" t="s">
        <v>822</v>
      </c>
    </row>
    <row r="8" spans="1:12" x14ac:dyDescent="0.2">
      <c r="A8" s="124">
        <v>2</v>
      </c>
      <c r="B8" s="121" t="s">
        <v>807</v>
      </c>
      <c r="C8" s="121" t="s">
        <v>814</v>
      </c>
      <c r="D8" s="116" t="s">
        <v>127</v>
      </c>
      <c r="E8" s="116" t="s">
        <v>821</v>
      </c>
      <c r="F8" s="116" t="s">
        <v>738</v>
      </c>
      <c r="G8" s="116" t="s">
        <v>834</v>
      </c>
      <c r="H8" s="116" t="s">
        <v>832</v>
      </c>
      <c r="I8" s="116" t="s">
        <v>819</v>
      </c>
      <c r="J8" s="120" t="s">
        <v>824</v>
      </c>
      <c r="K8" s="116" t="s">
        <v>682</v>
      </c>
      <c r="L8" s="119" t="s">
        <v>825</v>
      </c>
    </row>
    <row r="9" spans="1:12" x14ac:dyDescent="0.2">
      <c r="A9" s="124">
        <v>4</v>
      </c>
      <c r="B9" s="121" t="s">
        <v>686</v>
      </c>
      <c r="C9" s="121" t="s">
        <v>631</v>
      </c>
      <c r="D9" s="116" t="s">
        <v>682</v>
      </c>
      <c r="E9" s="116" t="s">
        <v>127</v>
      </c>
      <c r="F9" s="116" t="s">
        <v>820</v>
      </c>
      <c r="G9" s="116" t="s">
        <v>738</v>
      </c>
      <c r="H9" s="116" t="s">
        <v>834</v>
      </c>
      <c r="I9" s="116" t="s">
        <v>833</v>
      </c>
      <c r="J9" s="117" t="s">
        <v>832</v>
      </c>
      <c r="K9" s="116" t="s">
        <v>819</v>
      </c>
      <c r="L9" s="118" t="s">
        <v>824</v>
      </c>
    </row>
    <row r="10" spans="1:12" x14ac:dyDescent="0.2">
      <c r="A10" s="124">
        <v>5</v>
      </c>
      <c r="B10" s="121" t="s">
        <v>213</v>
      </c>
      <c r="C10" s="121" t="s">
        <v>815</v>
      </c>
      <c r="D10" s="116" t="s">
        <v>824</v>
      </c>
      <c r="E10" s="127" t="s">
        <v>825</v>
      </c>
      <c r="F10" s="116" t="s">
        <v>127</v>
      </c>
      <c r="G10" s="116" t="s">
        <v>821</v>
      </c>
      <c r="H10" s="116" t="s">
        <v>739</v>
      </c>
      <c r="I10" s="116" t="s">
        <v>834</v>
      </c>
      <c r="J10" s="120" t="s">
        <v>842</v>
      </c>
      <c r="K10" s="116" t="s">
        <v>832</v>
      </c>
      <c r="L10" s="119" t="s">
        <v>835</v>
      </c>
    </row>
    <row r="11" spans="1:12" x14ac:dyDescent="0.2">
      <c r="A11" s="125">
        <v>6</v>
      </c>
      <c r="B11" s="122" t="s">
        <v>442</v>
      </c>
      <c r="C11" s="122" t="s">
        <v>816</v>
      </c>
      <c r="D11" s="117" t="s">
        <v>819</v>
      </c>
      <c r="E11" s="117" t="s">
        <v>682</v>
      </c>
      <c r="F11" s="120" t="s">
        <v>823</v>
      </c>
      <c r="G11" s="117" t="s">
        <v>820</v>
      </c>
      <c r="H11" s="117" t="s">
        <v>738</v>
      </c>
      <c r="I11" s="117" t="s">
        <v>739</v>
      </c>
      <c r="J11" s="117" t="s">
        <v>834</v>
      </c>
      <c r="K11" s="117" t="s">
        <v>833</v>
      </c>
      <c r="L11" s="118" t="s">
        <v>832</v>
      </c>
    </row>
    <row r="12" spans="1:12" x14ac:dyDescent="0.2">
      <c r="A12" s="124">
        <v>7</v>
      </c>
      <c r="B12" s="121" t="s">
        <v>808</v>
      </c>
      <c r="C12" s="121" t="s">
        <v>817</v>
      </c>
      <c r="D12" s="116" t="s">
        <v>832</v>
      </c>
      <c r="E12" s="116" t="s">
        <v>824</v>
      </c>
      <c r="F12" s="116" t="s">
        <v>682</v>
      </c>
      <c r="G12" s="116" t="s">
        <v>127</v>
      </c>
      <c r="H12" s="116" t="s">
        <v>821</v>
      </c>
      <c r="I12" s="116" t="s">
        <v>738</v>
      </c>
      <c r="J12" s="117" t="s">
        <v>739</v>
      </c>
      <c r="K12" s="116" t="s">
        <v>834</v>
      </c>
      <c r="L12" s="119" t="s">
        <v>842</v>
      </c>
    </row>
    <row r="13" spans="1:12" x14ac:dyDescent="0.2">
      <c r="A13" s="126">
        <v>8</v>
      </c>
      <c r="B13" s="123" t="s">
        <v>809</v>
      </c>
      <c r="C13" s="123" t="s">
        <v>818</v>
      </c>
      <c r="D13" s="118" t="s">
        <v>833</v>
      </c>
      <c r="E13" s="118" t="s">
        <v>819</v>
      </c>
      <c r="F13" s="119" t="s">
        <v>829</v>
      </c>
      <c r="G13" s="118" t="s">
        <v>823</v>
      </c>
      <c r="H13" s="118" t="s">
        <v>820</v>
      </c>
      <c r="I13" s="119" t="s">
        <v>830</v>
      </c>
      <c r="J13" s="118" t="s">
        <v>738</v>
      </c>
      <c r="K13" s="119" t="s">
        <v>831</v>
      </c>
      <c r="L13" s="118" t="s">
        <v>834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2019-02-24T18:28:27Z</dcterms:modified>
</cp:coreProperties>
</file>