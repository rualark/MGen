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61C8AA4-2E53-46CB-B60F-852892836683}"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0"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<sst xmlns="http://schemas.openxmlformats.org/spreadsheetml/2006/main" count="3705" uniqueCount="953">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</sst>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09" activePane="bottomLeft" state="frozen"/>
      <selection activeCell="C37" sqref="C37"/>
      <selection pane="bottomLeft" activeCell="F135" sqref="F13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8" t="s">
        <v>29</v>
      </c>
      <c r="G1" s="129"/>
      <c r="H1" s="129"/>
      <c r="I1" s="129"/>
      <c r="J1" s="129"/>
      <c r="K1" s="129"/>
      <c r="L1" s="129"/>
      <c r="M1" s="130"/>
      <c r="N1" s="48"/>
      <c r="O1" s="49" t="s">
        <v>15</v>
      </c>
      <c r="P1" s="50"/>
      <c r="Q1" s="49" t="s">
        <v>43</v>
      </c>
    </row>
    <row r="2" spans="1:24" ht="13.15" customHeight="1" x14ac:dyDescent="0.2">
      <c r="A2" s="125" t="s">
        <v>101</v>
      </c>
      <c r="B2" s="123"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25"/>
      <c r="B3" s="123"/>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25"/>
      <c r="B4" s="123"/>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25"/>
      <c r="B5" s="123"/>
      <c r="C5" s="88" t="s">
        <v>784</v>
      </c>
      <c r="D5" s="3"/>
      <c r="E5" s="3"/>
      <c r="F5" s="76" t="s">
        <v>785</v>
      </c>
      <c r="G5" s="3"/>
      <c r="H5" s="3"/>
      <c r="I5" s="3"/>
      <c r="J5" s="3"/>
      <c r="K5" s="3"/>
      <c r="L5" s="3"/>
      <c r="M5" s="3"/>
      <c r="O5" s="14"/>
      <c r="Q5" s="114">
        <v>530</v>
      </c>
      <c r="R5" s="1"/>
      <c r="S5" s="1"/>
      <c r="T5" s="1"/>
      <c r="U5" s="1"/>
      <c r="V5" s="1"/>
      <c r="W5" s="1"/>
      <c r="X5" s="1"/>
    </row>
    <row r="6" spans="1:24" x14ac:dyDescent="0.2">
      <c r="A6" s="125"/>
      <c r="B6" s="123"/>
      <c r="C6" s="19" t="s">
        <v>541</v>
      </c>
      <c r="D6" s="3"/>
      <c r="E6" s="3"/>
      <c r="F6" s="76" t="s">
        <v>540</v>
      </c>
      <c r="G6" s="3"/>
      <c r="H6" s="3"/>
      <c r="I6" s="3"/>
      <c r="J6" s="3"/>
      <c r="K6" s="3"/>
      <c r="L6" s="3"/>
      <c r="M6" s="3"/>
      <c r="N6" s="4"/>
      <c r="O6" s="18"/>
      <c r="Q6" s="114">
        <v>247</v>
      </c>
      <c r="R6" s="111"/>
      <c r="S6" s="111"/>
      <c r="T6" s="1"/>
      <c r="U6" s="1"/>
      <c r="V6" s="1"/>
      <c r="W6" s="1"/>
      <c r="X6" s="1"/>
    </row>
    <row r="7" spans="1:24" x14ac:dyDescent="0.2">
      <c r="A7" s="125"/>
      <c r="B7" s="123"/>
      <c r="C7" s="20" t="s">
        <v>834</v>
      </c>
      <c r="D7" s="3"/>
      <c r="E7" s="3"/>
      <c r="F7" s="76" t="s">
        <v>540</v>
      </c>
      <c r="G7" s="3"/>
      <c r="H7" s="3"/>
      <c r="I7" s="3"/>
      <c r="J7" s="3"/>
      <c r="K7" s="3"/>
      <c r="L7" s="3"/>
      <c r="M7" s="3"/>
      <c r="N7" s="4"/>
      <c r="O7" s="18"/>
      <c r="Q7" s="114">
        <v>549</v>
      </c>
      <c r="R7" s="111"/>
      <c r="S7" s="111"/>
      <c r="T7" s="1"/>
      <c r="U7" s="1"/>
      <c r="V7" s="1"/>
      <c r="W7" s="1"/>
      <c r="X7" s="1"/>
    </row>
    <row r="8" spans="1:24" x14ac:dyDescent="0.2">
      <c r="A8" s="125"/>
      <c r="B8" s="123"/>
      <c r="C8" s="19" t="s">
        <v>539</v>
      </c>
      <c r="D8" s="3"/>
      <c r="E8" s="3"/>
      <c r="F8" s="4" t="s">
        <v>106</v>
      </c>
      <c r="G8" s="76" t="s">
        <v>105</v>
      </c>
      <c r="H8" s="76" t="s">
        <v>102</v>
      </c>
      <c r="I8" s="76" t="s">
        <v>891</v>
      </c>
      <c r="J8" s="76" t="s">
        <v>100</v>
      </c>
      <c r="K8" s="3"/>
      <c r="L8" s="3"/>
      <c r="M8" s="3"/>
      <c r="N8" s="10"/>
      <c r="O8" s="14"/>
      <c r="Q8" s="112">
        <v>233</v>
      </c>
      <c r="R8" s="112">
        <v>234</v>
      </c>
      <c r="S8" s="112">
        <v>235</v>
      </c>
      <c r="T8" s="119">
        <v>236</v>
      </c>
      <c r="U8" s="119">
        <v>160</v>
      </c>
      <c r="V8" s="1"/>
      <c r="W8" s="1"/>
      <c r="X8" s="1"/>
    </row>
    <row r="9" spans="1:24" x14ac:dyDescent="0.2">
      <c r="A9" s="125"/>
      <c r="B9" s="123"/>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25"/>
      <c r="B10" s="123"/>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25"/>
      <c r="B11" s="123"/>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25"/>
      <c r="B12" s="123"/>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25"/>
      <c r="B13" s="123"/>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25"/>
      <c r="B14" s="123"/>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25"/>
      <c r="B15" s="123"/>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25"/>
      <c r="B16" s="123"/>
      <c r="C16" s="19" t="s">
        <v>548</v>
      </c>
      <c r="D16" s="3"/>
      <c r="E16" s="3"/>
      <c r="F16" s="4" t="s">
        <v>96</v>
      </c>
      <c r="G16" s="4" t="s">
        <v>97</v>
      </c>
      <c r="H16" s="17" t="s">
        <v>99</v>
      </c>
      <c r="I16" s="41" t="s">
        <v>98</v>
      </c>
      <c r="J16" s="41" t="s">
        <v>910</v>
      </c>
      <c r="K16" s="41" t="s">
        <v>912</v>
      </c>
      <c r="L16" s="24"/>
      <c r="M16" s="24"/>
      <c r="N16" s="10"/>
      <c r="O16" s="18" t="s">
        <v>911</v>
      </c>
      <c r="Q16" s="112">
        <v>241</v>
      </c>
      <c r="R16" s="112">
        <v>242</v>
      </c>
      <c r="S16" s="112">
        <v>243</v>
      </c>
      <c r="T16" s="111">
        <v>244</v>
      </c>
      <c r="U16" s="117">
        <v>427</v>
      </c>
      <c r="V16" s="117">
        <v>274</v>
      </c>
      <c r="W16" s="111"/>
      <c r="X16" s="1"/>
    </row>
    <row r="17" spans="1:25" x14ac:dyDescent="0.2">
      <c r="A17" s="125"/>
      <c r="B17" s="123"/>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25"/>
      <c r="B18" s="123"/>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25"/>
      <c r="B19" s="120"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25"/>
      <c r="B20" s="121"/>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25"/>
      <c r="B21" s="121"/>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25"/>
      <c r="B22" s="121"/>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25"/>
      <c r="B23" s="122"/>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4" t="s">
        <v>28</v>
      </c>
      <c r="B24" s="110" t="s">
        <v>833</v>
      </c>
      <c r="C24" s="19" t="s">
        <v>882</v>
      </c>
      <c r="D24" s="3"/>
      <c r="E24" s="3"/>
      <c r="F24" s="76" t="s">
        <v>883</v>
      </c>
      <c r="G24" s="76" t="s">
        <v>884</v>
      </c>
      <c r="H24" s="3"/>
      <c r="I24" s="3"/>
      <c r="J24" s="3"/>
      <c r="K24" s="3"/>
      <c r="L24" s="3"/>
      <c r="M24" s="3"/>
      <c r="N24" s="36"/>
      <c r="O24" s="18"/>
      <c r="Q24" s="113">
        <v>197</v>
      </c>
      <c r="R24" s="113">
        <v>198</v>
      </c>
      <c r="S24" s="1"/>
      <c r="T24" s="1"/>
      <c r="U24" s="1"/>
      <c r="V24" s="1"/>
      <c r="W24" s="1"/>
      <c r="X24" s="1"/>
    </row>
    <row r="25" spans="1:25" ht="15.95" customHeight="1" x14ac:dyDescent="0.2">
      <c r="A25" s="124"/>
      <c r="B25" s="123"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4"/>
      <c r="B26" s="123"/>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4"/>
      <c r="B27" s="123"/>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4"/>
      <c r="B28" s="123"/>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4"/>
      <c r="B29" s="123"/>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4"/>
      <c r="B30" s="123"/>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4"/>
      <c r="B31" s="123"/>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4"/>
      <c r="B32" s="123"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4"/>
      <c r="B33" s="123"/>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4"/>
      <c r="B34" s="123"/>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4"/>
      <c r="B35" s="123"/>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4"/>
      <c r="B36" s="123" t="s">
        <v>677</v>
      </c>
      <c r="C36" s="19" t="s">
        <v>933</v>
      </c>
      <c r="D36" s="3">
        <v>35</v>
      </c>
      <c r="E36" s="3"/>
      <c r="F36" s="4" t="s">
        <v>2</v>
      </c>
      <c r="G36" s="4" t="s">
        <v>3</v>
      </c>
      <c r="H36" s="4" t="s">
        <v>4</v>
      </c>
      <c r="I36" s="4" t="s">
        <v>34</v>
      </c>
      <c r="J36" s="3"/>
      <c r="K36" s="3"/>
      <c r="L36" s="3"/>
      <c r="M36" s="3"/>
      <c r="N36" s="10"/>
      <c r="O36" s="18" t="s">
        <v>936</v>
      </c>
      <c r="Q36" s="113">
        <v>510</v>
      </c>
      <c r="R36" s="113">
        <v>511</v>
      </c>
      <c r="S36" s="113">
        <v>512</v>
      </c>
      <c r="T36" s="113">
        <v>513</v>
      </c>
      <c r="U36" s="111"/>
      <c r="V36" s="1"/>
      <c r="W36" s="1"/>
      <c r="X36" s="1"/>
      <c r="Y36" s="2"/>
    </row>
    <row r="37" spans="1:25" ht="15.95" customHeight="1" x14ac:dyDescent="0.2">
      <c r="A37" s="124"/>
      <c r="B37" s="123"/>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4"/>
      <c r="B38" s="123"/>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4"/>
      <c r="B39" s="123"/>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4"/>
      <c r="B40" s="123"/>
      <c r="C40" s="19" t="s">
        <v>934</v>
      </c>
      <c r="D40" s="3">
        <v>35</v>
      </c>
      <c r="E40" s="3"/>
      <c r="F40" s="4" t="s">
        <v>2</v>
      </c>
      <c r="G40" s="4" t="s">
        <v>3</v>
      </c>
      <c r="H40" s="4" t="s">
        <v>4</v>
      </c>
      <c r="I40" s="4" t="s">
        <v>34</v>
      </c>
      <c r="J40" s="3"/>
      <c r="K40" s="3"/>
      <c r="L40" s="3"/>
      <c r="M40" s="3"/>
      <c r="N40" s="10"/>
      <c r="O40" s="18" t="s">
        <v>937</v>
      </c>
      <c r="Q40" s="113">
        <v>506</v>
      </c>
      <c r="R40" s="113">
        <v>507</v>
      </c>
      <c r="S40" s="113">
        <v>508</v>
      </c>
      <c r="T40" s="113">
        <v>509</v>
      </c>
      <c r="U40" s="1"/>
      <c r="V40" s="1"/>
      <c r="W40" s="1"/>
      <c r="X40" s="1"/>
      <c r="Y40" s="2"/>
    </row>
    <row r="41" spans="1:25" ht="15.95" customHeight="1" x14ac:dyDescent="0.2">
      <c r="A41" s="124"/>
      <c r="B41" s="123"/>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4"/>
      <c r="B42" s="123"/>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4"/>
      <c r="B43" s="123"/>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4"/>
      <c r="B44" s="123"/>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4"/>
      <c r="B45" s="123"/>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4"/>
      <c r="B46" s="123"/>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4"/>
      <c r="B47" s="123"/>
      <c r="C47" s="19" t="s">
        <v>935</v>
      </c>
      <c r="D47" s="3">
        <v>35</v>
      </c>
      <c r="E47" s="3"/>
      <c r="F47" s="4" t="s">
        <v>2</v>
      </c>
      <c r="G47" s="4" t="s">
        <v>3</v>
      </c>
      <c r="H47" s="4" t="s">
        <v>4</v>
      </c>
      <c r="I47" s="4" t="s">
        <v>34</v>
      </c>
      <c r="J47" s="3"/>
      <c r="K47" s="3"/>
      <c r="L47" s="3"/>
      <c r="M47" s="3"/>
      <c r="N47" s="4"/>
      <c r="O47" s="18" t="s">
        <v>938</v>
      </c>
      <c r="Q47" s="113">
        <v>414</v>
      </c>
      <c r="R47" s="113">
        <v>415</v>
      </c>
      <c r="S47" s="113">
        <v>416</v>
      </c>
      <c r="T47" s="113">
        <v>417</v>
      </c>
      <c r="U47" s="1"/>
      <c r="V47" s="1"/>
      <c r="W47" s="1"/>
      <c r="X47" s="1"/>
      <c r="Y47" s="2"/>
    </row>
    <row r="48" spans="1:25" ht="15.95" customHeight="1" x14ac:dyDescent="0.2">
      <c r="A48" s="124"/>
      <c r="B48" s="123"/>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4"/>
      <c r="B49" s="123"/>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4"/>
      <c r="B50" s="123"/>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4"/>
      <c r="B51" s="123"/>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4"/>
      <c r="B52" s="123"/>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4"/>
      <c r="B53" s="123"/>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4"/>
      <c r="B54" s="123"/>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4"/>
      <c r="B55" s="123"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4"/>
      <c r="B56" s="123"/>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4"/>
      <c r="B57" s="123"/>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4"/>
      <c r="B58" s="123"/>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4"/>
      <c r="B59" s="123"/>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4"/>
      <c r="B60" s="123"/>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4"/>
      <c r="B61" s="123"/>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4"/>
      <c r="B62" s="123"/>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4"/>
      <c r="B63" s="123"/>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4"/>
      <c r="B64" s="123"/>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4"/>
      <c r="B65" s="123"/>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4"/>
      <c r="B66" s="123"/>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4"/>
      <c r="B67" s="123"/>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4"/>
      <c r="B68" s="123"/>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4"/>
      <c r="B69" s="123"/>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4"/>
      <c r="B70" s="123"/>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4"/>
      <c r="B71" s="123"/>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4"/>
      <c r="B72" s="123"/>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4"/>
      <c r="B73" s="123"/>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4"/>
      <c r="B74" s="120" t="s">
        <v>174</v>
      </c>
      <c r="C74" s="19" t="s">
        <v>673</v>
      </c>
      <c r="D74" s="3">
        <v>0</v>
      </c>
      <c r="E74" s="82"/>
      <c r="F74" s="133" t="s">
        <v>644</v>
      </c>
      <c r="G74" s="134"/>
      <c r="H74" s="3"/>
      <c r="I74" s="3"/>
      <c r="J74" s="3"/>
      <c r="K74" s="3"/>
      <c r="L74" s="3"/>
      <c r="M74" s="3"/>
      <c r="N74" s="36"/>
      <c r="O74" s="18" t="s">
        <v>399</v>
      </c>
      <c r="Q74" s="113">
        <v>302</v>
      </c>
      <c r="R74" s="1"/>
      <c r="S74" s="1"/>
      <c r="T74" s="1"/>
      <c r="U74" s="1"/>
      <c r="V74" s="1"/>
      <c r="W74" s="1"/>
      <c r="X74" s="1"/>
    </row>
    <row r="75" spans="1:24" ht="15.95" customHeight="1" x14ac:dyDescent="0.2">
      <c r="A75" s="124"/>
      <c r="B75" s="121"/>
      <c r="C75" s="19" t="s">
        <v>673</v>
      </c>
      <c r="D75" s="3">
        <v>14</v>
      </c>
      <c r="E75" s="82"/>
      <c r="F75" s="131" t="s">
        <v>647</v>
      </c>
      <c r="G75" s="132"/>
      <c r="H75" s="3"/>
      <c r="I75" s="3"/>
      <c r="J75" s="3"/>
      <c r="K75" s="3"/>
      <c r="L75" s="3"/>
      <c r="M75" s="3"/>
      <c r="N75" s="36"/>
      <c r="O75" s="18"/>
      <c r="Q75" s="112">
        <v>302</v>
      </c>
      <c r="R75" s="1"/>
      <c r="S75" s="1"/>
      <c r="T75" s="1"/>
      <c r="U75" s="1"/>
      <c r="V75" s="1"/>
      <c r="W75" s="1"/>
      <c r="X75" s="1"/>
    </row>
    <row r="76" spans="1:24" ht="15.95" customHeight="1" x14ac:dyDescent="0.2">
      <c r="A76" s="124"/>
      <c r="B76" s="121"/>
      <c r="C76" s="19" t="s">
        <v>673</v>
      </c>
      <c r="D76" s="3">
        <v>2</v>
      </c>
      <c r="E76" s="82"/>
      <c r="F76" s="131" t="s">
        <v>648</v>
      </c>
      <c r="G76" s="132"/>
      <c r="H76" s="3"/>
      <c r="I76" s="3"/>
      <c r="J76" s="3"/>
      <c r="K76" s="3"/>
      <c r="L76" s="3"/>
      <c r="M76" s="3"/>
      <c r="N76" s="36"/>
      <c r="O76" s="18"/>
      <c r="Q76" s="112">
        <v>302</v>
      </c>
      <c r="R76" s="1"/>
      <c r="S76" s="1"/>
      <c r="T76" s="1"/>
      <c r="U76" s="1"/>
      <c r="V76" s="1"/>
      <c r="W76" s="1"/>
      <c r="X76" s="1"/>
    </row>
    <row r="77" spans="1:24" ht="15.95" customHeight="1" x14ac:dyDescent="0.2">
      <c r="A77" s="124"/>
      <c r="B77" s="121"/>
      <c r="C77" s="19" t="s">
        <v>673</v>
      </c>
      <c r="D77" s="3">
        <v>35</v>
      </c>
      <c r="E77" s="82"/>
      <c r="F77" s="131" t="s">
        <v>643</v>
      </c>
      <c r="G77" s="132"/>
      <c r="H77" s="3"/>
      <c r="I77" s="3"/>
      <c r="J77" s="3"/>
      <c r="K77" s="3"/>
      <c r="L77" s="3"/>
      <c r="M77" s="3"/>
      <c r="N77" s="36"/>
      <c r="O77" s="18"/>
      <c r="Q77" s="112">
        <v>302</v>
      </c>
      <c r="R77" s="1"/>
      <c r="S77" s="1"/>
      <c r="T77" s="1"/>
      <c r="U77" s="1"/>
      <c r="V77" s="1"/>
      <c r="W77" s="1"/>
      <c r="X77" s="1"/>
    </row>
    <row r="78" spans="1:24" ht="15.95" customHeight="1" x14ac:dyDescent="0.2">
      <c r="A78" s="124"/>
      <c r="B78" s="121"/>
      <c r="C78" s="19" t="s">
        <v>674</v>
      </c>
      <c r="D78" s="3">
        <v>0</v>
      </c>
      <c r="E78" s="82"/>
      <c r="F78" s="133" t="s">
        <v>645</v>
      </c>
      <c r="G78" s="134"/>
      <c r="H78" s="3"/>
      <c r="I78" s="3"/>
      <c r="J78" s="3"/>
      <c r="K78" s="3"/>
      <c r="L78" s="3"/>
      <c r="M78" s="3"/>
      <c r="N78" s="36"/>
      <c r="O78" s="18"/>
      <c r="Q78" s="112">
        <v>303</v>
      </c>
      <c r="R78" s="1"/>
      <c r="S78" s="1"/>
      <c r="T78" s="1"/>
      <c r="U78" s="1"/>
      <c r="V78" s="1"/>
      <c r="W78" s="1"/>
      <c r="X78" s="1"/>
    </row>
    <row r="79" spans="1:24" ht="15.95" customHeight="1" x14ac:dyDescent="0.2">
      <c r="A79" s="124"/>
      <c r="B79" s="121"/>
      <c r="C79" s="19" t="s">
        <v>674</v>
      </c>
      <c r="D79" s="3">
        <v>14</v>
      </c>
      <c r="E79" s="82"/>
      <c r="F79" s="131" t="s">
        <v>646</v>
      </c>
      <c r="G79" s="132"/>
      <c r="H79" s="3"/>
      <c r="I79" s="3"/>
      <c r="J79" s="3"/>
      <c r="K79" s="3"/>
      <c r="L79" s="3"/>
      <c r="M79" s="3"/>
      <c r="N79" s="10"/>
      <c r="O79" s="18"/>
      <c r="Q79" s="112">
        <v>303</v>
      </c>
      <c r="R79" s="1"/>
      <c r="S79" s="1"/>
      <c r="T79" s="1"/>
      <c r="U79" s="1"/>
      <c r="V79" s="1"/>
      <c r="W79" s="1"/>
      <c r="X79" s="1"/>
    </row>
    <row r="80" spans="1:24" ht="15.95" customHeight="1" x14ac:dyDescent="0.2">
      <c r="A80" s="124"/>
      <c r="B80" s="121"/>
      <c r="C80" s="19" t="s">
        <v>674</v>
      </c>
      <c r="D80" s="3">
        <v>2</v>
      </c>
      <c r="E80" s="82"/>
      <c r="F80" s="131" t="s">
        <v>646</v>
      </c>
      <c r="G80" s="132"/>
      <c r="H80" s="3"/>
      <c r="I80" s="3"/>
      <c r="J80" s="3"/>
      <c r="K80" s="3"/>
      <c r="L80" s="3"/>
      <c r="M80" s="3"/>
      <c r="N80" s="10"/>
      <c r="O80" s="18"/>
      <c r="Q80" s="112">
        <v>303</v>
      </c>
      <c r="R80" s="1"/>
      <c r="S80" s="1"/>
      <c r="T80" s="1"/>
      <c r="U80" s="1"/>
      <c r="V80" s="1"/>
      <c r="W80" s="1"/>
      <c r="X80" s="1"/>
    </row>
    <row r="81" spans="1:24" ht="15.95" customHeight="1" x14ac:dyDescent="0.2">
      <c r="A81" s="124"/>
      <c r="B81" s="122"/>
      <c r="C81" s="19" t="s">
        <v>674</v>
      </c>
      <c r="D81" s="3">
        <v>35</v>
      </c>
      <c r="E81" s="82"/>
      <c r="F81" s="131" t="s">
        <v>646</v>
      </c>
      <c r="G81" s="132"/>
      <c r="H81" s="3"/>
      <c r="I81" s="3"/>
      <c r="J81" s="3"/>
      <c r="K81" s="3"/>
      <c r="L81" s="3"/>
      <c r="M81" s="3"/>
      <c r="N81" s="10"/>
      <c r="O81" s="18"/>
      <c r="Q81" s="112">
        <v>303</v>
      </c>
      <c r="R81" s="1"/>
      <c r="S81" s="1"/>
      <c r="T81" s="1"/>
      <c r="U81" s="1"/>
      <c r="V81" s="1"/>
      <c r="W81" s="1"/>
      <c r="X81" s="1"/>
    </row>
    <row r="82" spans="1:24" ht="15.95" customHeight="1" x14ac:dyDescent="0.2">
      <c r="A82" s="124"/>
      <c r="B82" s="120" t="s">
        <v>649</v>
      </c>
      <c r="C82" s="19" t="s">
        <v>876</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4"/>
      <c r="B83" s="121"/>
      <c r="C83" s="19" t="s">
        <v>876</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4"/>
      <c r="B84" s="121"/>
      <c r="C84" s="19" t="s">
        <v>876</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4"/>
      <c r="B85" s="121"/>
      <c r="C85" s="19" t="s">
        <v>877</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4"/>
      <c r="B86" s="121"/>
      <c r="C86" s="19" t="s">
        <v>876</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4"/>
      <c r="B87" s="121"/>
      <c r="C87" s="19" t="s">
        <v>877</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4"/>
      <c r="B88" s="121"/>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4"/>
      <c r="B89" s="121"/>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4"/>
      <c r="B90" s="121"/>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4"/>
      <c r="B91" s="121"/>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4"/>
      <c r="B92" s="121"/>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4"/>
      <c r="B93" s="121"/>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4"/>
      <c r="B94" s="121"/>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4"/>
      <c r="B95" s="121"/>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4"/>
      <c r="B96" s="121"/>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4"/>
      <c r="B97" s="122"/>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4"/>
      <c r="B98" s="120"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4"/>
      <c r="B99" s="121"/>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4"/>
      <c r="B100" s="121"/>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4"/>
      <c r="B101" s="121"/>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4"/>
      <c r="B102" s="121"/>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4"/>
      <c r="B103" s="121"/>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4"/>
      <c r="B104" s="122"/>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4"/>
      <c r="B105" s="120"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4"/>
      <c r="B106" s="121"/>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4"/>
      <c r="B107" s="121"/>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4"/>
      <c r="B108" s="121"/>
      <c r="C108" s="19" t="s">
        <v>771</v>
      </c>
      <c r="D108" s="3"/>
      <c r="E108" s="3"/>
      <c r="F108" s="77" t="s">
        <v>773</v>
      </c>
      <c r="G108" s="40" t="s">
        <v>772</v>
      </c>
      <c r="H108" s="3"/>
      <c r="I108" s="3"/>
      <c r="J108" s="3"/>
      <c r="K108" s="3"/>
      <c r="L108" s="3"/>
      <c r="M108" s="3"/>
      <c r="N108" s="13"/>
      <c r="O108" s="18" t="s">
        <v>875</v>
      </c>
      <c r="Q108" s="114">
        <v>524</v>
      </c>
      <c r="R108" s="113">
        <v>526</v>
      </c>
      <c r="S108" s="1"/>
      <c r="T108" s="1"/>
      <c r="U108" s="111"/>
      <c r="V108" s="1"/>
      <c r="W108" s="1"/>
      <c r="X108" s="1"/>
    </row>
    <row r="109" spans="1:25" ht="15.95" customHeight="1" x14ac:dyDescent="0.2">
      <c r="A109" s="124"/>
      <c r="B109" s="121"/>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4"/>
      <c r="B110" s="121"/>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4"/>
      <c r="B111" s="121"/>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4"/>
      <c r="B112" s="121"/>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4"/>
      <c r="B113" s="121"/>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4"/>
      <c r="B114" s="121"/>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4"/>
      <c r="B115" s="122"/>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4"/>
      <c r="B116" s="120"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4"/>
      <c r="B117" s="121"/>
      <c r="C117" s="19" t="s">
        <v>626</v>
      </c>
      <c r="D117" s="3"/>
      <c r="E117" s="3"/>
      <c r="F117" s="42" t="s">
        <v>212</v>
      </c>
      <c r="G117" s="42" t="s">
        <v>211</v>
      </c>
      <c r="H117" s="76" t="s">
        <v>886</v>
      </c>
      <c r="I117" s="3"/>
      <c r="J117" s="3"/>
      <c r="K117" s="3"/>
      <c r="L117" s="3"/>
      <c r="M117" s="3"/>
      <c r="N117" s="13"/>
      <c r="O117" s="18"/>
      <c r="Q117" s="113">
        <v>349</v>
      </c>
      <c r="R117" s="113">
        <v>350</v>
      </c>
      <c r="S117" s="113">
        <v>203</v>
      </c>
      <c r="T117" s="1"/>
      <c r="U117" s="1"/>
      <c r="V117" s="1"/>
      <c r="W117" s="1"/>
      <c r="X117" s="1"/>
    </row>
    <row r="118" spans="1:25" x14ac:dyDescent="0.2">
      <c r="A118" s="124"/>
      <c r="B118" s="121"/>
      <c r="C118" s="19" t="s">
        <v>627</v>
      </c>
      <c r="D118" s="3"/>
      <c r="E118" s="3"/>
      <c r="F118" s="42" t="s">
        <v>209</v>
      </c>
      <c r="G118" s="3"/>
      <c r="H118" s="3"/>
      <c r="I118" s="3"/>
      <c r="J118" s="3"/>
      <c r="K118" s="3"/>
      <c r="L118" s="3"/>
      <c r="M118" s="3"/>
      <c r="N118" s="13"/>
      <c r="O118" s="18" t="s">
        <v>902</v>
      </c>
      <c r="Q118" s="113">
        <v>199</v>
      </c>
      <c r="R118" s="1"/>
      <c r="S118" s="1"/>
      <c r="T118" s="1"/>
      <c r="U118" s="1"/>
      <c r="V118" s="1"/>
      <c r="W118" s="1"/>
      <c r="X118" s="1"/>
    </row>
    <row r="119" spans="1:25" x14ac:dyDescent="0.2">
      <c r="A119" s="124"/>
      <c r="B119" s="121"/>
      <c r="C119" s="84" t="s">
        <v>502</v>
      </c>
      <c r="D119" s="3">
        <v>12350</v>
      </c>
      <c r="E119" s="3"/>
      <c r="F119" s="76" t="s">
        <v>501</v>
      </c>
      <c r="G119" s="3"/>
      <c r="H119" s="3"/>
      <c r="I119" s="3"/>
      <c r="J119" s="3"/>
      <c r="K119" s="3"/>
      <c r="L119" s="3"/>
      <c r="M119" s="3"/>
      <c r="N119" s="4"/>
      <c r="O119" s="18" t="s">
        <v>879</v>
      </c>
      <c r="Q119" s="113">
        <v>201</v>
      </c>
      <c r="R119" s="1"/>
      <c r="S119" s="1"/>
      <c r="T119" s="1"/>
      <c r="U119" s="1"/>
      <c r="V119" s="1"/>
      <c r="W119" s="1"/>
      <c r="X119" s="1"/>
    </row>
    <row r="120" spans="1:25" x14ac:dyDescent="0.2">
      <c r="A120" s="124"/>
      <c r="B120" s="121"/>
      <c r="C120" s="84" t="s">
        <v>503</v>
      </c>
      <c r="D120" s="3">
        <v>12350</v>
      </c>
      <c r="E120" s="3"/>
      <c r="F120" s="76" t="s">
        <v>425</v>
      </c>
      <c r="G120" s="3"/>
      <c r="H120" s="3"/>
      <c r="I120" s="3"/>
      <c r="J120" s="3"/>
      <c r="K120" s="3"/>
      <c r="L120" s="3"/>
      <c r="M120" s="3"/>
      <c r="N120" s="4"/>
      <c r="O120" s="18" t="s">
        <v>880</v>
      </c>
      <c r="Q120" s="113">
        <v>202</v>
      </c>
      <c r="R120" s="1"/>
      <c r="S120" s="1"/>
      <c r="T120" s="1"/>
      <c r="U120" s="1"/>
      <c r="V120" s="1"/>
      <c r="W120" s="1"/>
      <c r="X120" s="1"/>
    </row>
    <row r="121" spans="1:25" x14ac:dyDescent="0.2">
      <c r="A121" s="124"/>
      <c r="B121" s="121"/>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4"/>
      <c r="B122" s="121"/>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4"/>
      <c r="B123" s="121"/>
      <c r="C123" s="19" t="s">
        <v>534</v>
      </c>
      <c r="D123" s="3"/>
      <c r="E123" s="3"/>
      <c r="F123" s="76" t="s">
        <v>57</v>
      </c>
      <c r="G123" s="76" t="s">
        <v>58</v>
      </c>
      <c r="H123" s="3"/>
      <c r="I123" s="3"/>
      <c r="J123" s="3"/>
      <c r="K123" s="3"/>
      <c r="L123" s="3"/>
      <c r="M123" s="3"/>
      <c r="N123" s="10"/>
      <c r="O123" s="18" t="s">
        <v>948</v>
      </c>
      <c r="Q123" s="113">
        <v>158</v>
      </c>
      <c r="R123" s="113">
        <v>159</v>
      </c>
      <c r="S123" s="1"/>
      <c r="T123" s="1"/>
      <c r="U123" s="1"/>
      <c r="V123" s="1"/>
      <c r="W123" s="1"/>
      <c r="X123" s="1"/>
    </row>
    <row r="124" spans="1:25" x14ac:dyDescent="0.2">
      <c r="A124" s="124"/>
      <c r="B124" s="121"/>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26" t="s">
        <v>13</v>
      </c>
      <c r="B125" s="120" t="s">
        <v>736</v>
      </c>
      <c r="C125" s="19" t="s">
        <v>922</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27"/>
      <c r="B126" s="122"/>
      <c r="C126" s="19" t="s">
        <v>923</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27"/>
      <c r="B127" s="123"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27"/>
      <c r="B128" s="123"/>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27"/>
      <c r="B129" s="123"/>
      <c r="C129" s="19" t="s">
        <v>603</v>
      </c>
      <c r="D129" s="3"/>
      <c r="E129" s="3"/>
      <c r="F129" s="4" t="s">
        <v>216</v>
      </c>
      <c r="G129" s="4" t="s">
        <v>192</v>
      </c>
      <c r="H129" s="76" t="s">
        <v>897</v>
      </c>
      <c r="J129" s="3"/>
      <c r="K129" s="3"/>
      <c r="L129" s="3"/>
      <c r="M129" s="3"/>
      <c r="N129" s="36"/>
      <c r="O129" s="18" t="s">
        <v>409</v>
      </c>
      <c r="Q129" s="113">
        <v>306</v>
      </c>
      <c r="R129" s="1">
        <v>329</v>
      </c>
      <c r="S129" s="113">
        <v>307</v>
      </c>
      <c r="T129" s="1"/>
      <c r="U129" s="1"/>
      <c r="V129" s="1"/>
      <c r="W129" s="1"/>
      <c r="X129" s="1"/>
    </row>
    <row r="130" spans="1:24" x14ac:dyDescent="0.2">
      <c r="A130" s="127"/>
      <c r="B130" s="123"/>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27"/>
      <c r="B131" s="123"/>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27"/>
      <c r="B132" s="123"/>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27"/>
      <c r="B133" s="123"/>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27"/>
      <c r="B134" s="123"/>
      <c r="C134" s="20" t="s">
        <v>853</v>
      </c>
      <c r="D134" s="3"/>
      <c r="E134" s="3"/>
      <c r="F134" s="41" t="s">
        <v>854</v>
      </c>
      <c r="G134" s="3"/>
      <c r="H134" s="3"/>
      <c r="I134" s="3"/>
      <c r="J134" s="3"/>
      <c r="K134" s="3"/>
      <c r="L134" s="3"/>
      <c r="M134" s="3"/>
      <c r="N134" s="10"/>
      <c r="O134" s="18" t="s">
        <v>928</v>
      </c>
      <c r="Q134" s="113">
        <v>558</v>
      </c>
      <c r="R134" s="1"/>
      <c r="S134" s="1"/>
      <c r="T134" s="1"/>
      <c r="U134" s="1"/>
      <c r="V134" s="1"/>
      <c r="W134" s="1"/>
      <c r="X134" s="1"/>
    </row>
    <row r="135" spans="1:24" ht="15.95" customHeight="1" x14ac:dyDescent="0.2">
      <c r="A135" s="127"/>
      <c r="B135" s="123"/>
      <c r="C135" s="20" t="s">
        <v>851</v>
      </c>
      <c r="D135" s="3"/>
      <c r="E135" s="3"/>
      <c r="F135" s="76" t="s">
        <v>143</v>
      </c>
      <c r="G135" s="76" t="s">
        <v>951</v>
      </c>
      <c r="H135" s="3"/>
      <c r="I135" s="3"/>
      <c r="J135" s="3"/>
      <c r="K135" s="3"/>
      <c r="L135" s="3"/>
      <c r="M135" s="3"/>
      <c r="N135" s="10"/>
      <c r="O135" s="18"/>
      <c r="Q135" s="113">
        <v>559</v>
      </c>
      <c r="R135" s="113">
        <v>172</v>
      </c>
      <c r="S135" s="1"/>
      <c r="T135" s="1"/>
      <c r="U135" s="1"/>
      <c r="V135" s="1"/>
      <c r="W135" s="1"/>
      <c r="X135" s="1"/>
    </row>
    <row r="136" spans="1:24" ht="15.95" customHeight="1" x14ac:dyDescent="0.2">
      <c r="A136" s="127"/>
      <c r="B136" s="123"/>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27"/>
      <c r="B137" s="123"/>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27"/>
      <c r="B138" s="123"/>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27"/>
      <c r="B139" s="123"/>
      <c r="C139" s="19" t="s">
        <v>173</v>
      </c>
      <c r="D139" s="3"/>
      <c r="E139" s="3"/>
      <c r="F139" s="78" t="s">
        <v>193</v>
      </c>
      <c r="G139" s="78" t="s">
        <v>194</v>
      </c>
      <c r="H139" s="78" t="s">
        <v>925</v>
      </c>
      <c r="I139" s="3"/>
      <c r="J139" s="3"/>
      <c r="K139" s="3"/>
      <c r="L139" s="3"/>
      <c r="M139" s="3"/>
      <c r="N139" s="13"/>
      <c r="O139" s="18"/>
      <c r="Q139" s="113">
        <v>308</v>
      </c>
      <c r="R139" s="116">
        <v>309</v>
      </c>
      <c r="S139" s="115">
        <v>139</v>
      </c>
      <c r="T139" s="1"/>
      <c r="U139" s="1"/>
      <c r="V139" s="1"/>
      <c r="W139" s="1"/>
      <c r="X139" s="1"/>
    </row>
    <row r="140" spans="1:24" x14ac:dyDescent="0.2">
      <c r="A140" s="127"/>
      <c r="B140" s="123"/>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27"/>
      <c r="B141" s="123"/>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27"/>
      <c r="B142" s="121" t="s">
        <v>42</v>
      </c>
      <c r="C142" s="20" t="s">
        <v>924</v>
      </c>
      <c r="D142" s="3"/>
      <c r="E142" s="3"/>
      <c r="F142" s="76" t="s">
        <v>888</v>
      </c>
      <c r="G142" s="3"/>
      <c r="H142" s="3"/>
      <c r="I142" s="3"/>
      <c r="J142" s="3"/>
      <c r="K142" s="3"/>
      <c r="L142" s="3"/>
      <c r="M142" s="3"/>
      <c r="N142" s="36"/>
      <c r="O142" s="18"/>
      <c r="Q142" s="114">
        <v>222</v>
      </c>
      <c r="R142" s="1"/>
      <c r="S142" s="1"/>
      <c r="T142" s="111"/>
      <c r="U142" s="1"/>
      <c r="V142" s="1"/>
      <c r="W142" s="1"/>
      <c r="X142" s="1"/>
    </row>
    <row r="143" spans="1:24" ht="13.15" customHeight="1" x14ac:dyDescent="0.2">
      <c r="A143" s="127"/>
      <c r="B143" s="121"/>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27"/>
      <c r="B144" s="121"/>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27"/>
      <c r="B145" s="121"/>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27"/>
      <c r="B146" s="121"/>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27"/>
      <c r="B147" s="121"/>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27"/>
      <c r="B148" s="121"/>
      <c r="C148" s="19" t="s">
        <v>942</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27"/>
      <c r="B149" s="121"/>
      <c r="C149" s="19" t="s">
        <v>942</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27"/>
      <c r="B150" s="121"/>
      <c r="C150" s="19" t="s">
        <v>942</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27"/>
      <c r="B151" s="121"/>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27"/>
      <c r="B152" s="121"/>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27"/>
      <c r="B153" s="121"/>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27"/>
      <c r="B154" s="121"/>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27"/>
      <c r="B155" s="121"/>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27"/>
      <c r="B156" s="121"/>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27"/>
      <c r="B157" s="121"/>
      <c r="C157" s="19" t="s">
        <v>467</v>
      </c>
      <c r="D157" s="3"/>
      <c r="E157" s="3"/>
      <c r="F157" s="4" t="s">
        <v>104</v>
      </c>
      <c r="G157" s="4" t="s">
        <v>227</v>
      </c>
      <c r="H157" s="4" t="s">
        <v>915</v>
      </c>
      <c r="I157" s="41" t="s">
        <v>39</v>
      </c>
      <c r="J157" s="76" t="s">
        <v>237</v>
      </c>
      <c r="K157" s="76" t="s">
        <v>914</v>
      </c>
      <c r="L157" s="3"/>
      <c r="M157" s="3"/>
      <c r="N157" s="13"/>
      <c r="O157" s="18" t="s">
        <v>191</v>
      </c>
      <c r="Q157" s="113">
        <v>248</v>
      </c>
      <c r="R157" s="113">
        <v>376</v>
      </c>
      <c r="S157" s="113">
        <v>249</v>
      </c>
      <c r="T157" s="113">
        <v>316</v>
      </c>
      <c r="U157" s="113">
        <v>385</v>
      </c>
      <c r="V157" s="113">
        <v>250</v>
      </c>
      <c r="W157" s="1"/>
      <c r="X157" s="1"/>
    </row>
    <row r="158" spans="1:24" x14ac:dyDescent="0.2">
      <c r="A158" s="127"/>
      <c r="B158" s="121"/>
      <c r="C158" s="19" t="s">
        <v>592</v>
      </c>
      <c r="D158" s="3"/>
      <c r="E158" s="3"/>
      <c r="F158" s="4" t="s">
        <v>104</v>
      </c>
      <c r="G158" s="4" t="s">
        <v>227</v>
      </c>
      <c r="H158" s="4" t="s">
        <v>915</v>
      </c>
      <c r="I158" s="41" t="s">
        <v>39</v>
      </c>
      <c r="J158" s="76" t="s">
        <v>237</v>
      </c>
      <c r="K158" s="76" t="s">
        <v>914</v>
      </c>
      <c r="L158" s="3"/>
      <c r="M158" s="3"/>
      <c r="N158" s="13"/>
      <c r="O158" s="18" t="s">
        <v>191</v>
      </c>
      <c r="Q158" s="113">
        <v>484</v>
      </c>
      <c r="R158" s="113">
        <v>485</v>
      </c>
      <c r="S158" s="113">
        <v>488</v>
      </c>
      <c r="T158" s="113">
        <v>490</v>
      </c>
      <c r="U158" s="113">
        <v>491</v>
      </c>
      <c r="V158" s="113">
        <v>492</v>
      </c>
      <c r="W158" s="1"/>
      <c r="X158" s="1"/>
    </row>
    <row r="159" spans="1:24" x14ac:dyDescent="0.2">
      <c r="A159" s="127"/>
      <c r="B159" s="121"/>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27"/>
      <c r="B160" s="121"/>
      <c r="C160" s="19" t="s">
        <v>944</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27"/>
      <c r="B161" s="121"/>
      <c r="C161" s="19" t="s">
        <v>945</v>
      </c>
      <c r="D161" s="3"/>
      <c r="E161" s="3"/>
      <c r="F161" s="79" t="s">
        <v>468</v>
      </c>
      <c r="G161" s="79" t="s">
        <v>469</v>
      </c>
      <c r="H161" s="79" t="s">
        <v>927</v>
      </c>
      <c r="I161" s="3"/>
      <c r="J161" s="3"/>
      <c r="K161" s="3"/>
      <c r="L161" s="3"/>
      <c r="M161" s="3"/>
      <c r="N161" s="4"/>
      <c r="O161" s="18"/>
      <c r="Q161" s="115">
        <v>208</v>
      </c>
      <c r="R161" s="115">
        <v>212</v>
      </c>
      <c r="S161" s="115">
        <v>210</v>
      </c>
      <c r="T161" s="1"/>
      <c r="U161" s="1"/>
      <c r="V161" s="1"/>
      <c r="W161" s="1"/>
      <c r="X161" s="1"/>
    </row>
    <row r="162" spans="1:24" x14ac:dyDescent="0.2">
      <c r="A162" s="127"/>
      <c r="B162" s="121"/>
      <c r="C162" s="19" t="s">
        <v>946</v>
      </c>
      <c r="D162" s="3"/>
      <c r="E162" s="3"/>
      <c r="F162" s="4" t="s">
        <v>468</v>
      </c>
      <c r="G162" s="76" t="s">
        <v>469</v>
      </c>
      <c r="H162" s="79" t="s">
        <v>927</v>
      </c>
      <c r="I162" s="3"/>
      <c r="J162" s="3"/>
      <c r="K162" s="3"/>
      <c r="L162" s="3"/>
      <c r="M162" s="3"/>
      <c r="N162" s="36"/>
      <c r="O162" s="18"/>
      <c r="Q162" s="115">
        <v>72</v>
      </c>
      <c r="R162" s="115">
        <v>73</v>
      </c>
      <c r="S162" s="115">
        <v>76</v>
      </c>
      <c r="T162" s="1"/>
      <c r="U162" s="1"/>
      <c r="V162" s="1"/>
      <c r="W162" s="1"/>
      <c r="X162" s="1"/>
    </row>
    <row r="163" spans="1:24" x14ac:dyDescent="0.2">
      <c r="A163" s="127"/>
      <c r="B163" s="122"/>
      <c r="C163" s="19" t="s">
        <v>947</v>
      </c>
      <c r="D163" s="3"/>
      <c r="E163" s="3"/>
      <c r="F163" s="4" t="s">
        <v>468</v>
      </c>
      <c r="G163" s="76" t="s">
        <v>469</v>
      </c>
      <c r="H163" s="79" t="s">
        <v>927</v>
      </c>
      <c r="I163" s="3"/>
      <c r="J163" s="3"/>
      <c r="K163" s="3"/>
      <c r="L163" s="3"/>
      <c r="M163" s="3"/>
      <c r="N163" s="36"/>
      <c r="O163" s="18"/>
      <c r="Q163" s="115">
        <v>209</v>
      </c>
      <c r="R163" s="115">
        <v>213</v>
      </c>
      <c r="S163" s="115">
        <v>211</v>
      </c>
      <c r="T163" s="1"/>
      <c r="U163" s="1"/>
      <c r="V163" s="1"/>
      <c r="W163" s="1"/>
      <c r="X163" s="1"/>
    </row>
    <row r="164" spans="1:24" x14ac:dyDescent="0.2">
      <c r="A164" s="127"/>
      <c r="B164" s="120" t="s">
        <v>95</v>
      </c>
      <c r="C164" s="19" t="s">
        <v>903</v>
      </c>
      <c r="D164" s="3"/>
      <c r="E164" s="3"/>
      <c r="F164" s="79" t="s">
        <v>904</v>
      </c>
      <c r="G164" s="79" t="s">
        <v>905</v>
      </c>
      <c r="H164" s="79" t="s">
        <v>906</v>
      </c>
      <c r="I164" s="3"/>
      <c r="J164" s="3"/>
      <c r="K164" s="3"/>
      <c r="L164" s="3"/>
      <c r="M164" s="3"/>
      <c r="N164" s="10"/>
      <c r="O164" s="18"/>
      <c r="Q164" s="113">
        <v>216</v>
      </c>
      <c r="R164" s="113">
        <v>217</v>
      </c>
      <c r="S164" s="113">
        <v>218</v>
      </c>
      <c r="T164" s="1"/>
      <c r="U164" s="1"/>
      <c r="V164" s="1"/>
      <c r="W164" s="1"/>
      <c r="X164" s="1"/>
    </row>
    <row r="165" spans="1:24" x14ac:dyDescent="0.2">
      <c r="A165" s="127"/>
      <c r="B165" s="121"/>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27"/>
      <c r="B166" s="121"/>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27"/>
      <c r="B167" s="121"/>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27"/>
      <c r="B168" s="122"/>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27"/>
      <c r="B169" s="121" t="s">
        <v>833</v>
      </c>
      <c r="C169" s="20" t="s">
        <v>789</v>
      </c>
      <c r="D169" s="3"/>
      <c r="E169" s="3"/>
      <c r="F169" s="17" t="s">
        <v>791</v>
      </c>
      <c r="G169" s="17" t="s">
        <v>793</v>
      </c>
      <c r="H169" s="42"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27"/>
      <c r="B170" s="121"/>
      <c r="C170" s="20" t="s">
        <v>790</v>
      </c>
      <c r="D170" s="3"/>
      <c r="E170" s="3" t="s">
        <v>812</v>
      </c>
      <c r="F170" s="42" t="s">
        <v>791</v>
      </c>
      <c r="G170" s="42" t="s">
        <v>792</v>
      </c>
      <c r="H170" s="41" t="s">
        <v>137</v>
      </c>
      <c r="I170" s="3"/>
      <c r="J170" s="3"/>
      <c r="K170" s="3"/>
      <c r="L170" s="3"/>
      <c r="M170" s="3"/>
      <c r="N170" s="13"/>
      <c r="O170" s="18" t="s">
        <v>929</v>
      </c>
      <c r="Q170" s="113">
        <v>536</v>
      </c>
      <c r="R170" s="113">
        <v>537</v>
      </c>
      <c r="S170" s="113">
        <v>538</v>
      </c>
      <c r="T170" s="1"/>
      <c r="U170" s="111"/>
      <c r="V170" s="111"/>
      <c r="W170" s="111"/>
      <c r="X170" s="111"/>
    </row>
    <row r="171" spans="1:24" x14ac:dyDescent="0.2">
      <c r="A171" s="127"/>
      <c r="B171" s="121"/>
      <c r="C171" s="20" t="s">
        <v>790</v>
      </c>
      <c r="D171" s="3"/>
      <c r="E171" s="3" t="s">
        <v>716</v>
      </c>
      <c r="F171" s="17" t="s">
        <v>791</v>
      </c>
      <c r="G171" s="4" t="s">
        <v>792</v>
      </c>
      <c r="H171" s="41" t="s">
        <v>137</v>
      </c>
      <c r="I171" s="3"/>
      <c r="J171" s="3"/>
      <c r="K171" s="3"/>
      <c r="L171" s="3"/>
      <c r="M171" s="3"/>
      <c r="N171" s="13"/>
      <c r="O171" s="18" t="s">
        <v>929</v>
      </c>
      <c r="Q171" s="113">
        <v>536</v>
      </c>
      <c r="R171" s="113">
        <v>537</v>
      </c>
      <c r="S171" s="113">
        <v>538</v>
      </c>
      <c r="T171" s="1"/>
      <c r="U171" s="111"/>
      <c r="V171" s="111"/>
      <c r="W171" s="111"/>
      <c r="X171" s="111"/>
    </row>
    <row r="172" spans="1:24" x14ac:dyDescent="0.2">
      <c r="A172" s="127"/>
      <c r="B172" s="121"/>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27"/>
      <c r="B173" s="121"/>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27"/>
      <c r="B174" s="122"/>
      <c r="C174" s="19" t="s">
        <v>898</v>
      </c>
      <c r="D174" s="3"/>
      <c r="E174" s="3"/>
      <c r="F174" s="76" t="s">
        <v>568</v>
      </c>
      <c r="G174" s="76" t="s">
        <v>894</v>
      </c>
      <c r="H174" s="41" t="s">
        <v>569</v>
      </c>
      <c r="I174" s="3"/>
      <c r="J174" s="3"/>
      <c r="K174" s="3"/>
      <c r="L174" s="3"/>
      <c r="M174" s="3"/>
      <c r="N174" s="10"/>
      <c r="O174" s="18"/>
      <c r="Q174" s="115">
        <v>47</v>
      </c>
      <c r="R174" s="114">
        <v>335</v>
      </c>
      <c r="S174" s="111">
        <v>9</v>
      </c>
      <c r="T174" s="111"/>
      <c r="U174" s="111"/>
      <c r="V174" s="111"/>
      <c r="W174" s="111"/>
      <c r="X174" s="1"/>
    </row>
    <row r="175" spans="1:24" x14ac:dyDescent="0.2">
      <c r="A175" s="127"/>
      <c r="B175" s="120" t="s">
        <v>575</v>
      </c>
      <c r="C175" s="19" t="s">
        <v>571</v>
      </c>
      <c r="D175" s="3"/>
      <c r="E175" s="3"/>
      <c r="F175" s="76" t="s">
        <v>470</v>
      </c>
      <c r="G175" s="3"/>
      <c r="H175" s="3"/>
      <c r="I175" s="3"/>
      <c r="J175" s="3"/>
      <c r="K175" s="3"/>
      <c r="L175" s="3"/>
      <c r="M175" s="3"/>
      <c r="N175" s="10"/>
      <c r="O175" s="18" t="s">
        <v>895</v>
      </c>
      <c r="Q175" s="116">
        <v>89</v>
      </c>
      <c r="R175" s="1"/>
      <c r="S175" s="1"/>
      <c r="T175" s="1"/>
      <c r="U175" s="1"/>
      <c r="V175" s="1"/>
      <c r="W175" s="1"/>
      <c r="X175" s="1"/>
    </row>
    <row r="176" spans="1:24" x14ac:dyDescent="0.2">
      <c r="A176" s="127"/>
      <c r="B176" s="121"/>
      <c r="C176" s="19" t="s">
        <v>572</v>
      </c>
      <c r="D176" s="3"/>
      <c r="E176" s="3"/>
      <c r="F176" s="76" t="s">
        <v>470</v>
      </c>
      <c r="G176" s="3"/>
      <c r="H176" s="3"/>
      <c r="I176" s="3"/>
      <c r="J176" s="3"/>
      <c r="K176" s="3"/>
      <c r="L176" s="3"/>
      <c r="M176" s="3"/>
      <c r="N176" s="10"/>
      <c r="O176" s="18" t="s">
        <v>896</v>
      </c>
      <c r="Q176" s="116">
        <v>90</v>
      </c>
      <c r="R176" s="1"/>
      <c r="S176" s="1"/>
      <c r="T176" s="1"/>
      <c r="U176" s="1"/>
      <c r="V176" s="1"/>
      <c r="W176" s="1"/>
      <c r="X176" s="1"/>
    </row>
    <row r="177" spans="1:24" x14ac:dyDescent="0.2">
      <c r="A177" s="127"/>
      <c r="B177" s="120"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27"/>
      <c r="B178" s="121"/>
      <c r="C178" s="19" t="s">
        <v>949</v>
      </c>
      <c r="D178" s="3"/>
      <c r="E178" s="3"/>
      <c r="F178" s="41" t="s">
        <v>570</v>
      </c>
      <c r="G178" s="76" t="s">
        <v>573</v>
      </c>
      <c r="H178" s="76" t="s">
        <v>859</v>
      </c>
      <c r="I178" s="41" t="s">
        <v>838</v>
      </c>
      <c r="J178" s="76" t="s">
        <v>950</v>
      </c>
      <c r="K178" s="76" t="s">
        <v>3</v>
      </c>
      <c r="L178" s="3"/>
      <c r="N178" s="4"/>
      <c r="O178" s="18"/>
      <c r="Q178" s="116">
        <v>83</v>
      </c>
      <c r="R178" s="116">
        <v>223</v>
      </c>
      <c r="S178" s="116">
        <v>331</v>
      </c>
      <c r="T178" s="117">
        <v>551</v>
      </c>
      <c r="U178" s="117">
        <v>170</v>
      </c>
      <c r="V178" s="117">
        <v>171</v>
      </c>
      <c r="W178" s="1"/>
      <c r="X178" s="1"/>
    </row>
    <row r="179" spans="1:24" x14ac:dyDescent="0.2">
      <c r="A179" s="127"/>
      <c r="B179" s="121"/>
      <c r="C179" s="19" t="s">
        <v>930</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27"/>
      <c r="B180" s="121"/>
      <c r="C180" s="19" t="s">
        <v>931</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27"/>
      <c r="B181" s="122"/>
      <c r="C181" s="20" t="s">
        <v>866</v>
      </c>
      <c r="D181" s="3"/>
      <c r="E181" s="3"/>
      <c r="F181" s="76" t="s">
        <v>867</v>
      </c>
      <c r="G181" s="76" t="s">
        <v>868</v>
      </c>
      <c r="H181" s="76" t="s">
        <v>869</v>
      </c>
      <c r="I181" s="76" t="s">
        <v>870</v>
      </c>
      <c r="J181" s="3"/>
      <c r="K181" s="3"/>
      <c r="L181" s="3"/>
      <c r="M181" s="3"/>
      <c r="N181" s="36"/>
      <c r="O181" s="18" t="s">
        <v>932</v>
      </c>
      <c r="Q181" s="113">
        <v>169</v>
      </c>
      <c r="R181" s="113">
        <v>276</v>
      </c>
      <c r="S181" s="113">
        <v>173</v>
      </c>
      <c r="T181" s="113">
        <v>174</v>
      </c>
      <c r="U181" s="1"/>
      <c r="V181" s="1"/>
      <c r="W181" s="1"/>
      <c r="X181" s="1"/>
    </row>
    <row r="182" spans="1:24" x14ac:dyDescent="0.2">
      <c r="A182" s="127"/>
      <c r="B182" s="120" t="s">
        <v>574</v>
      </c>
      <c r="C182" s="19" t="s">
        <v>939</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27"/>
      <c r="B183" s="121"/>
      <c r="C183" s="19" t="s">
        <v>939</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27"/>
      <c r="B184" s="121"/>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27"/>
      <c r="B185" s="121"/>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27"/>
      <c r="B186" s="121"/>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27"/>
      <c r="B187" s="121"/>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27"/>
      <c r="B188" s="121"/>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27"/>
      <c r="B189" s="121"/>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27"/>
      <c r="B190" s="121"/>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27"/>
      <c r="B191" s="121"/>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27"/>
      <c r="B192" s="120"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27"/>
      <c r="B193" s="121"/>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27"/>
      <c r="B194" s="121"/>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27"/>
      <c r="B195" s="121"/>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27"/>
      <c r="B196" s="121"/>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116:B124"/>
    <mergeCell ref="B125:B126"/>
    <mergeCell ref="B105:B115"/>
    <mergeCell ref="B82:B97"/>
    <mergeCell ref="B98:B104"/>
    <mergeCell ref="B36:B54"/>
    <mergeCell ref="B55:B7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898</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939</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930</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898</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946</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946</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881</v>
      </c>
    </row>
    <row r="57" spans="1:25" ht="13.15" customHeight="1" x14ac:dyDescent="0.2">
      <c r="A57" s="31">
        <v>76</v>
      </c>
      <c r="B57" s="31" t="s">
        <v>13</v>
      </c>
      <c r="C57" s="31" t="s">
        <v>42</v>
      </c>
      <c r="D57" s="31" t="s">
        <v>946</v>
      </c>
      <c r="E57" s="31" t="s">
        <v>927</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949</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895</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896</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939</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948</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948</v>
      </c>
    </row>
    <row r="133" spans="1:25" ht="13.15" customHeight="1" x14ac:dyDescent="0.2">
      <c r="A133" s="31">
        <v>160</v>
      </c>
      <c r="B133" s="31" t="s">
        <v>101</v>
      </c>
      <c r="C133" s="31" t="s">
        <v>101</v>
      </c>
      <c r="D133" s="31" t="s">
        <v>539</v>
      </c>
      <c r="E133" s="31" t="s">
        <v>100</v>
      </c>
      <c r="T133" s="31">
        <v>50</v>
      </c>
      <c r="U133" s="31">
        <v>0</v>
      </c>
      <c r="Y133" s="31" t="s">
        <v>893</v>
      </c>
    </row>
    <row r="134" spans="1:25" ht="13.15" customHeight="1" x14ac:dyDescent="0.2">
      <c r="A134" s="31">
        <v>164</v>
      </c>
      <c r="B134" s="31" t="s">
        <v>13</v>
      </c>
      <c r="C134" s="31" t="s">
        <v>736</v>
      </c>
      <c r="D134" s="31" t="s">
        <v>923</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923</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866</v>
      </c>
      <c r="E136" s="34" t="s">
        <v>867</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932</v>
      </c>
      <c r="Y136" s="31" t="s">
        <v>871</v>
      </c>
    </row>
    <row r="137" spans="1:25" ht="13.15" customHeight="1" x14ac:dyDescent="0.2">
      <c r="A137" s="31">
        <v>170</v>
      </c>
      <c r="B137" s="31" t="s">
        <v>13</v>
      </c>
      <c r="C137" s="31" t="s">
        <v>566</v>
      </c>
      <c r="D137" s="31" t="s">
        <v>949</v>
      </c>
      <c r="E137" s="31" t="s">
        <v>950</v>
      </c>
      <c r="T137" s="31">
        <v>50</v>
      </c>
      <c r="U137" s="31">
        <v>0</v>
      </c>
      <c r="Y137" s="31" t="s">
        <v>940</v>
      </c>
    </row>
    <row r="138" spans="1:25" ht="13.15" customHeight="1" x14ac:dyDescent="0.2">
      <c r="A138" s="31">
        <v>171</v>
      </c>
      <c r="B138" s="31" t="s">
        <v>13</v>
      </c>
      <c r="C138" s="31" t="s">
        <v>566</v>
      </c>
      <c r="D138" s="31" t="s">
        <v>949</v>
      </c>
      <c r="E138" s="31" t="s">
        <v>3</v>
      </c>
      <c r="T138" s="31">
        <v>50</v>
      </c>
      <c r="U138" s="31">
        <v>0</v>
      </c>
      <c r="Y138" s="31" t="s">
        <v>941</v>
      </c>
    </row>
    <row r="139" spans="1:25" ht="13.15" customHeight="1" x14ac:dyDescent="0.2">
      <c r="A139" s="31">
        <v>172</v>
      </c>
      <c r="B139" s="31" t="s">
        <v>13</v>
      </c>
      <c r="C139" s="31" t="s">
        <v>13</v>
      </c>
      <c r="D139" s="31" t="s">
        <v>851</v>
      </c>
      <c r="E139" s="31" t="s">
        <v>951</v>
      </c>
      <c r="T139" s="31">
        <v>50</v>
      </c>
      <c r="U139" s="31">
        <v>0</v>
      </c>
      <c r="W139" s="31" t="s">
        <v>35</v>
      </c>
      <c r="Y139" s="31" t="s">
        <v>952</v>
      </c>
    </row>
    <row r="140" spans="1:25" ht="13.15" customHeight="1" x14ac:dyDescent="0.2">
      <c r="A140" s="31">
        <v>173</v>
      </c>
      <c r="B140" s="31" t="s">
        <v>13</v>
      </c>
      <c r="C140" s="31" t="s">
        <v>566</v>
      </c>
      <c r="D140" s="31" t="s">
        <v>866</v>
      </c>
      <c r="E140" s="31" t="s">
        <v>869</v>
      </c>
      <c r="F140" s="27">
        <v>7</v>
      </c>
      <c r="G140" s="27">
        <v>3</v>
      </c>
      <c r="T140" s="31">
        <v>50</v>
      </c>
      <c r="U140" s="31">
        <v>0</v>
      </c>
      <c r="X140" s="31" t="s">
        <v>932</v>
      </c>
      <c r="Y140" s="31" t="s">
        <v>873</v>
      </c>
    </row>
    <row r="141" spans="1:25" ht="13.15" customHeight="1" x14ac:dyDescent="0.2">
      <c r="A141" s="31">
        <v>174</v>
      </c>
      <c r="B141" s="31" t="s">
        <v>13</v>
      </c>
      <c r="C141" s="31" t="s">
        <v>566</v>
      </c>
      <c r="D141" s="31" t="s">
        <v>866</v>
      </c>
      <c r="E141" s="31" t="s">
        <v>870</v>
      </c>
      <c r="F141" s="27">
        <v>7</v>
      </c>
      <c r="G141" s="27">
        <v>3</v>
      </c>
      <c r="T141" s="31">
        <v>50</v>
      </c>
      <c r="U141" s="31">
        <v>0</v>
      </c>
      <c r="X141" s="31" t="s">
        <v>932</v>
      </c>
      <c r="Y141" s="31" t="s">
        <v>874</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931</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882</v>
      </c>
      <c r="E162" s="31" t="s">
        <v>883</v>
      </c>
      <c r="F162" s="27">
        <v>12</v>
      </c>
      <c r="J162" s="27" t="s">
        <v>333</v>
      </c>
      <c r="T162" s="31">
        <v>50</v>
      </c>
      <c r="U162" s="31">
        <v>0</v>
      </c>
      <c r="Y162" s="31" t="s">
        <v>899</v>
      </c>
    </row>
    <row r="163" spans="1:25" ht="13.15" customHeight="1" x14ac:dyDescent="0.2">
      <c r="A163" s="31">
        <v>198</v>
      </c>
      <c r="B163" s="31" t="s">
        <v>28</v>
      </c>
      <c r="C163" s="31" t="s">
        <v>833</v>
      </c>
      <c r="D163" s="31" t="s">
        <v>882</v>
      </c>
      <c r="E163" s="31" t="s">
        <v>884</v>
      </c>
      <c r="F163" s="27">
        <v>12</v>
      </c>
      <c r="J163" s="27" t="s">
        <v>333</v>
      </c>
      <c r="T163" s="31">
        <v>50</v>
      </c>
      <c r="U163" s="31">
        <v>0</v>
      </c>
      <c r="Y163" s="31" t="s">
        <v>900</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902</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879</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880</v>
      </c>
    </row>
    <row r="168" spans="1:25" ht="13.15" customHeight="1" x14ac:dyDescent="0.2">
      <c r="A168" s="31">
        <v>203</v>
      </c>
      <c r="B168" s="31" t="s">
        <v>28</v>
      </c>
      <c r="C168" s="31" t="s">
        <v>736</v>
      </c>
      <c r="D168" s="31" t="s">
        <v>626</v>
      </c>
      <c r="E168" s="31" t="s">
        <v>886</v>
      </c>
      <c r="F168" s="27">
        <v>8</v>
      </c>
      <c r="J168" s="27" t="s">
        <v>887</v>
      </c>
      <c r="T168" s="31">
        <v>50</v>
      </c>
      <c r="U168" s="31">
        <v>0</v>
      </c>
      <c r="Y168" s="31" t="s">
        <v>901</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945</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947</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945</v>
      </c>
      <c r="E175" s="34" t="s">
        <v>927</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947</v>
      </c>
      <c r="E176" s="34" t="s">
        <v>927</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945</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947</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903</v>
      </c>
      <c r="E179" s="34" t="s">
        <v>904</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907</v>
      </c>
    </row>
    <row r="180" spans="1:25" ht="13.15" customHeight="1" x14ac:dyDescent="0.2">
      <c r="A180" s="31">
        <v>217</v>
      </c>
      <c r="B180" s="31" t="s">
        <v>13</v>
      </c>
      <c r="C180" s="31" t="s">
        <v>95</v>
      </c>
      <c r="D180" s="31" t="s">
        <v>903</v>
      </c>
      <c r="E180" s="34" t="s">
        <v>905</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908</v>
      </c>
    </row>
    <row r="181" spans="1:25" ht="13.15" customHeight="1" x14ac:dyDescent="0.2">
      <c r="A181" s="31">
        <v>218</v>
      </c>
      <c r="B181" s="31" t="s">
        <v>13</v>
      </c>
      <c r="C181" s="31" t="s">
        <v>95</v>
      </c>
      <c r="D181" s="31" t="s">
        <v>903</v>
      </c>
      <c r="E181" s="34" t="s">
        <v>906</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909</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924</v>
      </c>
      <c r="E185" s="31" t="s">
        <v>888</v>
      </c>
      <c r="F185" s="27">
        <v>2</v>
      </c>
      <c r="T185" s="31">
        <v>50</v>
      </c>
      <c r="U185" s="31">
        <v>0</v>
      </c>
      <c r="Y185" s="31" t="s">
        <v>889</v>
      </c>
    </row>
    <row r="186" spans="1:25" x14ac:dyDescent="0.2">
      <c r="A186" s="31">
        <v>223</v>
      </c>
      <c r="B186" s="31" t="s">
        <v>13</v>
      </c>
      <c r="C186" s="31" t="s">
        <v>566</v>
      </c>
      <c r="D186" s="31" t="s">
        <v>949</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891</v>
      </c>
      <c r="F197" s="29"/>
      <c r="G197" s="29"/>
      <c r="H197" s="29"/>
      <c r="I197" s="29"/>
      <c r="J197" s="29"/>
      <c r="K197" s="56">
        <f ca="1">VLOOKUP($A197, Stat!$A$1:$C$1000, 2,0)</f>
        <v>38</v>
      </c>
      <c r="L197" s="56">
        <f ca="1">VLOOKUP($A197, Stat!$A$1:$C$1000, 3,0)</f>
        <v>12</v>
      </c>
      <c r="M197" s="27">
        <v>1</v>
      </c>
      <c r="Q197" s="29"/>
      <c r="R197" s="29"/>
      <c r="S197" s="29"/>
      <c r="T197" s="31">
        <v>50</v>
      </c>
      <c r="U197" s="31">
        <v>0</v>
      </c>
      <c r="Y197" s="31" t="s">
        <v>892</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890</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911</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911</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911</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911</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916</v>
      </c>
    </row>
    <row r="209" spans="1:25" ht="13.15" customHeight="1" x14ac:dyDescent="0.2">
      <c r="A209" s="31">
        <v>249</v>
      </c>
      <c r="B209" s="31" t="s">
        <v>13</v>
      </c>
      <c r="C209" s="31" t="s">
        <v>42</v>
      </c>
      <c r="D209" s="31" t="s">
        <v>467</v>
      </c>
      <c r="E209" s="34" t="s">
        <v>915</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920</v>
      </c>
    </row>
    <row r="210" spans="1:25" x14ac:dyDescent="0.2">
      <c r="A210" s="31">
        <v>250</v>
      </c>
      <c r="B210" s="31" t="s">
        <v>13</v>
      </c>
      <c r="C210" s="31" t="s">
        <v>42</v>
      </c>
      <c r="D210" s="31" t="s">
        <v>467</v>
      </c>
      <c r="E210" s="34" t="s">
        <v>914</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917</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912</v>
      </c>
      <c r="K218" s="56">
        <f ca="1">VLOOKUP($A218, Stat!$A$1:$C$1000, 2,0)</f>
        <v>5</v>
      </c>
      <c r="L218" s="56">
        <f ca="1">VLOOKUP($A218, Stat!$A$1:$C$1000, 3,0)</f>
        <v>5</v>
      </c>
      <c r="M218" s="27">
        <v>1</v>
      </c>
      <c r="T218" s="31">
        <v>100</v>
      </c>
      <c r="U218" s="31">
        <v>0</v>
      </c>
      <c r="X218" s="31" t="s">
        <v>911</v>
      </c>
      <c r="Y218" s="31" t="s">
        <v>921</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866</v>
      </c>
      <c r="E220" s="34" t="s">
        <v>868</v>
      </c>
      <c r="F220" s="27">
        <v>7</v>
      </c>
      <c r="G220" s="27">
        <v>3</v>
      </c>
      <c r="K220" s="56">
        <f ca="1">VLOOKUP($A220, Stat!$A$1:$C$1000, 2,0)</f>
        <v>6</v>
      </c>
      <c r="L220" s="56">
        <f ca="1">VLOOKUP($A220, Stat!$A$1:$C$1000, 3,0)</f>
        <v>3</v>
      </c>
      <c r="M220" s="27">
        <v>1</v>
      </c>
      <c r="T220" s="31">
        <v>50</v>
      </c>
      <c r="U220" s="31">
        <v>0</v>
      </c>
      <c r="X220" s="31" t="s">
        <v>932</v>
      </c>
      <c r="Y220" s="31" t="s">
        <v>872</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897</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918</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949</v>
      </c>
      <c r="E248" s="31" t="s">
        <v>859</v>
      </c>
      <c r="K248" s="58">
        <f ca="1">VLOOKUP($A248, Stat!$A$1:$C$1000, 2,0)</f>
        <v>0</v>
      </c>
      <c r="L248" s="58">
        <f ca="1">VLOOKUP($A248, Stat!$A$1:$C$1000, 3,0)</f>
        <v>0</v>
      </c>
      <c r="M248" s="27">
        <v>1</v>
      </c>
      <c r="T248" s="31">
        <v>50</v>
      </c>
      <c r="U248" s="31">
        <v>0</v>
      </c>
      <c r="Y248" s="31" t="s">
        <v>885</v>
      </c>
    </row>
    <row r="249" spans="1:25" x14ac:dyDescent="0.2">
      <c r="A249" s="31">
        <v>335</v>
      </c>
      <c r="B249" s="31" t="s">
        <v>13</v>
      </c>
      <c r="C249" s="31" t="s">
        <v>833</v>
      </c>
      <c r="D249" s="31" t="s">
        <v>898</v>
      </c>
      <c r="E249" s="31" t="s">
        <v>894</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922</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922</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919</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876</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876</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876</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877</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877</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877</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935</v>
      </c>
      <c r="E295" s="31" t="s">
        <v>2</v>
      </c>
      <c r="F295" s="27">
        <v>5</v>
      </c>
      <c r="K295" s="27">
        <f ca="1">VLOOKUP($A295, Stat!$A$1:$C$1000, 2,0)</f>
        <v>72</v>
      </c>
      <c r="L295" s="27">
        <f ca="1">VLOOKUP($A295, Stat!$A$1:$C$1000, 3,0)</f>
        <v>5</v>
      </c>
      <c r="Q295" s="27">
        <v>506</v>
      </c>
      <c r="T295" s="31">
        <v>0</v>
      </c>
      <c r="U295" s="31">
        <v>1</v>
      </c>
      <c r="V295" s="31">
        <v>35</v>
      </c>
      <c r="X295" s="31" t="s">
        <v>938</v>
      </c>
    </row>
    <row r="296" spans="1:25" x14ac:dyDescent="0.2">
      <c r="A296" s="31">
        <v>415</v>
      </c>
      <c r="B296" s="31" t="s">
        <v>28</v>
      </c>
      <c r="C296" s="31" t="s">
        <v>677</v>
      </c>
      <c r="D296" s="31" t="s">
        <v>935</v>
      </c>
      <c r="E296" s="31" t="s">
        <v>3</v>
      </c>
      <c r="F296" s="27">
        <v>5</v>
      </c>
      <c r="K296" s="27">
        <f ca="1">VLOOKUP($A296, Stat!$A$1:$C$1000, 2,0)</f>
        <v>35</v>
      </c>
      <c r="L296" s="27">
        <f ca="1">VLOOKUP($A296, Stat!$A$1:$C$1000, 3,0)</f>
        <v>0</v>
      </c>
      <c r="Q296" s="27">
        <v>507</v>
      </c>
      <c r="T296" s="31">
        <v>0</v>
      </c>
      <c r="U296" s="31">
        <v>1</v>
      </c>
      <c r="V296" s="31">
        <v>35</v>
      </c>
      <c r="X296" s="31" t="s">
        <v>938</v>
      </c>
    </row>
    <row r="297" spans="1:25" x14ac:dyDescent="0.2">
      <c r="A297" s="31">
        <v>416</v>
      </c>
      <c r="B297" s="31" t="s">
        <v>28</v>
      </c>
      <c r="C297" s="31" t="s">
        <v>677</v>
      </c>
      <c r="D297" s="31" t="s">
        <v>935</v>
      </c>
      <c r="E297" s="31" t="s">
        <v>4</v>
      </c>
      <c r="F297" s="27">
        <v>5</v>
      </c>
      <c r="K297" s="27">
        <f ca="1">VLOOKUP($A297, Stat!$A$1:$C$1000, 2,0)</f>
        <v>23</v>
      </c>
      <c r="L297" s="27">
        <f ca="1">VLOOKUP($A297, Stat!$A$1:$C$1000, 3,0)</f>
        <v>0</v>
      </c>
      <c r="Q297" s="27">
        <v>508</v>
      </c>
      <c r="T297" s="31">
        <v>0</v>
      </c>
      <c r="U297" s="31">
        <v>1</v>
      </c>
      <c r="V297" s="31">
        <v>35</v>
      </c>
      <c r="X297" s="31" t="s">
        <v>938</v>
      </c>
    </row>
    <row r="298" spans="1:25" x14ac:dyDescent="0.2">
      <c r="A298" s="31">
        <v>417</v>
      </c>
      <c r="B298" s="31" t="s">
        <v>28</v>
      </c>
      <c r="C298" s="31" t="s">
        <v>677</v>
      </c>
      <c r="D298" s="31" t="s">
        <v>935</v>
      </c>
      <c r="E298" s="31" t="s">
        <v>34</v>
      </c>
      <c r="F298" s="27">
        <v>5</v>
      </c>
      <c r="K298" s="27">
        <f ca="1">VLOOKUP($A298, Stat!$A$1:$C$1000, 2,0)</f>
        <v>11</v>
      </c>
      <c r="L298" s="27">
        <f ca="1">VLOOKUP($A298, Stat!$A$1:$C$1000, 3,0)</f>
        <v>4</v>
      </c>
      <c r="Q298" s="27">
        <v>509</v>
      </c>
      <c r="T298" s="31">
        <v>0</v>
      </c>
      <c r="U298" s="31">
        <v>1</v>
      </c>
      <c r="V298" s="31">
        <v>35</v>
      </c>
      <c r="X298" s="31" t="s">
        <v>938</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910</v>
      </c>
      <c r="K302" s="27">
        <f ca="1">VLOOKUP($A302, Stat!$A$1:$C$1000, 2,0)</f>
        <v>24</v>
      </c>
      <c r="L302" s="27">
        <f ca="1">VLOOKUP($A302, Stat!$A$1:$C$1000, 3,0)</f>
        <v>0</v>
      </c>
      <c r="M302" s="27">
        <v>1</v>
      </c>
      <c r="T302" s="31">
        <v>100</v>
      </c>
      <c r="U302" s="31">
        <v>0</v>
      </c>
      <c r="X302" s="31" t="s">
        <v>911</v>
      </c>
      <c r="Y302" s="31" t="s">
        <v>913</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878</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916</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915</v>
      </c>
      <c r="F338" s="27">
        <v>7</v>
      </c>
      <c r="G338" s="27">
        <v>1</v>
      </c>
      <c r="K338" s="27">
        <f ca="1">VLOOKUP($A338, Stat!$A$1:$C$1000, 2,0)</f>
        <v>81</v>
      </c>
      <c r="L338" s="27">
        <f ca="1">VLOOKUP($A338, Stat!$A$1:$C$1000, 3,0)</f>
        <v>28</v>
      </c>
      <c r="M338" s="27">
        <v>1</v>
      </c>
      <c r="T338" s="31">
        <v>0</v>
      </c>
      <c r="U338" s="31">
        <v>1</v>
      </c>
      <c r="X338" s="31" t="s">
        <v>191</v>
      </c>
      <c r="Y338" s="31" t="s">
        <v>920</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918</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919</v>
      </c>
    </row>
    <row r="341" spans="1:25" x14ac:dyDescent="0.2">
      <c r="A341" s="31">
        <v>492</v>
      </c>
      <c r="B341" s="31" t="s">
        <v>13</v>
      </c>
      <c r="C341" s="31" t="s">
        <v>42</v>
      </c>
      <c r="D341" s="31" t="s">
        <v>592</v>
      </c>
      <c r="E341" s="31" t="s">
        <v>914</v>
      </c>
      <c r="F341" s="27">
        <v>7</v>
      </c>
      <c r="G341" s="27">
        <v>1</v>
      </c>
      <c r="K341" s="27">
        <f ca="1">VLOOKUP($A341, Stat!$A$1:$C$1000, 2,0)</f>
        <v>43</v>
      </c>
      <c r="L341" s="27">
        <f ca="1">VLOOKUP($A341, Stat!$A$1:$C$1000, 3,0)</f>
        <v>12</v>
      </c>
      <c r="M341" s="27">
        <v>1</v>
      </c>
      <c r="Q341" s="27">
        <v>488</v>
      </c>
      <c r="T341" s="31">
        <v>50</v>
      </c>
      <c r="U341" s="31">
        <v>0</v>
      </c>
      <c r="X341" s="31" t="s">
        <v>191</v>
      </c>
      <c r="Y341" s="31" t="s">
        <v>917</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934</v>
      </c>
      <c r="E355" s="31" t="s">
        <v>2</v>
      </c>
      <c r="F355" s="27">
        <v>5</v>
      </c>
      <c r="M355" s="27">
        <v>1</v>
      </c>
      <c r="T355" s="31">
        <v>0</v>
      </c>
      <c r="U355" s="31">
        <v>1</v>
      </c>
      <c r="V355" s="31">
        <v>35</v>
      </c>
      <c r="X355" s="31" t="s">
        <v>937</v>
      </c>
    </row>
    <row r="356" spans="1:25" x14ac:dyDescent="0.2">
      <c r="A356" s="31">
        <v>507</v>
      </c>
      <c r="B356" s="31" t="s">
        <v>28</v>
      </c>
      <c r="C356" s="31" t="s">
        <v>677</v>
      </c>
      <c r="D356" s="31" t="s">
        <v>934</v>
      </c>
      <c r="E356" s="31" t="s">
        <v>3</v>
      </c>
      <c r="F356" s="27">
        <v>5</v>
      </c>
      <c r="M356" s="27">
        <v>1</v>
      </c>
      <c r="T356" s="31">
        <v>0</v>
      </c>
      <c r="U356" s="31">
        <v>1</v>
      </c>
      <c r="V356" s="31">
        <v>35</v>
      </c>
      <c r="X356" s="31" t="s">
        <v>937</v>
      </c>
    </row>
    <row r="357" spans="1:25" x14ac:dyDescent="0.2">
      <c r="A357" s="31">
        <v>508</v>
      </c>
      <c r="B357" s="31" t="s">
        <v>28</v>
      </c>
      <c r="C357" s="31" t="s">
        <v>677</v>
      </c>
      <c r="D357" s="31" t="s">
        <v>934</v>
      </c>
      <c r="E357" s="31" t="s">
        <v>4</v>
      </c>
      <c r="F357" s="27">
        <v>5</v>
      </c>
      <c r="M357" s="27">
        <v>1</v>
      </c>
      <c r="T357" s="31">
        <v>0</v>
      </c>
      <c r="U357" s="31">
        <v>1</v>
      </c>
      <c r="V357" s="31">
        <v>35</v>
      </c>
      <c r="X357" s="31" t="s">
        <v>937</v>
      </c>
    </row>
    <row r="358" spans="1:25" x14ac:dyDescent="0.2">
      <c r="A358" s="31">
        <v>509</v>
      </c>
      <c r="B358" s="31" t="s">
        <v>28</v>
      </c>
      <c r="C358" s="31" t="s">
        <v>677</v>
      </c>
      <c r="D358" s="31" t="s">
        <v>934</v>
      </c>
      <c r="E358" s="31" t="s">
        <v>34</v>
      </c>
      <c r="F358" s="27">
        <v>5</v>
      </c>
      <c r="M358" s="27">
        <v>1</v>
      </c>
      <c r="T358" s="31">
        <v>0</v>
      </c>
      <c r="U358" s="31">
        <v>1</v>
      </c>
      <c r="V358" s="31">
        <v>35</v>
      </c>
      <c r="X358" s="31" t="s">
        <v>937</v>
      </c>
    </row>
    <row r="359" spans="1:25" x14ac:dyDescent="0.2">
      <c r="A359" s="31">
        <v>510</v>
      </c>
      <c r="B359" s="31" t="s">
        <v>28</v>
      </c>
      <c r="C359" s="31" t="s">
        <v>677</v>
      </c>
      <c r="D359" s="31" t="s">
        <v>933</v>
      </c>
      <c r="E359" s="31" t="s">
        <v>2</v>
      </c>
      <c r="F359" s="27">
        <v>5</v>
      </c>
      <c r="M359" s="27">
        <v>1</v>
      </c>
      <c r="T359" s="31">
        <v>0</v>
      </c>
      <c r="U359" s="31">
        <v>1</v>
      </c>
      <c r="V359" s="31">
        <v>35</v>
      </c>
      <c r="X359" s="31" t="s">
        <v>936</v>
      </c>
    </row>
    <row r="360" spans="1:25" x14ac:dyDescent="0.2">
      <c r="A360" s="31">
        <v>511</v>
      </c>
      <c r="B360" s="31" t="s">
        <v>28</v>
      </c>
      <c r="C360" s="31" t="s">
        <v>677</v>
      </c>
      <c r="D360" s="31" t="s">
        <v>933</v>
      </c>
      <c r="E360" s="31" t="s">
        <v>3</v>
      </c>
      <c r="F360" s="27">
        <v>5</v>
      </c>
      <c r="M360" s="27">
        <v>1</v>
      </c>
      <c r="T360" s="31">
        <v>0</v>
      </c>
      <c r="U360" s="31">
        <v>1</v>
      </c>
      <c r="V360" s="31">
        <v>35</v>
      </c>
      <c r="X360" s="31" t="s">
        <v>936</v>
      </c>
    </row>
    <row r="361" spans="1:25" x14ac:dyDescent="0.2">
      <c r="A361" s="31">
        <v>512</v>
      </c>
      <c r="B361" s="31" t="s">
        <v>28</v>
      </c>
      <c r="C361" s="31" t="s">
        <v>677</v>
      </c>
      <c r="D361" s="31" t="s">
        <v>933</v>
      </c>
      <c r="E361" s="31" t="s">
        <v>4</v>
      </c>
      <c r="F361" s="27">
        <v>5</v>
      </c>
      <c r="M361" s="27">
        <v>1</v>
      </c>
      <c r="T361" s="31">
        <v>0</v>
      </c>
      <c r="U361" s="31">
        <v>1</v>
      </c>
      <c r="V361" s="31">
        <v>35</v>
      </c>
      <c r="X361" s="31" t="s">
        <v>936</v>
      </c>
    </row>
    <row r="362" spans="1:25" x14ac:dyDescent="0.2">
      <c r="A362" s="31">
        <v>513</v>
      </c>
      <c r="B362" s="31" t="s">
        <v>28</v>
      </c>
      <c r="C362" s="31" t="s">
        <v>677</v>
      </c>
      <c r="D362" s="31" t="s">
        <v>933</v>
      </c>
      <c r="E362" s="31" t="s">
        <v>34</v>
      </c>
      <c r="F362" s="27">
        <v>5</v>
      </c>
      <c r="M362" s="27">
        <v>1</v>
      </c>
      <c r="T362" s="31">
        <v>0</v>
      </c>
      <c r="U362" s="31">
        <v>1</v>
      </c>
      <c r="V362" s="31">
        <v>35</v>
      </c>
      <c r="X362" s="31" t="s">
        <v>936</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875</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875</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929</v>
      </c>
    </row>
    <row r="386" spans="1:25" x14ac:dyDescent="0.2">
      <c r="A386" s="31">
        <v>537</v>
      </c>
      <c r="B386" s="31" t="s">
        <v>13</v>
      </c>
      <c r="C386" s="31" t="s">
        <v>833</v>
      </c>
      <c r="D386" s="31" t="s">
        <v>790</v>
      </c>
      <c r="E386" s="31" t="s">
        <v>792</v>
      </c>
      <c r="T386" s="31">
        <v>0</v>
      </c>
      <c r="U386" s="31">
        <v>1</v>
      </c>
      <c r="W386" s="31" t="s">
        <v>716</v>
      </c>
      <c r="X386" s="31" t="s">
        <v>929</v>
      </c>
    </row>
    <row r="387" spans="1:25" x14ac:dyDescent="0.2">
      <c r="A387" s="31">
        <v>538</v>
      </c>
      <c r="B387" s="31" t="s">
        <v>13</v>
      </c>
      <c r="C387" s="31" t="s">
        <v>833</v>
      </c>
      <c r="D387" s="31" t="s">
        <v>790</v>
      </c>
      <c r="E387" s="31" t="s">
        <v>137</v>
      </c>
      <c r="T387" s="31">
        <v>100</v>
      </c>
      <c r="U387" s="31">
        <v>0</v>
      </c>
      <c r="W387" s="31" t="s">
        <v>716</v>
      </c>
      <c r="X387" s="31" t="s">
        <v>929</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939</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c r="W397" s="31" t="s">
        <v>35</v>
      </c>
    </row>
    <row r="398" spans="1:25" x14ac:dyDescent="0.2">
      <c r="A398" s="31">
        <v>551</v>
      </c>
      <c r="B398" s="31" t="s">
        <v>13</v>
      </c>
      <c r="C398" s="31" t="s">
        <v>566</v>
      </c>
      <c r="D398" s="31" t="s">
        <v>949</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928</v>
      </c>
    </row>
    <row r="403" spans="1:25" x14ac:dyDescent="0.2">
      <c r="A403" s="31">
        <v>559</v>
      </c>
      <c r="B403" s="31" t="s">
        <v>13</v>
      </c>
      <c r="C403" s="31" t="s">
        <v>13</v>
      </c>
      <c r="D403" s="31" t="s">
        <v>851</v>
      </c>
      <c r="E403" s="31" t="s">
        <v>143</v>
      </c>
      <c r="F403" s="27">
        <v>1</v>
      </c>
      <c r="T403" s="31">
        <v>50</v>
      </c>
      <c r="U403" s="31">
        <v>0</v>
      </c>
      <c r="W403" s="31" t="s">
        <v>35</v>
      </c>
      <c r="Y403" s="31" t="s">
        <v>865</v>
      </c>
    </row>
    <row r="404" spans="1:25" x14ac:dyDescent="0.2">
      <c r="A404" s="31">
        <v>139</v>
      </c>
      <c r="B404" s="31" t="s">
        <v>13</v>
      </c>
      <c r="C404" s="31" t="s">
        <v>13</v>
      </c>
      <c r="D404" s="31" t="s">
        <v>173</v>
      </c>
      <c r="E404" s="31" t="s">
        <v>925</v>
      </c>
      <c r="F404" s="27">
        <v>1</v>
      </c>
      <c r="T404" s="31">
        <v>50</v>
      </c>
      <c r="U404" s="31">
        <v>0</v>
      </c>
      <c r="Y404" s="31" t="s">
        <v>926</v>
      </c>
    </row>
    <row r="405" spans="1:25" x14ac:dyDescent="0.2">
      <c r="A405" s="31">
        <v>161</v>
      </c>
      <c r="B405" s="31" t="s">
        <v>13</v>
      </c>
      <c r="C405" s="31" t="s">
        <v>42</v>
      </c>
      <c r="D405" s="31" t="s">
        <v>944</v>
      </c>
      <c r="E405" s="31" t="s">
        <v>859</v>
      </c>
      <c r="F405" s="27">
        <v>7</v>
      </c>
      <c r="G405" s="27">
        <v>3</v>
      </c>
      <c r="T405" s="31">
        <v>0</v>
      </c>
      <c r="U405" s="31">
        <v>0</v>
      </c>
      <c r="Y405" s="31" t="s">
        <v>943</v>
      </c>
    </row>
    <row r="406" spans="1:25" x14ac:dyDescent="0.2">
      <c r="A406" s="31">
        <v>162</v>
      </c>
      <c r="B406" s="31" t="s">
        <v>13</v>
      </c>
      <c r="C406" s="31" t="s">
        <v>42</v>
      </c>
      <c r="D406" s="31" t="s">
        <v>942</v>
      </c>
      <c r="E406" s="31" t="s">
        <v>41</v>
      </c>
      <c r="F406" s="27">
        <v>7</v>
      </c>
      <c r="G406" s="27">
        <v>1</v>
      </c>
      <c r="T406" s="31">
        <v>0</v>
      </c>
      <c r="U406" s="31">
        <v>0</v>
      </c>
    </row>
    <row r="407" spans="1:25" x14ac:dyDescent="0.2">
      <c r="A407" s="31">
        <v>163</v>
      </c>
      <c r="B407" s="31" t="s">
        <v>13</v>
      </c>
      <c r="C407" s="31" t="s">
        <v>42</v>
      </c>
      <c r="D407" s="31" t="s">
        <v>942</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2019-01-01T18:51:38Z</dcterms:modified>
</cp:coreProperties>
</file>