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B1D8DC5-F27A-4D4A-88B7-BA18F01F05CD}"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<sst xmlns="http://schemas.openxmlformats.org/spreadsheetml/2006/main" count="4207" uniqueCount="998">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</sst>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135" activePane="bottomLeft" state="frozen"/>
      <selection activeCell="C37" sqref="C37"/>
      <selection pane="bottomLeft" activeCell="F152" sqref="F15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31" t="s">
        <v>29</v>
      </c>
      <c r="G1" s="132"/>
      <c r="H1" s="132"/>
      <c r="I1" s="132"/>
      <c r="J1" s="132"/>
      <c r="K1" s="132"/>
      <c r="L1" s="132"/>
      <c r="M1" s="133"/>
      <c r="N1" s="47"/>
      <c r="O1" s="48" t="s">
        <v>15</v>
      </c>
      <c r="P1" s="49"/>
      <c r="Q1" s="48" t="s">
        <v>42</v>
      </c>
    </row>
    <row r="2" spans="1:24" ht="13.15" customHeight="1" x14ac:dyDescent="0.2">
      <c r="A2" s="142" t="s">
        <v>95</v>
      </c>
      <c r="B2" s="145" t="s">
        <v>95</v>
      </c>
      <c r="C2" s="85" t="s">
        <v>475</v>
      </c>
      <c r="D2" s="3"/>
      <c r="E2" s="3"/>
      <c r="F2" s="75" t="s">
        <v>474</v>
      </c>
      <c r="G2" s="3"/>
      <c r="H2" s="3"/>
      <c r="I2" s="3"/>
      <c r="J2" s="3"/>
      <c r="K2" s="3"/>
      <c r="L2" s="3"/>
      <c r="M2" s="3"/>
      <c r="O2" s="14"/>
      <c r="Q2" s="118">
        <v>230</v>
      </c>
      <c r="R2" s="1"/>
      <c r="S2" s="1"/>
      <c r="T2" s="1"/>
      <c r="U2" s="1"/>
      <c r="V2" s="1"/>
      <c r="W2" s="1"/>
      <c r="X2" s="1"/>
    </row>
    <row r="3" spans="1:24" ht="13.15" customHeight="1" x14ac:dyDescent="0.2">
      <c r="A3" s="142"/>
      <c r="B3" s="145"/>
      <c r="C3" s="87" t="s">
        <v>959</v>
      </c>
      <c r="D3" s="3"/>
      <c r="E3" s="3"/>
      <c r="F3" s="75" t="s">
        <v>681</v>
      </c>
      <c r="G3" s="75" t="s">
        <v>680</v>
      </c>
      <c r="H3" s="75" t="s">
        <v>682</v>
      </c>
      <c r="I3" s="3"/>
      <c r="J3" s="3"/>
      <c r="K3" s="3"/>
      <c r="L3" s="3"/>
      <c r="M3" s="3"/>
      <c r="O3" s="14"/>
      <c r="Q3" s="113">
        <v>138</v>
      </c>
      <c r="R3" s="113">
        <v>517</v>
      </c>
      <c r="S3" s="113">
        <v>527</v>
      </c>
      <c r="T3" s="1"/>
      <c r="V3" s="1"/>
      <c r="W3" s="1"/>
      <c r="X3" s="1"/>
    </row>
    <row r="4" spans="1:24" ht="13.15" customHeight="1" x14ac:dyDescent="0.2">
      <c r="A4" s="142"/>
      <c r="B4" s="145"/>
      <c r="C4" s="87" t="s">
        <v>960</v>
      </c>
      <c r="D4" s="3"/>
      <c r="E4" s="3"/>
      <c r="F4" s="75" t="s">
        <v>922</v>
      </c>
      <c r="G4" s="3"/>
      <c r="H4" s="3"/>
      <c r="I4" s="3"/>
      <c r="J4" s="3"/>
      <c r="K4" s="3"/>
      <c r="L4" s="3"/>
      <c r="M4" s="3"/>
      <c r="O4" s="14"/>
      <c r="Q4" s="113">
        <v>237</v>
      </c>
      <c r="R4" s="113"/>
      <c r="S4" s="113"/>
      <c r="T4" s="113"/>
      <c r="U4" s="1"/>
      <c r="V4" s="1"/>
      <c r="W4" s="1"/>
      <c r="X4" s="1"/>
    </row>
    <row r="5" spans="1:24" ht="13.15" customHeight="1" x14ac:dyDescent="0.2">
      <c r="A5" s="142"/>
      <c r="B5" s="145"/>
      <c r="C5" s="87" t="s">
        <v>961</v>
      </c>
      <c r="D5" s="3"/>
      <c r="E5" s="3"/>
      <c r="F5" s="75" t="s">
        <v>897</v>
      </c>
      <c r="G5" s="3"/>
      <c r="H5" s="3"/>
      <c r="I5" s="3"/>
      <c r="J5" s="3"/>
      <c r="K5" s="3"/>
      <c r="L5" s="3"/>
      <c r="M5" s="3"/>
      <c r="O5" s="14"/>
      <c r="Q5" s="113">
        <v>530</v>
      </c>
      <c r="R5" s="1"/>
      <c r="S5" s="1"/>
      <c r="T5" s="1"/>
      <c r="U5" s="1"/>
      <c r="V5" s="1"/>
      <c r="W5" s="1"/>
      <c r="X5" s="1"/>
    </row>
    <row r="6" spans="1:24" x14ac:dyDescent="0.2">
      <c r="A6" s="142"/>
      <c r="B6" s="145"/>
      <c r="C6" s="19" t="s">
        <v>473</v>
      </c>
      <c r="D6" s="3"/>
      <c r="E6" s="3"/>
      <c r="F6" s="75" t="s">
        <v>898</v>
      </c>
      <c r="G6" s="3"/>
      <c r="H6" s="3"/>
      <c r="I6" s="3"/>
      <c r="J6" s="3"/>
      <c r="K6" s="3"/>
      <c r="L6" s="3"/>
      <c r="M6" s="3"/>
      <c r="N6" s="4"/>
      <c r="O6" s="18"/>
      <c r="Q6" s="113">
        <v>247</v>
      </c>
      <c r="R6" s="110"/>
      <c r="S6" s="110"/>
      <c r="T6" s="1"/>
      <c r="U6" s="1"/>
      <c r="V6" s="1"/>
      <c r="W6" s="1"/>
      <c r="X6" s="1"/>
    </row>
    <row r="7" spans="1:24" x14ac:dyDescent="0.2">
      <c r="A7" s="142"/>
      <c r="B7" s="145"/>
      <c r="C7" s="20" t="s">
        <v>963</v>
      </c>
      <c r="D7" s="3"/>
      <c r="E7" s="3"/>
      <c r="F7" s="4" t="s">
        <v>898</v>
      </c>
      <c r="G7" s="3"/>
      <c r="H7" s="3"/>
      <c r="I7" s="3"/>
      <c r="J7" s="3"/>
      <c r="K7" s="3"/>
      <c r="L7" s="3"/>
      <c r="M7" s="3"/>
      <c r="N7" s="4"/>
      <c r="O7" s="18"/>
      <c r="Q7" s="113">
        <v>549</v>
      </c>
      <c r="R7" s="110"/>
      <c r="S7" s="110"/>
      <c r="T7" s="1"/>
      <c r="U7" s="1"/>
      <c r="V7" s="1"/>
      <c r="W7" s="1"/>
      <c r="X7" s="1"/>
    </row>
    <row r="8" spans="1:24" x14ac:dyDescent="0.2">
      <c r="A8" s="142"/>
      <c r="B8" s="145"/>
      <c r="C8" s="20" t="s">
        <v>962</v>
      </c>
      <c r="D8" s="3"/>
      <c r="E8" s="3"/>
      <c r="F8" s="75" t="s">
        <v>898</v>
      </c>
      <c r="G8" s="3"/>
      <c r="H8" s="3"/>
      <c r="I8" s="3"/>
      <c r="J8" s="3"/>
      <c r="K8" s="3"/>
      <c r="L8" s="3"/>
      <c r="M8" s="3"/>
      <c r="N8" s="4"/>
      <c r="O8" s="18" t="s">
        <v>937</v>
      </c>
      <c r="Q8" s="113">
        <v>215</v>
      </c>
      <c r="R8" s="110"/>
      <c r="S8" s="110"/>
      <c r="T8" s="1"/>
      <c r="U8" s="1"/>
      <c r="V8" s="1"/>
      <c r="W8" s="1"/>
      <c r="X8" s="1"/>
    </row>
    <row r="9" spans="1:24" x14ac:dyDescent="0.2">
      <c r="A9" s="142"/>
      <c r="B9" s="145"/>
      <c r="C9" s="19" t="s">
        <v>472</v>
      </c>
      <c r="D9" s="3"/>
      <c r="E9" s="3"/>
      <c r="F9" s="4" t="s">
        <v>100</v>
      </c>
      <c r="G9" s="75" t="s">
        <v>99</v>
      </c>
      <c r="H9" s="75" t="s">
        <v>96</v>
      </c>
      <c r="I9" s="75" t="s">
        <v>766</v>
      </c>
      <c r="J9" s="75" t="s">
        <v>94</v>
      </c>
      <c r="K9" s="3"/>
      <c r="L9" s="3"/>
      <c r="M9" s="3"/>
      <c r="N9" s="10"/>
      <c r="O9" s="14"/>
      <c r="Q9" s="111">
        <v>233</v>
      </c>
      <c r="R9" s="111">
        <v>234</v>
      </c>
      <c r="S9" s="111">
        <v>235</v>
      </c>
      <c r="T9" s="118">
        <v>236</v>
      </c>
      <c r="U9" s="118">
        <v>160</v>
      </c>
      <c r="V9" s="1"/>
      <c r="W9" s="1"/>
      <c r="X9" s="1"/>
    </row>
    <row r="10" spans="1:24" x14ac:dyDescent="0.2">
      <c r="A10" s="142"/>
      <c r="B10" s="145"/>
      <c r="C10" s="19" t="s">
        <v>482</v>
      </c>
      <c r="D10" s="3"/>
      <c r="E10" s="3"/>
      <c r="F10" s="75" t="s">
        <v>401</v>
      </c>
      <c r="G10" s="4" t="s">
        <v>402</v>
      </c>
      <c r="H10" s="75" t="s">
        <v>403</v>
      </c>
      <c r="I10" s="4" t="s">
        <v>404</v>
      </c>
      <c r="J10" s="75" t="s">
        <v>91</v>
      </c>
      <c r="K10" s="75" t="s">
        <v>97</v>
      </c>
      <c r="L10" s="75" t="s">
        <v>102</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305</v>
      </c>
      <c r="D11" s="3"/>
      <c r="E11" s="3"/>
      <c r="F11" s="4" t="s">
        <v>476</v>
      </c>
      <c r="G11" s="75" t="s">
        <v>44</v>
      </c>
      <c r="H11" s="24"/>
      <c r="I11" s="24"/>
      <c r="J11" s="24"/>
      <c r="K11" s="24"/>
      <c r="L11" s="24"/>
      <c r="M11" s="24"/>
      <c r="N11" s="4"/>
      <c r="O11" s="14" t="s">
        <v>101</v>
      </c>
      <c r="Q11" s="111">
        <v>239</v>
      </c>
      <c r="R11" s="111">
        <v>240</v>
      </c>
      <c r="S11" s="1"/>
      <c r="T11" s="1"/>
      <c r="U11" s="1"/>
      <c r="V11" s="1"/>
      <c r="W11" s="1"/>
      <c r="X11" s="1"/>
    </row>
    <row r="12" spans="1:24" x14ac:dyDescent="0.2">
      <c r="A12" s="142"/>
      <c r="B12" s="145"/>
      <c r="C12" s="19" t="s">
        <v>478</v>
      </c>
      <c r="D12" s="3"/>
      <c r="E12" s="3"/>
      <c r="F12" s="75" t="s">
        <v>899</v>
      </c>
      <c r="G12" s="3"/>
      <c r="H12" s="3"/>
      <c r="I12" s="3"/>
      <c r="J12" s="3"/>
      <c r="K12" s="3"/>
      <c r="L12" s="3"/>
      <c r="M12" s="3"/>
      <c r="N12" s="13"/>
      <c r="O12" s="18" t="s">
        <v>179</v>
      </c>
      <c r="Q12" s="112">
        <v>514</v>
      </c>
      <c r="R12" s="1"/>
      <c r="S12" s="1"/>
      <c r="T12" s="110"/>
      <c r="U12" s="110"/>
      <c r="V12" s="1"/>
      <c r="W12" s="1"/>
      <c r="X12" s="1"/>
    </row>
    <row r="13" spans="1:24" x14ac:dyDescent="0.2">
      <c r="A13" s="142"/>
      <c r="B13" s="145"/>
      <c r="C13" s="20" t="s">
        <v>964</v>
      </c>
      <c r="D13" s="3"/>
      <c r="E13" s="3"/>
      <c r="F13" s="75" t="s">
        <v>900</v>
      </c>
      <c r="G13" s="3"/>
      <c r="H13" s="3"/>
      <c r="I13" s="3"/>
      <c r="J13" s="3"/>
      <c r="K13" s="3"/>
      <c r="L13" s="3"/>
      <c r="M13" s="3"/>
      <c r="N13" s="13"/>
      <c r="O13" s="18"/>
      <c r="Q13" s="112">
        <v>525</v>
      </c>
      <c r="R13" s="1"/>
      <c r="S13" s="1"/>
      <c r="T13" s="110"/>
      <c r="U13" s="110"/>
      <c r="V13" s="1"/>
      <c r="W13" s="1"/>
      <c r="X13" s="1"/>
    </row>
    <row r="14" spans="1:24" x14ac:dyDescent="0.2">
      <c r="A14" s="142"/>
      <c r="B14" s="145"/>
      <c r="C14" s="20" t="s">
        <v>965</v>
      </c>
      <c r="D14" s="3"/>
      <c r="E14" s="3"/>
      <c r="F14" s="75" t="s">
        <v>901</v>
      </c>
      <c r="G14" s="3"/>
      <c r="H14" s="3"/>
      <c r="I14" s="3"/>
      <c r="J14" s="3"/>
      <c r="K14" s="3"/>
      <c r="L14" s="3"/>
      <c r="M14" s="3"/>
      <c r="N14" s="13"/>
      <c r="O14" s="18"/>
      <c r="Q14" s="112">
        <v>515</v>
      </c>
      <c r="R14" s="1"/>
      <c r="S14" s="1"/>
      <c r="T14" s="110"/>
      <c r="U14" s="110"/>
      <c r="V14" s="1"/>
      <c r="W14" s="1"/>
      <c r="X14" s="1"/>
    </row>
    <row r="15" spans="1:24" x14ac:dyDescent="0.2">
      <c r="A15" s="142"/>
      <c r="B15" s="145"/>
      <c r="C15" s="19" t="s">
        <v>477</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479</v>
      </c>
      <c r="D16" s="3"/>
      <c r="E16" s="3"/>
      <c r="F16" s="75" t="s">
        <v>902</v>
      </c>
      <c r="G16" s="24"/>
      <c r="H16" s="24"/>
      <c r="I16" s="24"/>
      <c r="J16" s="24"/>
      <c r="K16" s="24"/>
      <c r="L16" s="24"/>
      <c r="M16" s="24"/>
      <c r="N16" s="35"/>
      <c r="O16" s="14"/>
      <c r="Q16" s="112">
        <v>267</v>
      </c>
      <c r="R16" s="1"/>
      <c r="S16" s="1"/>
      <c r="T16" s="1"/>
      <c r="U16" s="1"/>
      <c r="V16" s="1"/>
      <c r="W16" s="1"/>
      <c r="X16" s="1"/>
    </row>
    <row r="17" spans="1:25" x14ac:dyDescent="0.2">
      <c r="A17" s="142"/>
      <c r="B17" s="145"/>
      <c r="C17" s="19" t="s">
        <v>480</v>
      </c>
      <c r="D17" s="3"/>
      <c r="E17" s="3"/>
      <c r="F17" s="40" t="s">
        <v>847</v>
      </c>
      <c r="G17" s="40" t="s">
        <v>780</v>
      </c>
      <c r="H17" s="40" t="s">
        <v>846</v>
      </c>
      <c r="I17" s="24"/>
      <c r="J17" s="24"/>
      <c r="K17" s="24"/>
      <c r="L17" s="24"/>
      <c r="M17" s="24"/>
      <c r="N17" s="10"/>
      <c r="O17" s="18" t="s">
        <v>781</v>
      </c>
      <c r="Q17" s="116">
        <v>244</v>
      </c>
      <c r="R17" s="116">
        <v>427</v>
      </c>
      <c r="S17" s="116">
        <v>274</v>
      </c>
      <c r="W17" s="110"/>
      <c r="X17" s="1"/>
    </row>
    <row r="18" spans="1:25" x14ac:dyDescent="0.2">
      <c r="A18" s="142"/>
      <c r="B18" s="145"/>
      <c r="C18" s="20" t="s">
        <v>728</v>
      </c>
      <c r="D18" s="3"/>
      <c r="E18" s="3"/>
      <c r="F18" s="38" t="s">
        <v>180</v>
      </c>
      <c r="G18" s="24"/>
      <c r="H18" s="24"/>
      <c r="I18" s="24"/>
      <c r="J18" s="24"/>
      <c r="K18" s="24"/>
      <c r="L18" s="24"/>
      <c r="M18" s="24"/>
      <c r="N18" s="13"/>
      <c r="O18" s="14"/>
      <c r="Q18" s="112">
        <v>341</v>
      </c>
      <c r="R18" s="1"/>
      <c r="S18" s="1"/>
      <c r="T18" s="1"/>
      <c r="U18" s="110"/>
      <c r="V18" s="110"/>
      <c r="W18" s="110"/>
      <c r="X18" s="1"/>
    </row>
    <row r="19" spans="1:25" x14ac:dyDescent="0.2">
      <c r="A19" s="142"/>
      <c r="B19" s="145"/>
      <c r="C19" s="19" t="s">
        <v>481</v>
      </c>
      <c r="D19" s="3"/>
      <c r="E19" s="3"/>
      <c r="F19" s="4" t="s">
        <v>642</v>
      </c>
      <c r="G19" s="75" t="s">
        <v>641</v>
      </c>
      <c r="H19" s="40" t="s">
        <v>986</v>
      </c>
      <c r="I19" s="3"/>
      <c r="J19" s="24"/>
      <c r="K19" s="24"/>
      <c r="L19" s="24"/>
      <c r="M19" s="24"/>
      <c r="N19" s="4"/>
      <c r="O19" s="18"/>
      <c r="Q19" s="111">
        <v>301</v>
      </c>
      <c r="R19" s="112">
        <v>245</v>
      </c>
      <c r="S19" s="111">
        <v>246</v>
      </c>
      <c r="T19" s="1"/>
      <c r="U19" s="1"/>
      <c r="V19" s="1"/>
      <c r="W19" s="1"/>
      <c r="X19" s="1"/>
    </row>
    <row r="20" spans="1:25" x14ac:dyDescent="0.2">
      <c r="A20" s="142"/>
      <c r="B20" s="139" t="s">
        <v>733</v>
      </c>
      <c r="C20" s="19" t="s">
        <v>643</v>
      </c>
      <c r="D20" s="3"/>
      <c r="E20" s="3"/>
      <c r="F20" s="40" t="s">
        <v>62</v>
      </c>
      <c r="G20" s="75" t="s">
        <v>644</v>
      </c>
      <c r="H20" s="3"/>
      <c r="I20" s="3"/>
      <c r="J20" s="3"/>
      <c r="K20" s="3"/>
      <c r="L20" s="3"/>
      <c r="M20" s="3"/>
      <c r="N20" s="13"/>
      <c r="O20" s="18"/>
      <c r="Q20" s="112">
        <v>30</v>
      </c>
      <c r="R20" s="1">
        <v>516</v>
      </c>
      <c r="S20" s="1"/>
      <c r="T20" s="1"/>
      <c r="U20" s="1"/>
      <c r="V20" s="1"/>
      <c r="W20" s="1"/>
      <c r="X20" s="1"/>
    </row>
    <row r="21" spans="1:25" x14ac:dyDescent="0.2">
      <c r="A21" s="142"/>
      <c r="B21" s="140"/>
      <c r="C21" s="20" t="s">
        <v>966</v>
      </c>
      <c r="D21" s="3"/>
      <c r="E21" s="3"/>
      <c r="F21" s="75" t="s">
        <v>903</v>
      </c>
      <c r="G21" s="3"/>
      <c r="H21" s="3"/>
      <c r="I21" s="3"/>
      <c r="J21" s="3"/>
      <c r="K21" s="3"/>
      <c r="L21" s="3"/>
      <c r="M21" s="3"/>
      <c r="N21" s="13"/>
      <c r="O21" s="18"/>
      <c r="Q21" s="115">
        <v>557</v>
      </c>
      <c r="R21" s="1"/>
      <c r="S21" s="1"/>
      <c r="T21" s="1"/>
      <c r="U21" s="1"/>
      <c r="V21" s="1"/>
      <c r="W21" s="1"/>
      <c r="X21" s="1"/>
    </row>
    <row r="22" spans="1:25" x14ac:dyDescent="0.2">
      <c r="A22" s="142"/>
      <c r="B22" s="140"/>
      <c r="C22" s="79" t="s">
        <v>509</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509</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487</v>
      </c>
      <c r="D24" s="3">
        <v>4</v>
      </c>
      <c r="E24" s="3"/>
      <c r="F24" s="41">
        <v>1</v>
      </c>
      <c r="G24" s="75">
        <v>2</v>
      </c>
      <c r="H24" s="75" t="s">
        <v>35</v>
      </c>
      <c r="I24" s="3"/>
      <c r="J24" s="3"/>
      <c r="K24" s="3"/>
      <c r="L24" s="3"/>
      <c r="M24" s="3"/>
      <c r="N24" s="35"/>
      <c r="O24" s="18" t="s">
        <v>622</v>
      </c>
      <c r="Q24" s="111">
        <v>188</v>
      </c>
      <c r="R24" s="111">
        <v>189</v>
      </c>
      <c r="S24" s="112">
        <v>190</v>
      </c>
      <c r="T24" s="1"/>
      <c r="U24" s="1"/>
      <c r="V24" s="1"/>
      <c r="W24" s="1"/>
      <c r="X24" s="1"/>
    </row>
    <row r="25" spans="1:25" ht="13.5" customHeight="1" x14ac:dyDescent="0.2">
      <c r="A25" s="138" t="s">
        <v>28</v>
      </c>
      <c r="B25" s="109" t="s">
        <v>725</v>
      </c>
      <c r="C25" s="19" t="s">
        <v>759</v>
      </c>
      <c r="D25" s="3"/>
      <c r="E25" s="3"/>
      <c r="F25" s="75" t="s">
        <v>760</v>
      </c>
      <c r="G25" s="75" t="s">
        <v>761</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612</v>
      </c>
      <c r="D26" s="3"/>
      <c r="E26" s="3"/>
      <c r="F26" s="17" t="s">
        <v>2</v>
      </c>
      <c r="G26" s="17" t="s">
        <v>3</v>
      </c>
      <c r="H26" s="17" t="s">
        <v>4</v>
      </c>
      <c r="I26" s="17" t="s">
        <v>34</v>
      </c>
      <c r="J26" s="76" t="s">
        <v>71</v>
      </c>
      <c r="K26" s="40" t="s">
        <v>210</v>
      </c>
      <c r="L26" s="3"/>
      <c r="M26" s="3"/>
      <c r="N26" s="4"/>
      <c r="O26" s="18" t="s">
        <v>340</v>
      </c>
      <c r="Q26" s="112">
        <v>42</v>
      </c>
      <c r="R26" s="112">
        <v>43</v>
      </c>
      <c r="S26" s="112">
        <v>44</v>
      </c>
      <c r="T26" s="112">
        <v>45</v>
      </c>
      <c r="U26" s="113">
        <v>191</v>
      </c>
      <c r="V26" s="112">
        <v>386</v>
      </c>
      <c r="W26" s="1"/>
      <c r="X26" s="1"/>
      <c r="Y26" s="2"/>
    </row>
    <row r="27" spans="1:25" ht="15.95" customHeight="1" x14ac:dyDescent="0.2">
      <c r="A27" s="138"/>
      <c r="B27" s="145"/>
      <c r="C27" s="19" t="s">
        <v>639</v>
      </c>
      <c r="D27" s="3">
        <v>1240</v>
      </c>
      <c r="E27" s="3"/>
      <c r="F27" s="75" t="s">
        <v>2</v>
      </c>
      <c r="G27" s="75" t="s">
        <v>3</v>
      </c>
      <c r="H27" s="75" t="s">
        <v>4</v>
      </c>
      <c r="I27" s="75" t="s">
        <v>34</v>
      </c>
      <c r="J27" s="76" t="s">
        <v>71</v>
      </c>
      <c r="K27" s="3"/>
      <c r="L27" s="3"/>
      <c r="M27" s="3"/>
      <c r="N27" s="35"/>
      <c r="O27" s="18" t="s">
        <v>341</v>
      </c>
      <c r="Q27" s="112">
        <v>120</v>
      </c>
      <c r="R27" s="112">
        <v>121</v>
      </c>
      <c r="S27" s="112">
        <v>122</v>
      </c>
      <c r="T27" s="112">
        <v>123</v>
      </c>
      <c r="U27" s="113">
        <v>192</v>
      </c>
      <c r="V27" s="1"/>
      <c r="W27" s="1"/>
      <c r="X27" s="1"/>
      <c r="Y27" s="2"/>
    </row>
    <row r="28" spans="1:25" ht="15.95" customHeight="1" x14ac:dyDescent="0.2">
      <c r="A28" s="138"/>
      <c r="B28" s="145"/>
      <c r="C28" s="19" t="s">
        <v>639</v>
      </c>
      <c r="D28" s="3">
        <v>35</v>
      </c>
      <c r="E28" s="3"/>
      <c r="F28" s="17" t="s">
        <v>2</v>
      </c>
      <c r="G28" s="17" t="s">
        <v>3</v>
      </c>
      <c r="H28" s="17" t="s">
        <v>4</v>
      </c>
      <c r="I28" s="75" t="s">
        <v>34</v>
      </c>
      <c r="J28" s="76" t="s">
        <v>71</v>
      </c>
      <c r="K28" s="3"/>
      <c r="L28" s="3"/>
      <c r="M28" s="3"/>
      <c r="N28" s="35"/>
      <c r="O28" s="18" t="s">
        <v>341</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342</v>
      </c>
      <c r="Q29" s="112">
        <v>53</v>
      </c>
      <c r="R29" s="112">
        <v>54</v>
      </c>
      <c r="S29" s="112">
        <v>55</v>
      </c>
      <c r="T29" s="112">
        <v>56</v>
      </c>
      <c r="U29" s="1"/>
      <c r="V29" s="1"/>
      <c r="W29" s="1"/>
      <c r="X29" s="1"/>
      <c r="Y29" s="2"/>
    </row>
    <row r="30" spans="1:25" ht="15.95" customHeight="1" x14ac:dyDescent="0.2">
      <c r="A30" s="138"/>
      <c r="B30" s="145"/>
      <c r="C30" s="19" t="s">
        <v>410</v>
      </c>
      <c r="D30" s="3"/>
      <c r="E30" s="3"/>
      <c r="F30" s="53" t="s">
        <v>52</v>
      </c>
      <c r="G30" s="17" t="s">
        <v>3</v>
      </c>
      <c r="H30" s="17" t="s">
        <v>4</v>
      </c>
      <c r="I30" s="17" t="s">
        <v>34</v>
      </c>
      <c r="J30" s="3"/>
      <c r="K30" s="3"/>
      <c r="L30" s="3"/>
      <c r="M30" s="3"/>
      <c r="N30" s="13"/>
      <c r="O30" s="34" t="s">
        <v>173</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314</v>
      </c>
      <c r="D32" s="3"/>
      <c r="E32" s="3"/>
      <c r="F32" s="17" t="s">
        <v>2</v>
      </c>
      <c r="G32" s="17" t="s">
        <v>3</v>
      </c>
      <c r="H32" s="17" t="s">
        <v>4</v>
      </c>
      <c r="I32" s="17" t="s">
        <v>34</v>
      </c>
      <c r="J32" s="20"/>
      <c r="K32" s="3"/>
      <c r="L32" s="3"/>
      <c r="M32" s="3"/>
      <c r="N32" s="35"/>
      <c r="O32" s="34" t="s">
        <v>315</v>
      </c>
      <c r="P32" s="2"/>
      <c r="Q32" s="112">
        <v>144</v>
      </c>
      <c r="R32" s="112">
        <v>145</v>
      </c>
      <c r="S32" s="112">
        <v>146</v>
      </c>
      <c r="T32" s="112">
        <v>147</v>
      </c>
      <c r="U32" s="1"/>
      <c r="V32" s="1"/>
      <c r="W32" s="1"/>
      <c r="X32" s="1"/>
    </row>
    <row r="33" spans="1:25" ht="15.95" customHeight="1" x14ac:dyDescent="0.2">
      <c r="A33" s="138"/>
      <c r="B33" s="145" t="s">
        <v>48</v>
      </c>
      <c r="C33" s="19" t="s">
        <v>613</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873</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596</v>
      </c>
      <c r="C37" s="19" t="s">
        <v>797</v>
      </c>
      <c r="D37" s="3">
        <v>35</v>
      </c>
      <c r="E37" s="3"/>
      <c r="F37" s="4" t="s">
        <v>2</v>
      </c>
      <c r="G37" s="4" t="s">
        <v>3</v>
      </c>
      <c r="H37" s="4" t="s">
        <v>4</v>
      </c>
      <c r="I37" s="4" t="s">
        <v>34</v>
      </c>
      <c r="J37" s="3"/>
      <c r="K37" s="3"/>
      <c r="L37" s="3"/>
      <c r="M37" s="3"/>
      <c r="N37" s="10"/>
      <c r="O37" s="18" t="s">
        <v>800</v>
      </c>
      <c r="Q37" s="112">
        <v>510</v>
      </c>
      <c r="R37" s="112">
        <v>511</v>
      </c>
      <c r="S37" s="112">
        <v>512</v>
      </c>
      <c r="T37" s="112">
        <v>513</v>
      </c>
      <c r="U37" s="110"/>
      <c r="V37" s="1"/>
      <c r="W37" s="1"/>
      <c r="X37" s="1"/>
      <c r="Y37" s="2"/>
    </row>
    <row r="38" spans="1:25" ht="15.95" customHeight="1" x14ac:dyDescent="0.2">
      <c r="A38" s="138"/>
      <c r="B38" s="145"/>
      <c r="C38" s="19" t="s">
        <v>597</v>
      </c>
      <c r="D38" s="3"/>
      <c r="E38" s="3"/>
      <c r="F38" s="17" t="s">
        <v>2</v>
      </c>
      <c r="G38" s="17" t="s">
        <v>3</v>
      </c>
      <c r="H38" s="17" t="s">
        <v>4</v>
      </c>
      <c r="I38" s="75" t="s">
        <v>34</v>
      </c>
      <c r="J38" s="3"/>
      <c r="K38" s="3"/>
      <c r="L38" s="3"/>
      <c r="M38" s="3"/>
      <c r="N38" s="10"/>
      <c r="O38" s="18" t="s">
        <v>343</v>
      </c>
      <c r="Q38" s="112">
        <v>128</v>
      </c>
      <c r="R38" s="112">
        <v>129</v>
      </c>
      <c r="S38" s="112">
        <v>130</v>
      </c>
      <c r="T38" s="112">
        <v>131</v>
      </c>
      <c r="U38" s="110"/>
      <c r="V38" s="1"/>
      <c r="W38" s="1"/>
      <c r="X38" s="1"/>
      <c r="Y38" s="2"/>
    </row>
    <row r="39" spans="1:25" ht="15.95" customHeight="1" x14ac:dyDescent="0.2">
      <c r="A39" s="138"/>
      <c r="B39" s="145"/>
      <c r="C39" s="19" t="s">
        <v>598</v>
      </c>
      <c r="D39" s="3"/>
      <c r="E39" s="3"/>
      <c r="F39" s="17" t="s">
        <v>2</v>
      </c>
      <c r="G39" s="17" t="s">
        <v>3</v>
      </c>
      <c r="H39" s="75" t="s">
        <v>4</v>
      </c>
      <c r="I39" s="40" t="s">
        <v>34</v>
      </c>
      <c r="J39" s="3"/>
      <c r="K39" s="2"/>
      <c r="L39" s="3"/>
      <c r="M39" s="3"/>
      <c r="N39" s="13"/>
      <c r="O39" s="18" t="s">
        <v>344</v>
      </c>
      <c r="Q39" s="112">
        <v>140</v>
      </c>
      <c r="R39" s="112">
        <v>141</v>
      </c>
      <c r="S39" s="112">
        <v>142</v>
      </c>
      <c r="T39" s="112">
        <v>143</v>
      </c>
      <c r="U39" s="1"/>
      <c r="V39" s="1"/>
      <c r="W39" s="1"/>
      <c r="X39" s="1"/>
      <c r="Y39" s="2"/>
    </row>
    <row r="40" spans="1:25" ht="15.95" customHeight="1" x14ac:dyDescent="0.2">
      <c r="A40" s="138"/>
      <c r="B40" s="145"/>
      <c r="C40" s="19" t="s">
        <v>599</v>
      </c>
      <c r="D40" s="3"/>
      <c r="E40" s="3"/>
      <c r="F40" s="17" t="s">
        <v>2</v>
      </c>
      <c r="G40" s="41" t="s">
        <v>3</v>
      </c>
      <c r="H40" s="40" t="s">
        <v>4</v>
      </c>
      <c r="I40" s="40" t="s">
        <v>34</v>
      </c>
      <c r="J40" s="3"/>
      <c r="K40" s="3"/>
      <c r="L40" s="3"/>
      <c r="M40" s="3"/>
      <c r="N40" s="4"/>
      <c r="O40" s="18" t="s">
        <v>345</v>
      </c>
      <c r="Q40" s="112">
        <v>108</v>
      </c>
      <c r="R40" s="112">
        <v>109</v>
      </c>
      <c r="S40" s="112">
        <v>110</v>
      </c>
      <c r="T40" s="112">
        <v>111</v>
      </c>
      <c r="U40" s="1"/>
      <c r="V40" s="1"/>
      <c r="W40" s="1"/>
      <c r="X40" s="1"/>
      <c r="Y40" s="2"/>
    </row>
    <row r="41" spans="1:25" ht="15.95" customHeight="1" x14ac:dyDescent="0.2">
      <c r="A41" s="138"/>
      <c r="B41" s="145"/>
      <c r="C41" s="19" t="s">
        <v>798</v>
      </c>
      <c r="D41" s="3">
        <v>35</v>
      </c>
      <c r="E41" s="3"/>
      <c r="F41" s="4" t="s">
        <v>2</v>
      </c>
      <c r="G41" s="4" t="s">
        <v>3</v>
      </c>
      <c r="H41" s="4" t="s">
        <v>4</v>
      </c>
      <c r="I41" s="4" t="s">
        <v>34</v>
      </c>
      <c r="J41" s="3"/>
      <c r="K41" s="3"/>
      <c r="L41" s="3"/>
      <c r="M41" s="3"/>
      <c r="N41" s="10"/>
      <c r="O41" s="18" t="s">
        <v>801</v>
      </c>
      <c r="Q41" s="112">
        <v>506</v>
      </c>
      <c r="R41" s="112">
        <v>507</v>
      </c>
      <c r="S41" s="112">
        <v>508</v>
      </c>
      <c r="T41" s="112">
        <v>509</v>
      </c>
      <c r="U41" s="1"/>
      <c r="V41" s="1"/>
      <c r="W41" s="1"/>
      <c r="X41" s="1"/>
      <c r="Y41" s="2"/>
    </row>
    <row r="42" spans="1:25" ht="15.95" customHeight="1" x14ac:dyDescent="0.2">
      <c r="A42" s="138"/>
      <c r="B42" s="145"/>
      <c r="C42" s="19" t="s">
        <v>600</v>
      </c>
      <c r="D42" s="3"/>
      <c r="E42" s="3"/>
      <c r="F42" s="4" t="s">
        <v>2</v>
      </c>
      <c r="G42" s="4" t="s">
        <v>3</v>
      </c>
      <c r="H42" s="4" t="s">
        <v>4</v>
      </c>
      <c r="I42" s="75" t="s">
        <v>34</v>
      </c>
      <c r="J42" s="3"/>
      <c r="K42" s="3"/>
      <c r="L42" s="3"/>
      <c r="M42" s="3"/>
      <c r="N42" s="10"/>
      <c r="O42" s="18" t="s">
        <v>346</v>
      </c>
      <c r="Q42" s="112">
        <v>59</v>
      </c>
      <c r="R42" s="112">
        <v>60</v>
      </c>
      <c r="S42" s="112">
        <v>61</v>
      </c>
      <c r="T42" s="112">
        <v>62</v>
      </c>
      <c r="U42" s="1"/>
      <c r="V42" s="1"/>
      <c r="W42" s="1"/>
      <c r="X42" s="1"/>
      <c r="Y42" s="2"/>
    </row>
    <row r="43" spans="1:25" ht="15.95" customHeight="1" x14ac:dyDescent="0.2">
      <c r="A43" s="138"/>
      <c r="B43" s="145"/>
      <c r="C43" s="19" t="s">
        <v>601</v>
      </c>
      <c r="D43" s="3"/>
      <c r="E43" s="3"/>
      <c r="F43" s="17" t="s">
        <v>2</v>
      </c>
      <c r="G43" s="4" t="s">
        <v>3</v>
      </c>
      <c r="H43" s="4" t="s">
        <v>4</v>
      </c>
      <c r="I43" s="40" t="s">
        <v>34</v>
      </c>
      <c r="J43" s="3"/>
      <c r="K43" s="3"/>
      <c r="L43" s="3"/>
      <c r="M43" s="3"/>
      <c r="N43" s="35"/>
      <c r="O43" s="18" t="s">
        <v>347</v>
      </c>
      <c r="Q43" s="112">
        <v>132</v>
      </c>
      <c r="R43" s="112">
        <v>133</v>
      </c>
      <c r="S43" s="112">
        <v>134</v>
      </c>
      <c r="T43" s="112">
        <v>135</v>
      </c>
      <c r="U43" s="1"/>
      <c r="V43" s="1"/>
      <c r="W43" s="1"/>
      <c r="X43" s="1"/>
      <c r="Y43" s="2"/>
    </row>
    <row r="44" spans="1:25" ht="15.95" customHeight="1" x14ac:dyDescent="0.2">
      <c r="A44" s="138"/>
      <c r="B44" s="145"/>
      <c r="C44" s="19" t="s">
        <v>602</v>
      </c>
      <c r="D44" s="3"/>
      <c r="E44" s="3"/>
      <c r="F44" s="4" t="s">
        <v>2</v>
      </c>
      <c r="G44" s="41" t="s">
        <v>3</v>
      </c>
      <c r="H44" s="75" t="s">
        <v>4</v>
      </c>
      <c r="I44" s="40" t="s">
        <v>34</v>
      </c>
      <c r="J44" s="3"/>
      <c r="K44" s="3"/>
      <c r="L44" s="3"/>
      <c r="M44" s="3"/>
      <c r="N44" s="13"/>
      <c r="O44" s="18" t="s">
        <v>348</v>
      </c>
      <c r="Q44" s="112">
        <v>63</v>
      </c>
      <c r="R44" s="112">
        <v>64</v>
      </c>
      <c r="S44" s="112">
        <v>65</v>
      </c>
      <c r="T44" s="112">
        <v>66</v>
      </c>
      <c r="U44" s="1"/>
      <c r="V44" s="1"/>
      <c r="W44" s="1"/>
      <c r="X44" s="1"/>
      <c r="Y44" s="2"/>
    </row>
    <row r="45" spans="1:25" ht="15.95" customHeight="1" x14ac:dyDescent="0.2">
      <c r="A45" s="138"/>
      <c r="B45" s="145"/>
      <c r="C45" s="19" t="s">
        <v>603</v>
      </c>
      <c r="D45" s="3"/>
      <c r="E45" s="3"/>
      <c r="F45" s="4" t="s">
        <v>2</v>
      </c>
      <c r="G45" s="41" t="s">
        <v>3</v>
      </c>
      <c r="H45" s="75" t="s">
        <v>4</v>
      </c>
      <c r="I45" s="40" t="s">
        <v>34</v>
      </c>
      <c r="J45" s="3"/>
      <c r="K45" s="3"/>
      <c r="L45" s="3"/>
      <c r="M45" s="3"/>
      <c r="N45" s="4"/>
      <c r="O45" s="18" t="s">
        <v>349</v>
      </c>
      <c r="Q45" s="112">
        <v>391</v>
      </c>
      <c r="R45" s="112">
        <v>392</v>
      </c>
      <c r="S45" s="112">
        <v>393</v>
      </c>
      <c r="T45" s="112">
        <v>394</v>
      </c>
      <c r="U45" s="1"/>
      <c r="V45" s="1"/>
      <c r="W45" s="1"/>
      <c r="X45" s="1"/>
      <c r="Y45" s="2"/>
    </row>
    <row r="46" spans="1:25" ht="15.95" customHeight="1" x14ac:dyDescent="0.2">
      <c r="A46" s="138"/>
      <c r="B46" s="145"/>
      <c r="C46" s="19" t="s">
        <v>604</v>
      </c>
      <c r="D46" s="3"/>
      <c r="E46" s="3"/>
      <c r="F46" s="4" t="s">
        <v>2</v>
      </c>
      <c r="G46" s="41" t="s">
        <v>3</v>
      </c>
      <c r="H46" s="40" t="s">
        <v>4</v>
      </c>
      <c r="I46" s="40" t="s">
        <v>34</v>
      </c>
      <c r="J46" s="71"/>
      <c r="K46" s="3"/>
      <c r="L46" s="3"/>
      <c r="M46" s="3"/>
      <c r="N46" s="4"/>
      <c r="O46" s="18" t="s">
        <v>350</v>
      </c>
      <c r="Q46" s="112">
        <v>148</v>
      </c>
      <c r="R46" s="112">
        <v>149</v>
      </c>
      <c r="S46" s="112">
        <v>150</v>
      </c>
      <c r="T46" s="112">
        <v>151</v>
      </c>
      <c r="U46" s="1"/>
      <c r="V46" s="1"/>
      <c r="W46" s="1"/>
      <c r="X46" s="1"/>
      <c r="Y46" s="2"/>
    </row>
    <row r="47" spans="1:25" ht="15.95" customHeight="1" x14ac:dyDescent="0.2">
      <c r="A47" s="138"/>
      <c r="B47" s="145"/>
      <c r="C47" s="19" t="s">
        <v>605</v>
      </c>
      <c r="D47" s="3"/>
      <c r="E47" s="3"/>
      <c r="F47" s="4" t="s">
        <v>2</v>
      </c>
      <c r="G47" s="41" t="s">
        <v>3</v>
      </c>
      <c r="H47" s="40" t="s">
        <v>4</v>
      </c>
      <c r="I47" s="40" t="s">
        <v>34</v>
      </c>
      <c r="J47" s="3"/>
      <c r="K47" s="3"/>
      <c r="L47" s="3"/>
      <c r="M47" s="3"/>
      <c r="N47" s="4"/>
      <c r="O47" s="18" t="s">
        <v>351</v>
      </c>
      <c r="Q47" s="112">
        <v>398</v>
      </c>
      <c r="R47" s="112">
        <v>399</v>
      </c>
      <c r="S47" s="112">
        <v>400</v>
      </c>
      <c r="T47" s="112">
        <v>401</v>
      </c>
      <c r="U47" s="1"/>
      <c r="V47" s="1"/>
      <c r="W47" s="1"/>
      <c r="X47" s="1"/>
      <c r="Y47" s="2"/>
    </row>
    <row r="48" spans="1:25" ht="15.95" customHeight="1" x14ac:dyDescent="0.2">
      <c r="A48" s="138"/>
      <c r="B48" s="145"/>
      <c r="C48" s="19" t="s">
        <v>799</v>
      </c>
      <c r="D48" s="3">
        <v>35</v>
      </c>
      <c r="E48" s="3"/>
      <c r="F48" s="4" t="s">
        <v>2</v>
      </c>
      <c r="G48" s="4" t="s">
        <v>3</v>
      </c>
      <c r="H48" s="4" t="s">
        <v>4</v>
      </c>
      <c r="I48" s="4" t="s">
        <v>34</v>
      </c>
      <c r="J48" s="3"/>
      <c r="K48" s="3"/>
      <c r="L48" s="3"/>
      <c r="M48" s="3"/>
      <c r="N48" s="4"/>
      <c r="O48" s="18" t="s">
        <v>802</v>
      </c>
      <c r="Q48" s="112">
        <v>414</v>
      </c>
      <c r="R48" s="112">
        <v>415</v>
      </c>
      <c r="S48" s="112">
        <v>416</v>
      </c>
      <c r="T48" s="112">
        <v>417</v>
      </c>
      <c r="U48" s="1"/>
      <c r="V48" s="1"/>
      <c r="W48" s="1"/>
      <c r="X48" s="1"/>
      <c r="Y48" s="2"/>
    </row>
    <row r="49" spans="1:25" ht="15.95" customHeight="1" x14ac:dyDescent="0.2">
      <c r="A49" s="138"/>
      <c r="B49" s="145"/>
      <c r="C49" s="19" t="s">
        <v>606</v>
      </c>
      <c r="D49" s="3"/>
      <c r="E49" s="3"/>
      <c r="F49" s="75" t="s">
        <v>2</v>
      </c>
      <c r="G49" s="75" t="s">
        <v>3</v>
      </c>
      <c r="H49" s="40" t="s">
        <v>4</v>
      </c>
      <c r="I49" s="40" t="s">
        <v>34</v>
      </c>
      <c r="J49" s="3"/>
      <c r="K49" s="3"/>
      <c r="L49" s="3"/>
      <c r="M49" s="3"/>
      <c r="N49" s="10"/>
      <c r="O49" s="18" t="s">
        <v>346</v>
      </c>
      <c r="Q49" s="112">
        <v>476</v>
      </c>
      <c r="R49" s="112">
        <v>477</v>
      </c>
      <c r="S49" s="112">
        <v>478</v>
      </c>
      <c r="T49" s="112">
        <v>479</v>
      </c>
      <c r="U49" s="1"/>
      <c r="V49" s="1"/>
      <c r="W49" s="1"/>
      <c r="X49" s="1"/>
      <c r="Y49" s="2"/>
    </row>
    <row r="50" spans="1:25" ht="15.95" customHeight="1" x14ac:dyDescent="0.2">
      <c r="A50" s="138"/>
      <c r="B50" s="145"/>
      <c r="C50" s="19" t="s">
        <v>607</v>
      </c>
      <c r="D50" s="3"/>
      <c r="E50" s="3"/>
      <c r="F50" s="75" t="s">
        <v>2</v>
      </c>
      <c r="G50" s="75" t="s">
        <v>3</v>
      </c>
      <c r="H50" s="40" t="s">
        <v>4</v>
      </c>
      <c r="I50" s="40" t="s">
        <v>34</v>
      </c>
      <c r="J50" s="3"/>
      <c r="K50" s="3"/>
      <c r="L50" s="3"/>
      <c r="M50" s="3"/>
      <c r="N50" s="35"/>
      <c r="O50" s="18" t="s">
        <v>347</v>
      </c>
      <c r="Q50" s="112">
        <v>25</v>
      </c>
      <c r="R50" s="112">
        <v>26</v>
      </c>
      <c r="S50" s="112">
        <v>27</v>
      </c>
      <c r="T50" s="112">
        <v>28</v>
      </c>
      <c r="U50" s="1"/>
      <c r="V50" s="1"/>
      <c r="W50" s="1"/>
      <c r="X50" s="1"/>
      <c r="Y50" s="2"/>
    </row>
    <row r="51" spans="1:25" ht="15.95" customHeight="1" x14ac:dyDescent="0.2">
      <c r="A51" s="138"/>
      <c r="B51" s="145"/>
      <c r="C51" s="19" t="s">
        <v>608</v>
      </c>
      <c r="D51" s="3"/>
      <c r="E51" s="3"/>
      <c r="F51" s="75" t="s">
        <v>2</v>
      </c>
      <c r="G51" s="75" t="s">
        <v>3</v>
      </c>
      <c r="H51" s="40" t="s">
        <v>4</v>
      </c>
      <c r="I51" s="40" t="s">
        <v>34</v>
      </c>
      <c r="J51" s="3"/>
      <c r="K51" s="3"/>
      <c r="L51" s="3"/>
      <c r="M51" s="3"/>
      <c r="N51" s="13"/>
      <c r="O51" s="18" t="s">
        <v>406</v>
      </c>
      <c r="Q51" s="112">
        <v>460</v>
      </c>
      <c r="R51" s="112">
        <v>461</v>
      </c>
      <c r="S51" s="112">
        <v>462</v>
      </c>
      <c r="T51" s="112">
        <v>463</v>
      </c>
      <c r="U51" s="1"/>
      <c r="V51" s="1"/>
      <c r="W51" s="1"/>
      <c r="X51" s="1"/>
      <c r="Y51" s="2"/>
    </row>
    <row r="52" spans="1:25" ht="15.95" customHeight="1" x14ac:dyDescent="0.2">
      <c r="A52" s="138"/>
      <c r="B52" s="145"/>
      <c r="C52" s="19" t="s">
        <v>609</v>
      </c>
      <c r="D52" s="3"/>
      <c r="E52" s="3"/>
      <c r="F52" s="75" t="s">
        <v>2</v>
      </c>
      <c r="G52" s="75" t="s">
        <v>3</v>
      </c>
      <c r="H52" s="40" t="s">
        <v>4</v>
      </c>
      <c r="I52" s="40" t="s">
        <v>34</v>
      </c>
      <c r="J52" s="3"/>
      <c r="K52" s="3"/>
      <c r="L52" s="3"/>
      <c r="M52" s="3"/>
      <c r="N52" s="4"/>
      <c r="O52" s="18" t="s">
        <v>407</v>
      </c>
      <c r="Q52" s="112">
        <v>464</v>
      </c>
      <c r="R52" s="112">
        <v>465</v>
      </c>
      <c r="S52" s="112">
        <v>466</v>
      </c>
      <c r="T52" s="112">
        <v>467</v>
      </c>
      <c r="U52" s="1"/>
      <c r="V52" s="1"/>
      <c r="W52" s="1"/>
      <c r="X52" s="1"/>
      <c r="Y52" s="2"/>
    </row>
    <row r="53" spans="1:25" ht="15.95" customHeight="1" x14ac:dyDescent="0.2">
      <c r="A53" s="138"/>
      <c r="B53" s="145"/>
      <c r="C53" s="19" t="s">
        <v>610</v>
      </c>
      <c r="D53" s="3"/>
      <c r="E53" s="3"/>
      <c r="F53" s="75" t="s">
        <v>2</v>
      </c>
      <c r="G53" s="75" t="s">
        <v>3</v>
      </c>
      <c r="H53" s="40" t="s">
        <v>4</v>
      </c>
      <c r="I53" s="40" t="s">
        <v>34</v>
      </c>
      <c r="J53" s="71"/>
      <c r="K53" s="3"/>
      <c r="L53" s="3"/>
      <c r="M53" s="3"/>
      <c r="N53" s="4"/>
      <c r="O53" s="18" t="s">
        <v>408</v>
      </c>
      <c r="Q53" s="112">
        <v>468</v>
      </c>
      <c r="R53" s="112">
        <v>469</v>
      </c>
      <c r="S53" s="112">
        <v>470</v>
      </c>
      <c r="T53" s="112">
        <v>471</v>
      </c>
      <c r="U53" s="1"/>
      <c r="V53" s="1"/>
      <c r="W53" s="1"/>
      <c r="X53" s="1"/>
      <c r="Y53" s="2"/>
    </row>
    <row r="54" spans="1:25" ht="15.95" customHeight="1" x14ac:dyDescent="0.2">
      <c r="A54" s="138"/>
      <c r="B54" s="145"/>
      <c r="C54" s="19" t="s">
        <v>611</v>
      </c>
      <c r="D54" s="3"/>
      <c r="E54" s="3"/>
      <c r="F54" s="75" t="s">
        <v>2</v>
      </c>
      <c r="G54" s="75" t="s">
        <v>3</v>
      </c>
      <c r="H54" s="40" t="s">
        <v>4</v>
      </c>
      <c r="I54" s="40" t="s">
        <v>34</v>
      </c>
      <c r="J54" s="3"/>
      <c r="K54" s="3"/>
      <c r="L54" s="3"/>
      <c r="M54" s="3"/>
      <c r="N54" s="4"/>
      <c r="O54" s="18" t="s">
        <v>409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586</v>
      </c>
      <c r="D56" s="3"/>
      <c r="E56" s="3"/>
      <c r="F56" s="17" t="s">
        <v>585</v>
      </c>
      <c r="G56" s="17" t="s">
        <v>584</v>
      </c>
      <c r="H56" s="75" t="s">
        <v>582</v>
      </c>
      <c r="I56" s="40" t="s">
        <v>583</v>
      </c>
      <c r="J56" s="17" t="s">
        <v>589</v>
      </c>
      <c r="K56" s="40" t="s">
        <v>588</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587</v>
      </c>
      <c r="D57" s="3"/>
      <c r="E57" s="3"/>
      <c r="F57" s="17" t="s">
        <v>585</v>
      </c>
      <c r="G57" s="17" t="s">
        <v>584</v>
      </c>
      <c r="H57" s="75" t="s">
        <v>582</v>
      </c>
      <c r="I57" s="40" t="s">
        <v>583</v>
      </c>
      <c r="J57" s="17" t="s">
        <v>589</v>
      </c>
      <c r="K57" s="40" t="s">
        <v>588</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590</v>
      </c>
      <c r="D58" s="3">
        <v>0</v>
      </c>
      <c r="E58" s="3"/>
      <c r="F58" s="38" t="s">
        <v>141</v>
      </c>
      <c r="G58" s="38" t="s">
        <v>429</v>
      </c>
      <c r="H58" s="76" t="s">
        <v>162</v>
      </c>
      <c r="I58" s="76" t="s">
        <v>418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590</v>
      </c>
      <c r="D59" s="3">
        <v>1</v>
      </c>
      <c r="E59" s="3"/>
      <c r="F59" s="38" t="s">
        <v>161</v>
      </c>
      <c r="G59" s="38" t="s">
        <v>429</v>
      </c>
      <c r="H59" s="76" t="s">
        <v>162</v>
      </c>
      <c r="I59" s="76" t="s">
        <v>418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590</v>
      </c>
      <c r="D60" s="3">
        <v>2</v>
      </c>
      <c r="E60" s="3"/>
      <c r="F60" s="76" t="s">
        <v>161</v>
      </c>
      <c r="G60" s="76" t="s">
        <v>419</v>
      </c>
      <c r="H60" s="39" t="s">
        <v>141</v>
      </c>
      <c r="I60" s="39" t="s">
        <v>429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590</v>
      </c>
      <c r="D61" s="3">
        <v>3</v>
      </c>
      <c r="E61" s="3"/>
      <c r="F61" s="76" t="s">
        <v>161</v>
      </c>
      <c r="G61" s="76" t="s">
        <v>419</v>
      </c>
      <c r="H61" s="39" t="s">
        <v>161</v>
      </c>
      <c r="I61" s="39" t="s">
        <v>419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590</v>
      </c>
      <c r="D62" s="3">
        <v>4</v>
      </c>
      <c r="E62" s="3"/>
      <c r="F62" s="38" t="s">
        <v>141</v>
      </c>
      <c r="G62" s="38" t="s">
        <v>429</v>
      </c>
      <c r="H62" s="76" t="s">
        <v>162</v>
      </c>
      <c r="I62" s="76" t="s">
        <v>418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590</v>
      </c>
      <c r="D63" s="3">
        <v>5</v>
      </c>
      <c r="E63" s="3"/>
      <c r="F63" s="38" t="s">
        <v>141</v>
      </c>
      <c r="G63" s="38" t="s">
        <v>429</v>
      </c>
      <c r="H63" s="76" t="s">
        <v>162</v>
      </c>
      <c r="I63" s="76" t="s">
        <v>418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591</v>
      </c>
      <c r="D64" s="3">
        <v>0</v>
      </c>
      <c r="E64" s="3"/>
      <c r="F64" s="38" t="s">
        <v>430</v>
      </c>
      <c r="G64" s="38" t="s">
        <v>431</v>
      </c>
      <c r="H64" s="76" t="s">
        <v>432</v>
      </c>
      <c r="I64" s="76" t="s">
        <v>433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591</v>
      </c>
      <c r="D65" s="3">
        <v>1</v>
      </c>
      <c r="E65" s="3"/>
      <c r="F65" s="38" t="s">
        <v>162</v>
      </c>
      <c r="G65" s="38" t="s">
        <v>431</v>
      </c>
      <c r="H65" s="76" t="s">
        <v>432</v>
      </c>
      <c r="I65" s="76" t="s">
        <v>433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591</v>
      </c>
      <c r="D66" s="3">
        <v>2</v>
      </c>
      <c r="E66" s="3"/>
      <c r="F66" s="76" t="s">
        <v>162</v>
      </c>
      <c r="G66" s="76" t="s">
        <v>420</v>
      </c>
      <c r="H66" s="39" t="s">
        <v>162</v>
      </c>
      <c r="I66" s="39" t="s">
        <v>420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591</v>
      </c>
      <c r="D67" s="3">
        <v>3</v>
      </c>
      <c r="E67" s="3"/>
      <c r="F67" s="76" t="s">
        <v>162</v>
      </c>
      <c r="G67" s="76" t="s">
        <v>420</v>
      </c>
      <c r="H67" s="39" t="s">
        <v>162</v>
      </c>
      <c r="I67" s="39" t="s">
        <v>420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591</v>
      </c>
      <c r="D68" s="3">
        <v>4</v>
      </c>
      <c r="E68" s="3"/>
      <c r="F68" s="38" t="s">
        <v>430</v>
      </c>
      <c r="G68" s="38" t="s">
        <v>431</v>
      </c>
      <c r="H68" s="76" t="s">
        <v>432</v>
      </c>
      <c r="I68" s="76" t="s">
        <v>433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591</v>
      </c>
      <c r="D69" s="3">
        <v>5</v>
      </c>
      <c r="E69" s="3"/>
      <c r="F69" s="38" t="s">
        <v>430</v>
      </c>
      <c r="G69" s="38" t="s">
        <v>431</v>
      </c>
      <c r="H69" s="76" t="s">
        <v>432</v>
      </c>
      <c r="I69" s="76" t="s">
        <v>433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302</v>
      </c>
      <c r="D70" s="3">
        <v>120</v>
      </c>
      <c r="E70" s="3"/>
      <c r="F70" s="76">
        <v>3</v>
      </c>
      <c r="G70" s="39" t="s">
        <v>594</v>
      </c>
      <c r="H70" s="3"/>
      <c r="I70" s="3"/>
      <c r="J70" s="3"/>
      <c r="K70" s="3"/>
      <c r="L70" s="3"/>
      <c r="M70" s="3"/>
      <c r="N70" s="13"/>
      <c r="O70" s="34" t="s">
        <v>439</v>
      </c>
      <c r="Q70" s="111">
        <v>501</v>
      </c>
      <c r="R70" s="111">
        <v>502</v>
      </c>
      <c r="S70" s="1"/>
      <c r="T70" s="1"/>
      <c r="U70" s="1"/>
      <c r="V70" s="1"/>
      <c r="W70" s="1"/>
      <c r="X70" s="1"/>
    </row>
    <row r="71" spans="1:24" ht="15.95" customHeight="1" x14ac:dyDescent="0.2">
      <c r="A71" s="138"/>
      <c r="B71" s="145"/>
      <c r="C71" s="19" t="s">
        <v>302</v>
      </c>
      <c r="D71" s="3">
        <v>34</v>
      </c>
      <c r="E71" s="3"/>
      <c r="F71" s="76">
        <v>3</v>
      </c>
      <c r="G71" s="39" t="s">
        <v>594</v>
      </c>
      <c r="H71" s="3"/>
      <c r="I71" s="3"/>
      <c r="J71" s="3"/>
      <c r="K71" s="3"/>
      <c r="L71" s="3"/>
      <c r="M71" s="3"/>
      <c r="N71" s="13"/>
      <c r="O71" s="34" t="s">
        <v>422</v>
      </c>
      <c r="Q71" s="111">
        <v>501</v>
      </c>
      <c r="R71" s="111">
        <v>502</v>
      </c>
      <c r="S71" s="1"/>
      <c r="T71" s="1"/>
      <c r="U71" s="1"/>
      <c r="V71" s="1"/>
      <c r="W71" s="1"/>
      <c r="X71" s="1"/>
    </row>
    <row r="72" spans="1:24" ht="15.95" customHeight="1" x14ac:dyDescent="0.2">
      <c r="A72" s="138"/>
      <c r="B72" s="145"/>
      <c r="C72" s="19" t="s">
        <v>302</v>
      </c>
      <c r="D72" s="3">
        <v>5</v>
      </c>
      <c r="E72" s="3"/>
      <c r="F72" s="76">
        <v>4</v>
      </c>
      <c r="G72" s="39" t="s">
        <v>595</v>
      </c>
      <c r="H72" s="3"/>
      <c r="I72" s="3"/>
      <c r="J72" s="3"/>
      <c r="K72" s="3"/>
      <c r="L72" s="3"/>
      <c r="M72" s="3"/>
      <c r="N72" s="13"/>
      <c r="O72" s="34" t="s">
        <v>422</v>
      </c>
      <c r="Q72" s="112">
        <v>501</v>
      </c>
      <c r="R72" s="111">
        <v>502</v>
      </c>
      <c r="S72" s="1"/>
      <c r="T72" s="1"/>
      <c r="U72" s="1"/>
      <c r="V72" s="1"/>
      <c r="W72" s="1"/>
      <c r="X72" s="1"/>
    </row>
    <row r="73" spans="1:24" ht="15.95" customHeight="1" x14ac:dyDescent="0.2">
      <c r="A73" s="138"/>
      <c r="B73" s="145"/>
      <c r="C73" s="19" t="s">
        <v>7</v>
      </c>
      <c r="D73" s="3">
        <v>1230</v>
      </c>
      <c r="E73" s="3"/>
      <c r="F73" s="75" t="s">
        <v>989</v>
      </c>
      <c r="G73" s="40" t="s">
        <v>990</v>
      </c>
      <c r="H73" s="40" t="s">
        <v>991</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989</v>
      </c>
      <c r="G74" s="40" t="s">
        <v>990</v>
      </c>
      <c r="H74" s="40" t="s">
        <v>991</v>
      </c>
      <c r="I74" s="3"/>
      <c r="J74" s="3"/>
      <c r="K74" s="3"/>
      <c r="L74" s="3"/>
      <c r="M74" s="3"/>
      <c r="N74" s="13"/>
      <c r="O74" s="18"/>
      <c r="Q74" s="111">
        <v>503</v>
      </c>
      <c r="R74" s="111">
        <v>504</v>
      </c>
      <c r="S74" s="111">
        <v>505</v>
      </c>
      <c r="T74" s="1"/>
      <c r="U74" s="1"/>
      <c r="V74" s="1"/>
      <c r="W74" s="1"/>
      <c r="X74" s="1"/>
    </row>
    <row r="75" spans="1:24" ht="15.95" customHeight="1" x14ac:dyDescent="0.2">
      <c r="A75" s="138"/>
      <c r="B75" s="139" t="s">
        <v>160</v>
      </c>
      <c r="C75" s="19" t="s">
        <v>592</v>
      </c>
      <c r="D75" s="3">
        <v>0</v>
      </c>
      <c r="E75" s="81"/>
      <c r="F75" s="136" t="s">
        <v>563</v>
      </c>
      <c r="G75" s="137"/>
      <c r="H75" s="3"/>
      <c r="I75" s="3"/>
      <c r="J75" s="3"/>
      <c r="K75" s="3"/>
      <c r="L75" s="3"/>
      <c r="M75" s="3"/>
      <c r="N75" s="35"/>
      <c r="O75" s="18" t="s">
        <v>874</v>
      </c>
      <c r="Q75" s="112">
        <v>302</v>
      </c>
      <c r="R75" s="1"/>
      <c r="S75" s="1"/>
      <c r="T75" s="1"/>
      <c r="U75" s="1"/>
      <c r="V75" s="1"/>
      <c r="W75" s="1"/>
      <c r="X75" s="1"/>
    </row>
    <row r="76" spans="1:24" ht="15.95" customHeight="1" x14ac:dyDescent="0.2">
      <c r="A76" s="138"/>
      <c r="B76" s="140"/>
      <c r="C76" s="19" t="s">
        <v>592</v>
      </c>
      <c r="D76" s="3">
        <v>14</v>
      </c>
      <c r="E76" s="81"/>
      <c r="F76" s="134" t="s">
        <v>566</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592</v>
      </c>
      <c r="D77" s="3">
        <v>2</v>
      </c>
      <c r="E77" s="81"/>
      <c r="F77" s="134" t="s">
        <v>567</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592</v>
      </c>
      <c r="D78" s="3">
        <v>35</v>
      </c>
      <c r="E78" s="81"/>
      <c r="F78" s="134" t="s">
        <v>562</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593</v>
      </c>
      <c r="D79" s="3">
        <v>0</v>
      </c>
      <c r="E79" s="81"/>
      <c r="F79" s="136" t="s">
        <v>564</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593</v>
      </c>
      <c r="D80" s="3">
        <v>14</v>
      </c>
      <c r="E80" s="81"/>
      <c r="F80" s="134" t="s">
        <v>565</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593</v>
      </c>
      <c r="D81" s="3">
        <v>2</v>
      </c>
      <c r="E81" s="81"/>
      <c r="F81" s="134" t="s">
        <v>565</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593</v>
      </c>
      <c r="D82" s="3">
        <v>35</v>
      </c>
      <c r="E82" s="81"/>
      <c r="F82" s="134" t="s">
        <v>565</v>
      </c>
      <c r="G82" s="135"/>
      <c r="H82" s="3"/>
      <c r="I82" s="3"/>
      <c r="J82" s="3"/>
      <c r="K82" s="3"/>
      <c r="L82" s="3"/>
      <c r="M82" s="3"/>
      <c r="N82" s="10"/>
      <c r="O82" s="18"/>
      <c r="Q82" s="111">
        <v>303</v>
      </c>
      <c r="R82" s="1"/>
      <c r="S82" s="1"/>
      <c r="T82" s="1"/>
      <c r="U82" s="1"/>
      <c r="V82" s="1"/>
      <c r="W82" s="1"/>
      <c r="X82" s="1"/>
    </row>
    <row r="83" spans="1:24" ht="15.95" customHeight="1" x14ac:dyDescent="0.2">
      <c r="A83" s="138"/>
      <c r="B83" s="139" t="s">
        <v>568</v>
      </c>
      <c r="C83" s="19" t="s">
        <v>753</v>
      </c>
      <c r="D83" s="3">
        <v>104</v>
      </c>
      <c r="E83" s="3"/>
      <c r="F83" s="40" t="s">
        <v>169</v>
      </c>
      <c r="G83" s="75" t="s">
        <v>167</v>
      </c>
      <c r="H83" s="4" t="s">
        <v>168</v>
      </c>
      <c r="I83" s="3"/>
      <c r="J83" s="3"/>
      <c r="K83" s="3"/>
      <c r="L83" s="3"/>
      <c r="M83" s="3"/>
      <c r="N83" s="10"/>
      <c r="O83" s="18" t="s">
        <v>361</v>
      </c>
      <c r="Q83" s="111">
        <v>402</v>
      </c>
      <c r="R83" s="111">
        <v>403</v>
      </c>
      <c r="S83" s="111">
        <v>404</v>
      </c>
      <c r="T83" s="1"/>
      <c r="U83" s="1"/>
      <c r="V83" s="1"/>
      <c r="W83" s="1"/>
      <c r="X83" s="1"/>
    </row>
    <row r="84" spans="1:24" ht="15.95" customHeight="1" x14ac:dyDescent="0.2">
      <c r="A84" s="138"/>
      <c r="B84" s="140"/>
      <c r="C84" s="19" t="s">
        <v>753</v>
      </c>
      <c r="D84" s="3">
        <v>3</v>
      </c>
      <c r="E84" s="3"/>
      <c r="F84" s="41" t="s">
        <v>169</v>
      </c>
      <c r="G84" s="41" t="s">
        <v>167</v>
      </c>
      <c r="H84" s="4" t="s">
        <v>168</v>
      </c>
      <c r="I84" s="3"/>
      <c r="J84" s="3"/>
      <c r="K84" s="3"/>
      <c r="L84" s="3"/>
      <c r="M84" s="3"/>
      <c r="N84" s="10"/>
      <c r="O84" s="18" t="s">
        <v>361</v>
      </c>
      <c r="Q84" s="111">
        <v>402</v>
      </c>
      <c r="R84" s="111">
        <v>403</v>
      </c>
      <c r="S84" s="111">
        <v>404</v>
      </c>
      <c r="T84" s="1"/>
      <c r="U84" s="1"/>
      <c r="V84" s="1"/>
      <c r="W84" s="1"/>
      <c r="X84" s="1"/>
    </row>
    <row r="85" spans="1:24" ht="15.95" customHeight="1" x14ac:dyDescent="0.2">
      <c r="A85" s="138"/>
      <c r="B85" s="140"/>
      <c r="C85" s="19" t="s">
        <v>753</v>
      </c>
      <c r="D85" s="3">
        <v>2</v>
      </c>
      <c r="E85" s="3"/>
      <c r="F85" s="75" t="s">
        <v>169</v>
      </c>
      <c r="G85" s="75" t="s">
        <v>167</v>
      </c>
      <c r="H85" s="4" t="s">
        <v>168</v>
      </c>
      <c r="I85" s="3"/>
      <c r="J85" s="3"/>
      <c r="K85" s="3"/>
      <c r="L85" s="3"/>
      <c r="M85" s="3"/>
      <c r="N85" s="10"/>
      <c r="O85" s="18" t="s">
        <v>361</v>
      </c>
      <c r="Q85" s="111">
        <v>402</v>
      </c>
      <c r="R85" s="111">
        <v>403</v>
      </c>
      <c r="S85" s="111">
        <v>404</v>
      </c>
      <c r="T85" s="1"/>
      <c r="U85" s="1"/>
      <c r="V85" s="1"/>
      <c r="W85" s="1"/>
      <c r="X85" s="1"/>
    </row>
    <row r="86" spans="1:24" ht="15.95" customHeight="1" x14ac:dyDescent="0.2">
      <c r="A86" s="138"/>
      <c r="B86" s="140"/>
      <c r="C86" s="19" t="s">
        <v>754</v>
      </c>
      <c r="D86" s="3">
        <v>23</v>
      </c>
      <c r="E86" s="3"/>
      <c r="F86" s="75" t="s">
        <v>169</v>
      </c>
      <c r="G86" s="75" t="s">
        <v>167</v>
      </c>
      <c r="H86" s="41" t="s">
        <v>168</v>
      </c>
      <c r="I86" s="3"/>
      <c r="J86" s="3"/>
      <c r="K86" s="3"/>
      <c r="L86" s="3"/>
      <c r="M86" s="3"/>
      <c r="N86" s="10"/>
      <c r="O86" s="18" t="s">
        <v>548</v>
      </c>
      <c r="Q86" s="111">
        <v>411</v>
      </c>
      <c r="R86" s="111">
        <v>412</v>
      </c>
      <c r="S86" s="111">
        <v>413</v>
      </c>
      <c r="T86" s="1"/>
      <c r="U86" s="1"/>
      <c r="V86" s="1"/>
      <c r="W86" s="1"/>
      <c r="X86" s="1"/>
    </row>
    <row r="87" spans="1:24" ht="15.95" customHeight="1" x14ac:dyDescent="0.2">
      <c r="A87" s="138"/>
      <c r="B87" s="140"/>
      <c r="C87" s="19" t="s">
        <v>753</v>
      </c>
      <c r="D87" s="3">
        <v>5</v>
      </c>
      <c r="E87" s="3"/>
      <c r="F87" s="75" t="s">
        <v>169</v>
      </c>
      <c r="G87" s="41" t="s">
        <v>167</v>
      </c>
      <c r="H87" s="4" t="s">
        <v>168</v>
      </c>
      <c r="I87" s="3"/>
      <c r="J87" s="3"/>
      <c r="K87" s="3"/>
      <c r="L87" s="3"/>
      <c r="M87" s="3"/>
      <c r="N87" s="13"/>
      <c r="O87" s="18" t="s">
        <v>361</v>
      </c>
      <c r="Q87" s="112">
        <v>402</v>
      </c>
      <c r="R87" s="112">
        <v>403</v>
      </c>
      <c r="S87" s="111">
        <v>404</v>
      </c>
      <c r="T87" s="1"/>
      <c r="U87" s="1"/>
      <c r="V87" s="1"/>
      <c r="W87" s="1"/>
      <c r="X87" s="1"/>
    </row>
    <row r="88" spans="1:24" ht="15.95" customHeight="1" x14ac:dyDescent="0.2">
      <c r="A88" s="138"/>
      <c r="B88" s="140"/>
      <c r="C88" s="19" t="s">
        <v>754</v>
      </c>
      <c r="D88" s="3">
        <v>5</v>
      </c>
      <c r="E88" s="3"/>
      <c r="F88" s="75" t="s">
        <v>169</v>
      </c>
      <c r="G88" s="75" t="s">
        <v>167</v>
      </c>
      <c r="H88" s="41" t="s">
        <v>168</v>
      </c>
      <c r="I88" s="3"/>
      <c r="J88" s="3"/>
      <c r="K88" s="3"/>
      <c r="L88" s="3"/>
      <c r="M88" s="3"/>
      <c r="N88" s="13"/>
      <c r="O88" s="18" t="s">
        <v>548</v>
      </c>
      <c r="Q88" s="111">
        <v>411</v>
      </c>
      <c r="R88" s="111">
        <v>412</v>
      </c>
      <c r="S88" s="111">
        <v>413</v>
      </c>
      <c r="T88" s="1"/>
      <c r="U88" s="1"/>
      <c r="V88" s="1"/>
      <c r="W88" s="1"/>
      <c r="X88" s="1"/>
    </row>
    <row r="89" spans="1:24" ht="15.95" customHeight="1" x14ac:dyDescent="0.2">
      <c r="A89" s="138"/>
      <c r="B89" s="140"/>
      <c r="C89" s="19" t="s">
        <v>553</v>
      </c>
      <c r="D89" s="3"/>
      <c r="E89" s="3"/>
      <c r="F89" s="41" t="s">
        <v>557</v>
      </c>
      <c r="G89" s="41" t="s">
        <v>558</v>
      </c>
      <c r="H89" s="3"/>
      <c r="I89" s="3"/>
      <c r="J89" s="3"/>
      <c r="K89" s="3"/>
      <c r="L89" s="3"/>
      <c r="M89" s="3"/>
      <c r="N89" s="35"/>
      <c r="O89" s="18" t="s">
        <v>440</v>
      </c>
      <c r="Q89" s="112">
        <v>311</v>
      </c>
      <c r="R89" s="111">
        <v>405</v>
      </c>
      <c r="S89" s="1"/>
      <c r="T89" s="1"/>
      <c r="U89" s="1"/>
      <c r="V89" s="1"/>
      <c r="W89" s="1"/>
      <c r="X89" s="1"/>
    </row>
    <row r="90" spans="1:24" ht="15.95" customHeight="1" x14ac:dyDescent="0.2">
      <c r="A90" s="138"/>
      <c r="B90" s="140"/>
      <c r="C90" s="19" t="s">
        <v>554</v>
      </c>
      <c r="D90" s="3"/>
      <c r="E90" s="3"/>
      <c r="F90" s="75" t="s">
        <v>557</v>
      </c>
      <c r="G90" s="75" t="s">
        <v>558</v>
      </c>
      <c r="H90" s="3"/>
      <c r="I90" s="3"/>
      <c r="J90" s="3"/>
      <c r="K90" s="3"/>
      <c r="L90" s="3"/>
      <c r="M90" s="3"/>
      <c r="N90" s="35"/>
      <c r="O90" s="18" t="s">
        <v>440</v>
      </c>
      <c r="Q90" s="111">
        <v>313</v>
      </c>
      <c r="R90" s="111">
        <v>407</v>
      </c>
      <c r="S90" s="1"/>
      <c r="T90" s="1"/>
      <c r="U90" s="1"/>
      <c r="V90" s="1"/>
      <c r="W90" s="1"/>
      <c r="X90" s="1"/>
    </row>
    <row r="91" spans="1:24" ht="15.95" customHeight="1" x14ac:dyDescent="0.2">
      <c r="A91" s="138"/>
      <c r="B91" s="140"/>
      <c r="C91" s="19" t="s">
        <v>555</v>
      </c>
      <c r="D91" s="3"/>
      <c r="E91" s="3"/>
      <c r="F91" s="41" t="s">
        <v>557</v>
      </c>
      <c r="G91" s="41" t="s">
        <v>558</v>
      </c>
      <c r="H91" s="3"/>
      <c r="I91" s="3"/>
      <c r="J91" s="3"/>
      <c r="K91" s="3"/>
      <c r="L91" s="3"/>
      <c r="M91" s="3"/>
      <c r="N91" s="35"/>
      <c r="O91" s="18" t="s">
        <v>440</v>
      </c>
      <c r="Q91" s="111">
        <v>312</v>
      </c>
      <c r="R91" s="111">
        <v>406</v>
      </c>
      <c r="S91" s="1"/>
      <c r="T91" s="1"/>
      <c r="U91" s="1"/>
      <c r="V91" s="1"/>
      <c r="W91" s="1"/>
      <c r="X91" s="1"/>
    </row>
    <row r="92" spans="1:24" ht="15.95" customHeight="1" x14ac:dyDescent="0.2">
      <c r="A92" s="138"/>
      <c r="B92" s="140"/>
      <c r="C92" s="19" t="s">
        <v>556</v>
      </c>
      <c r="D92" s="3"/>
      <c r="E92" s="3"/>
      <c r="F92" s="75" t="s">
        <v>557</v>
      </c>
      <c r="G92" s="75" t="s">
        <v>558</v>
      </c>
      <c r="H92" s="3"/>
      <c r="I92" s="3"/>
      <c r="J92" s="3"/>
      <c r="K92" s="3"/>
      <c r="L92" s="3"/>
      <c r="M92" s="3"/>
      <c r="N92" s="35"/>
      <c r="O92" s="18" t="s">
        <v>440</v>
      </c>
      <c r="Q92" s="111">
        <v>314</v>
      </c>
      <c r="R92" s="111">
        <v>408</v>
      </c>
      <c r="S92" s="1"/>
      <c r="T92" s="1"/>
      <c r="U92" s="1"/>
      <c r="V92" s="1"/>
      <c r="W92" s="1"/>
      <c r="X92" s="1"/>
    </row>
    <row r="93" spans="1:24" ht="15.95" customHeight="1" x14ac:dyDescent="0.2">
      <c r="A93" s="138"/>
      <c r="B93" s="140"/>
      <c r="C93" s="19" t="s">
        <v>549</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550</v>
      </c>
      <c r="D94" s="3"/>
      <c r="E94" s="3"/>
      <c r="F94" s="43" t="s">
        <v>551</v>
      </c>
      <c r="G94" s="44" t="s">
        <v>552</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559</v>
      </c>
      <c r="D95" s="3"/>
      <c r="E95" s="3"/>
      <c r="F95" s="76" t="s">
        <v>445</v>
      </c>
      <c r="G95" s="76" t="s">
        <v>446</v>
      </c>
      <c r="H95" s="3"/>
      <c r="I95" s="3"/>
      <c r="J95" s="3"/>
      <c r="K95" s="3"/>
      <c r="L95" s="3"/>
      <c r="M95" s="3"/>
      <c r="N95" s="10"/>
      <c r="O95" s="18" t="s">
        <v>875</v>
      </c>
      <c r="Q95" s="112">
        <v>70</v>
      </c>
      <c r="R95" s="111">
        <v>71</v>
      </c>
      <c r="S95" s="1"/>
      <c r="T95" s="1"/>
      <c r="U95" s="1"/>
      <c r="V95" s="1"/>
      <c r="W95" s="1"/>
      <c r="X95" s="1"/>
    </row>
    <row r="96" spans="1:24" ht="15.95" customHeight="1" x14ac:dyDescent="0.2">
      <c r="A96" s="138"/>
      <c r="B96" s="140"/>
      <c r="C96" s="19" t="s">
        <v>561</v>
      </c>
      <c r="D96" s="3"/>
      <c r="E96" s="3"/>
      <c r="F96" s="76" t="s">
        <v>904</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560</v>
      </c>
      <c r="D97" s="3"/>
      <c r="E97" s="3"/>
      <c r="F97" s="17" t="s">
        <v>146</v>
      </c>
      <c r="G97" s="76" t="s">
        <v>145</v>
      </c>
      <c r="I97" s="3"/>
      <c r="J97" s="3"/>
      <c r="K97" s="3"/>
      <c r="L97" s="3"/>
      <c r="M97" s="3"/>
      <c r="N97" s="13"/>
      <c r="O97" s="18" t="s">
        <v>876</v>
      </c>
      <c r="Q97" s="111">
        <v>10</v>
      </c>
      <c r="R97" s="112">
        <v>39</v>
      </c>
      <c r="S97" s="1"/>
      <c r="T97" s="1"/>
      <c r="U97" s="1"/>
      <c r="V97" s="1"/>
      <c r="W97" s="1"/>
      <c r="X97" s="1"/>
    </row>
    <row r="98" spans="1:25" ht="15.95" customHeight="1" x14ac:dyDescent="0.2">
      <c r="A98" s="138"/>
      <c r="B98" s="141"/>
      <c r="C98" s="79" t="s">
        <v>182</v>
      </c>
      <c r="D98" s="3"/>
      <c r="E98" s="3"/>
      <c r="F98" s="38" t="s">
        <v>812</v>
      </c>
      <c r="G98" s="52" t="s">
        <v>813</v>
      </c>
      <c r="H98" s="38" t="s">
        <v>814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394</v>
      </c>
      <c r="D99" s="3">
        <v>10</v>
      </c>
      <c r="E99" s="3"/>
      <c r="F99" s="75" t="s">
        <v>547</v>
      </c>
      <c r="G99" s="40" t="s">
        <v>493</v>
      </c>
      <c r="H99" s="3"/>
      <c r="I99" s="3"/>
      <c r="J99" s="3"/>
      <c r="K99" s="3"/>
      <c r="L99" s="3"/>
      <c r="M99" s="3"/>
      <c r="N99" s="4"/>
      <c r="O99" s="18" t="s">
        <v>207</v>
      </c>
      <c r="Q99" s="111">
        <v>2</v>
      </c>
      <c r="R99" s="111">
        <v>31</v>
      </c>
      <c r="S99" s="1"/>
      <c r="T99" s="1"/>
      <c r="U99" s="1"/>
      <c r="V99" s="1"/>
      <c r="W99" s="1"/>
      <c r="X99" s="1"/>
    </row>
    <row r="100" spans="1:25" ht="15.95" customHeight="1" x14ac:dyDescent="0.2">
      <c r="A100" s="138"/>
      <c r="B100" s="140"/>
      <c r="C100" s="19" t="s">
        <v>397</v>
      </c>
      <c r="D100" s="3">
        <v>10</v>
      </c>
      <c r="E100" s="3"/>
      <c r="F100" s="41" t="s">
        <v>547</v>
      </c>
      <c r="G100" s="75" t="s">
        <v>493</v>
      </c>
      <c r="H100" s="3"/>
      <c r="I100" s="37"/>
      <c r="J100" s="3"/>
      <c r="K100" s="3"/>
      <c r="L100" s="3"/>
      <c r="M100" s="3"/>
      <c r="N100" s="35"/>
      <c r="O100" s="18" t="s">
        <v>450</v>
      </c>
      <c r="Q100" s="111">
        <v>371</v>
      </c>
      <c r="R100" s="112">
        <v>372</v>
      </c>
      <c r="S100" s="1"/>
      <c r="T100" s="1"/>
      <c r="U100" s="1"/>
      <c r="V100" s="1"/>
      <c r="W100" s="1"/>
      <c r="X100" s="1"/>
    </row>
    <row r="101" spans="1:25" ht="15.95" customHeight="1" x14ac:dyDescent="0.2">
      <c r="A101" s="138"/>
      <c r="B101" s="140"/>
      <c r="C101" s="19" t="s">
        <v>394</v>
      </c>
      <c r="D101" s="3">
        <v>2345</v>
      </c>
      <c r="E101" s="3"/>
      <c r="F101" s="75" t="s">
        <v>547</v>
      </c>
      <c r="G101" s="40" t="s">
        <v>493</v>
      </c>
      <c r="H101" s="3"/>
      <c r="I101" s="3"/>
      <c r="J101" s="3"/>
      <c r="K101" s="3"/>
      <c r="L101" s="3"/>
      <c r="M101" s="3"/>
      <c r="N101" s="4"/>
      <c r="O101" s="18" t="s">
        <v>447</v>
      </c>
      <c r="Q101" s="111">
        <v>368</v>
      </c>
      <c r="R101" s="111">
        <v>369</v>
      </c>
      <c r="S101" s="1"/>
      <c r="T101" s="1"/>
      <c r="U101" s="1"/>
      <c r="V101" s="1"/>
      <c r="W101" s="1"/>
      <c r="X101" s="1"/>
    </row>
    <row r="102" spans="1:25" ht="15.95" customHeight="1" x14ac:dyDescent="0.2">
      <c r="A102" s="138"/>
      <c r="B102" s="140"/>
      <c r="C102" s="19" t="s">
        <v>395</v>
      </c>
      <c r="D102" s="3">
        <v>2345</v>
      </c>
      <c r="E102" s="3"/>
      <c r="F102" s="75" t="s">
        <v>547</v>
      </c>
      <c r="G102" s="40" t="s">
        <v>493</v>
      </c>
      <c r="H102" s="3"/>
      <c r="I102" s="3"/>
      <c r="J102" s="3"/>
      <c r="K102" s="3"/>
      <c r="L102" s="3"/>
      <c r="M102" s="3"/>
      <c r="N102" s="4"/>
      <c r="O102" s="18" t="s">
        <v>448</v>
      </c>
      <c r="Q102" s="112">
        <v>365</v>
      </c>
      <c r="R102" s="111">
        <v>366</v>
      </c>
      <c r="S102" s="1"/>
      <c r="T102" s="1"/>
      <c r="U102" s="1"/>
      <c r="V102" s="1"/>
      <c r="W102" s="1"/>
      <c r="X102" s="1"/>
    </row>
    <row r="103" spans="1:25" ht="15.95" customHeight="1" x14ac:dyDescent="0.2">
      <c r="A103" s="138"/>
      <c r="B103" s="140"/>
      <c r="C103" s="19" t="s">
        <v>396</v>
      </c>
      <c r="D103" s="3">
        <v>2345</v>
      </c>
      <c r="E103" s="3"/>
      <c r="F103" s="75" t="s">
        <v>547</v>
      </c>
      <c r="G103" s="40" t="s">
        <v>493</v>
      </c>
      <c r="H103" s="3"/>
      <c r="I103" s="3"/>
      <c r="J103" s="3"/>
      <c r="K103" s="3"/>
      <c r="L103" s="3"/>
      <c r="M103" s="3"/>
      <c r="N103" s="4"/>
      <c r="O103" s="18" t="s">
        <v>449</v>
      </c>
      <c r="Q103" s="111">
        <v>360</v>
      </c>
      <c r="R103" s="112">
        <v>361</v>
      </c>
      <c r="S103" s="1"/>
      <c r="T103" s="1"/>
      <c r="U103" s="1"/>
      <c r="V103" s="1"/>
      <c r="W103" s="1"/>
      <c r="X103" s="1"/>
    </row>
    <row r="104" spans="1:25" ht="15.95" customHeight="1" x14ac:dyDescent="0.2">
      <c r="A104" s="138"/>
      <c r="B104" s="140"/>
      <c r="C104" s="19" t="s">
        <v>397</v>
      </c>
      <c r="D104" s="3">
        <v>2345</v>
      </c>
      <c r="E104" s="3"/>
      <c r="F104" s="41" t="s">
        <v>547</v>
      </c>
      <c r="G104" s="75" t="s">
        <v>493</v>
      </c>
      <c r="H104" s="3"/>
      <c r="I104" s="37"/>
      <c r="J104" s="3"/>
      <c r="K104" s="3"/>
      <c r="L104" s="3"/>
      <c r="M104" s="3"/>
      <c r="N104" s="35"/>
      <c r="O104" s="18" t="s">
        <v>195</v>
      </c>
      <c r="Q104" s="111">
        <v>18</v>
      </c>
      <c r="R104" s="111">
        <v>19</v>
      </c>
      <c r="S104" s="1"/>
      <c r="T104" s="1"/>
      <c r="U104" s="1"/>
      <c r="V104" s="1"/>
      <c r="W104" s="1"/>
      <c r="X104" s="1"/>
    </row>
    <row r="105" spans="1:25" ht="15.95" customHeight="1" x14ac:dyDescent="0.2">
      <c r="A105" s="138"/>
      <c r="B105" s="141"/>
      <c r="C105" s="19" t="s">
        <v>398</v>
      </c>
      <c r="D105" s="3">
        <v>2345</v>
      </c>
      <c r="E105" s="3"/>
      <c r="F105" s="41" t="s">
        <v>547</v>
      </c>
      <c r="G105" s="75" t="s">
        <v>493</v>
      </c>
      <c r="H105" s="3"/>
      <c r="I105" s="37"/>
      <c r="J105" s="3"/>
      <c r="K105" s="3"/>
      <c r="L105" s="3"/>
      <c r="M105" s="3"/>
      <c r="N105" s="35"/>
      <c r="O105" s="18" t="s">
        <v>196</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362</v>
      </c>
      <c r="Q106" s="111">
        <v>67</v>
      </c>
      <c r="R106" s="111">
        <v>68</v>
      </c>
      <c r="S106" s="112">
        <v>69</v>
      </c>
      <c r="T106" s="110"/>
      <c r="U106" s="1"/>
      <c r="V106" s="1"/>
      <c r="W106" s="1"/>
      <c r="X106" s="1"/>
    </row>
    <row r="107" spans="1:25" ht="15.95" customHeight="1" x14ac:dyDescent="0.2">
      <c r="A107" s="138"/>
      <c r="B107" s="140"/>
      <c r="C107" s="19" t="s">
        <v>655</v>
      </c>
      <c r="D107" s="3"/>
      <c r="E107" s="3"/>
      <c r="F107" s="75" t="s">
        <v>905</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967</v>
      </c>
      <c r="D108" s="3"/>
      <c r="E108" s="3"/>
      <c r="F108" s="75" t="s">
        <v>906</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676</v>
      </c>
      <c r="D109" s="3"/>
      <c r="E109" s="3"/>
      <c r="F109" s="76" t="s">
        <v>678</v>
      </c>
      <c r="G109" s="39" t="s">
        <v>677</v>
      </c>
      <c r="H109" s="3"/>
      <c r="I109" s="3"/>
      <c r="J109" s="3"/>
      <c r="K109" s="3"/>
      <c r="L109" s="3"/>
      <c r="M109" s="3"/>
      <c r="N109" s="13"/>
      <c r="O109" s="18" t="s">
        <v>877</v>
      </c>
      <c r="Q109" s="113">
        <v>524</v>
      </c>
      <c r="R109" s="112">
        <v>526</v>
      </c>
      <c r="S109" s="1"/>
      <c r="T109" s="1"/>
      <c r="U109" s="110"/>
      <c r="V109" s="1"/>
      <c r="W109" s="1"/>
      <c r="X109" s="1"/>
    </row>
    <row r="110" spans="1:25" ht="15.95" customHeight="1" x14ac:dyDescent="0.2">
      <c r="A110" s="138"/>
      <c r="B110" s="140"/>
      <c r="C110" s="19" t="s">
        <v>226</v>
      </c>
      <c r="D110" s="3">
        <v>0</v>
      </c>
      <c r="E110" s="3"/>
      <c r="F110" s="39" t="s">
        <v>147</v>
      </c>
      <c r="G110" s="76" t="s">
        <v>178</v>
      </c>
      <c r="H110" s="76" t="s">
        <v>389</v>
      </c>
      <c r="I110" s="38" t="s">
        <v>188</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226</v>
      </c>
      <c r="D111" s="3">
        <v>1</v>
      </c>
      <c r="E111" s="3"/>
      <c r="F111" s="39" t="s">
        <v>147</v>
      </c>
      <c r="G111" s="76" t="s">
        <v>178</v>
      </c>
      <c r="H111" s="76" t="s">
        <v>389</v>
      </c>
      <c r="I111" s="38" t="s">
        <v>188</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226</v>
      </c>
      <c r="D112" s="3">
        <v>2</v>
      </c>
      <c r="E112" s="3"/>
      <c r="F112" s="39" t="s">
        <v>147</v>
      </c>
      <c r="G112" s="76" t="s">
        <v>183</v>
      </c>
      <c r="H112" s="76" t="s">
        <v>389</v>
      </c>
      <c r="I112" s="38" t="s">
        <v>151</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226</v>
      </c>
      <c r="D113" s="3">
        <v>3</v>
      </c>
      <c r="E113" s="3"/>
      <c r="F113" s="39" t="s">
        <v>147</v>
      </c>
      <c r="G113" s="76" t="s">
        <v>308</v>
      </c>
      <c r="H113" s="76" t="s">
        <v>469</v>
      </c>
      <c r="I113" s="38" t="s">
        <v>309</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226</v>
      </c>
      <c r="D114" s="3">
        <v>4</v>
      </c>
      <c r="E114" s="3"/>
      <c r="F114" s="39" t="s">
        <v>147</v>
      </c>
      <c r="G114" s="76" t="s">
        <v>178</v>
      </c>
      <c r="H114" s="76" t="s">
        <v>389</v>
      </c>
      <c r="I114" s="38" t="s">
        <v>188</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226</v>
      </c>
      <c r="D115" s="3">
        <v>5</v>
      </c>
      <c r="E115" s="3"/>
      <c r="F115" s="39" t="s">
        <v>147</v>
      </c>
      <c r="G115" s="76" t="s">
        <v>308</v>
      </c>
      <c r="H115" s="76" t="s">
        <v>390</v>
      </c>
      <c r="I115" s="38" t="s">
        <v>309</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138</v>
      </c>
      <c r="D116" s="3"/>
      <c r="E116" s="3"/>
      <c r="F116" s="38" t="s">
        <v>316</v>
      </c>
      <c r="G116" s="38" t="s">
        <v>317</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650</v>
      </c>
      <c r="C117" s="19" t="s">
        <v>543</v>
      </c>
      <c r="D117" s="3"/>
      <c r="E117" s="3"/>
      <c r="F117" s="75" t="s">
        <v>544</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545</v>
      </c>
      <c r="D118" s="3"/>
      <c r="E118" s="3"/>
      <c r="F118" s="38" t="s">
        <v>187</v>
      </c>
      <c r="G118" s="38" t="s">
        <v>186</v>
      </c>
      <c r="H118" s="75" t="s">
        <v>762</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546</v>
      </c>
      <c r="D119" s="3"/>
      <c r="E119" s="3"/>
      <c r="F119" s="41" t="s">
        <v>184</v>
      </c>
      <c r="G119" s="3"/>
      <c r="H119" s="3"/>
      <c r="I119" s="3"/>
      <c r="J119" s="3"/>
      <c r="K119" s="3"/>
      <c r="L119" s="3"/>
      <c r="M119" s="3"/>
      <c r="N119" s="13"/>
      <c r="O119" s="18" t="s">
        <v>773</v>
      </c>
      <c r="Q119" s="112">
        <v>199</v>
      </c>
      <c r="R119" s="1"/>
      <c r="S119" s="1"/>
      <c r="T119" s="1"/>
      <c r="U119" s="1"/>
      <c r="V119" s="1"/>
      <c r="W119" s="1"/>
      <c r="X119" s="1"/>
    </row>
    <row r="120" spans="1:25" x14ac:dyDescent="0.2">
      <c r="A120" s="138"/>
      <c r="B120" s="140"/>
      <c r="C120" s="87" t="s">
        <v>968</v>
      </c>
      <c r="D120" s="3">
        <v>12350</v>
      </c>
      <c r="E120" s="3"/>
      <c r="F120" s="75" t="s">
        <v>970</v>
      </c>
      <c r="G120" s="3"/>
      <c r="H120" s="3"/>
      <c r="I120" s="3"/>
      <c r="J120" s="3"/>
      <c r="K120" s="3"/>
      <c r="L120" s="3"/>
      <c r="M120" s="3"/>
      <c r="N120" s="4"/>
      <c r="O120" s="18" t="s">
        <v>756</v>
      </c>
      <c r="Q120" s="112">
        <v>201</v>
      </c>
      <c r="R120" s="1"/>
      <c r="S120" s="1"/>
      <c r="T120" s="1"/>
      <c r="U120" s="1"/>
      <c r="V120" s="1"/>
      <c r="W120" s="1"/>
      <c r="X120" s="1"/>
    </row>
    <row r="121" spans="1:25" x14ac:dyDescent="0.2">
      <c r="A121" s="138"/>
      <c r="B121" s="140"/>
      <c r="C121" s="87" t="s">
        <v>969</v>
      </c>
      <c r="D121" s="3">
        <v>12350</v>
      </c>
      <c r="E121" s="3"/>
      <c r="F121" s="75" t="s">
        <v>971</v>
      </c>
      <c r="G121" s="3"/>
      <c r="H121" s="3"/>
      <c r="I121" s="3"/>
      <c r="J121" s="3"/>
      <c r="K121" s="3"/>
      <c r="L121" s="3"/>
      <c r="M121" s="3"/>
      <c r="N121" s="4"/>
      <c r="O121" s="18" t="s">
        <v>757</v>
      </c>
      <c r="Q121" s="112">
        <v>202</v>
      </c>
      <c r="R121" s="1"/>
      <c r="S121" s="1"/>
      <c r="T121" s="1"/>
      <c r="U121" s="1"/>
      <c r="V121" s="1"/>
      <c r="W121" s="1"/>
      <c r="X121" s="1"/>
    </row>
    <row r="122" spans="1:25" x14ac:dyDescent="0.2">
      <c r="A122" s="138"/>
      <c r="B122" s="140"/>
      <c r="C122" s="83" t="s">
        <v>679</v>
      </c>
      <c r="D122" s="3"/>
      <c r="E122" s="3"/>
      <c r="F122" s="40" t="s">
        <v>907</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467</v>
      </c>
      <c r="D123" s="3"/>
      <c r="E123" s="3"/>
      <c r="F123" s="40" t="s">
        <v>56</v>
      </c>
      <c r="G123" s="40" t="s">
        <v>57</v>
      </c>
      <c r="H123" s="3"/>
      <c r="I123" s="3"/>
      <c r="J123" s="3"/>
      <c r="K123" s="3"/>
      <c r="L123" s="3"/>
      <c r="M123" s="3"/>
      <c r="N123" s="35"/>
      <c r="O123" s="18" t="s">
        <v>369</v>
      </c>
      <c r="Q123" s="112">
        <v>152</v>
      </c>
      <c r="R123" s="112">
        <v>153</v>
      </c>
      <c r="S123" s="1"/>
      <c r="T123" s="1"/>
      <c r="U123" s="1"/>
      <c r="V123" s="1"/>
      <c r="W123" s="1"/>
      <c r="X123" s="1"/>
    </row>
    <row r="124" spans="1:25" x14ac:dyDescent="0.2">
      <c r="A124" s="138"/>
      <c r="B124" s="140"/>
      <c r="C124" s="19" t="s">
        <v>468</v>
      </c>
      <c r="D124" s="3"/>
      <c r="E124" s="3"/>
      <c r="F124" s="75" t="s">
        <v>56</v>
      </c>
      <c r="G124" s="75" t="s">
        <v>57</v>
      </c>
      <c r="H124" s="3"/>
      <c r="I124" s="3"/>
      <c r="J124" s="3"/>
      <c r="K124" s="3"/>
      <c r="L124" s="3"/>
      <c r="M124" s="3"/>
      <c r="N124" s="10"/>
      <c r="O124" s="18" t="s">
        <v>809</v>
      </c>
      <c r="Q124" s="112">
        <v>158</v>
      </c>
      <c r="R124" s="112">
        <v>159</v>
      </c>
      <c r="S124" s="1"/>
      <c r="T124" s="1"/>
      <c r="U124" s="1"/>
      <c r="V124" s="1"/>
      <c r="W124" s="1"/>
      <c r="X124" s="1"/>
    </row>
    <row r="125" spans="1:25" x14ac:dyDescent="0.2">
      <c r="A125" s="138"/>
      <c r="B125" s="140"/>
      <c r="C125" s="19" t="s">
        <v>405</v>
      </c>
      <c r="D125" s="3"/>
      <c r="E125" s="3"/>
      <c r="F125" s="75" t="s">
        <v>58</v>
      </c>
      <c r="G125" s="40" t="s">
        <v>59</v>
      </c>
      <c r="H125" s="40" t="s">
        <v>60</v>
      </c>
      <c r="I125" s="40" t="s">
        <v>61</v>
      </c>
      <c r="J125" s="23" t="s">
        <v>438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650</v>
      </c>
      <c r="C126" s="19" t="s">
        <v>791</v>
      </c>
      <c r="D126" s="3"/>
      <c r="E126" s="3"/>
      <c r="F126" s="40" t="s">
        <v>56</v>
      </c>
      <c r="G126" s="40" t="s">
        <v>57</v>
      </c>
      <c r="H126" s="3"/>
      <c r="I126" s="3"/>
      <c r="J126" s="3"/>
      <c r="K126" s="3"/>
      <c r="L126" s="3"/>
      <c r="M126" s="3"/>
      <c r="N126" s="13"/>
      <c r="O126" s="18" t="s">
        <v>737</v>
      </c>
      <c r="Q126" s="114">
        <v>377</v>
      </c>
      <c r="R126" s="114">
        <v>378</v>
      </c>
      <c r="S126" s="1"/>
      <c r="T126" s="1"/>
      <c r="U126" s="1"/>
      <c r="V126" s="1"/>
      <c r="W126" s="1"/>
      <c r="X126" s="1"/>
    </row>
    <row r="127" spans="1:25" ht="12.75" customHeight="1" x14ac:dyDescent="0.2">
      <c r="A127" s="144"/>
      <c r="B127" s="141"/>
      <c r="C127" s="19" t="s">
        <v>792</v>
      </c>
      <c r="D127" s="3"/>
      <c r="E127" s="3"/>
      <c r="F127" s="75" t="s">
        <v>56</v>
      </c>
      <c r="G127" s="75" t="s">
        <v>57</v>
      </c>
      <c r="H127" s="3"/>
      <c r="I127" s="3"/>
      <c r="J127" s="3"/>
      <c r="K127" s="3"/>
      <c r="L127" s="3"/>
      <c r="M127" s="3"/>
      <c r="N127" s="13"/>
      <c r="O127" s="18" t="s">
        <v>737</v>
      </c>
      <c r="Q127" s="114">
        <v>164</v>
      </c>
      <c r="R127" s="114">
        <v>165</v>
      </c>
      <c r="S127" s="1"/>
      <c r="T127" s="1"/>
      <c r="U127" s="1"/>
      <c r="V127" s="1"/>
      <c r="W127" s="1"/>
      <c r="X127" s="1"/>
    </row>
    <row r="128" spans="1:25" ht="13.15" customHeight="1" x14ac:dyDescent="0.2">
      <c r="A128" s="144"/>
      <c r="B128" s="145" t="s">
        <v>13</v>
      </c>
      <c r="C128" s="19" t="s">
        <v>523</v>
      </c>
      <c r="D128" s="3"/>
      <c r="E128" s="3"/>
      <c r="F128" s="38" t="s">
        <v>323</v>
      </c>
      <c r="G128" s="38" t="s">
        <v>324</v>
      </c>
      <c r="H128" s="38" t="s">
        <v>325</v>
      </c>
      <c r="I128" s="3"/>
      <c r="J128" s="3"/>
      <c r="K128" s="3"/>
      <c r="L128" s="3"/>
      <c r="M128" s="3"/>
      <c r="N128" s="10"/>
      <c r="O128" s="18" t="s">
        <v>878</v>
      </c>
      <c r="Q128" s="112">
        <v>17</v>
      </c>
      <c r="R128" s="115">
        <v>428</v>
      </c>
      <c r="S128" s="115">
        <v>429</v>
      </c>
      <c r="T128" s="1"/>
      <c r="U128" s="1"/>
      <c r="V128" s="1"/>
      <c r="W128" s="1"/>
      <c r="X128" s="1"/>
    </row>
    <row r="129" spans="1:24" x14ac:dyDescent="0.2">
      <c r="A129" s="144"/>
      <c r="B129" s="145"/>
      <c r="C129" s="19" t="s">
        <v>524</v>
      </c>
      <c r="D129" s="3"/>
      <c r="E129" s="3"/>
      <c r="F129" s="38" t="s">
        <v>326</v>
      </c>
      <c r="G129" s="38" t="s">
        <v>327</v>
      </c>
      <c r="H129" s="38" t="s">
        <v>328</v>
      </c>
      <c r="I129" s="3"/>
      <c r="J129" s="3"/>
      <c r="K129" s="3"/>
      <c r="L129" s="3"/>
      <c r="M129" s="3"/>
      <c r="N129" s="13"/>
      <c r="O129" s="18" t="s">
        <v>879</v>
      </c>
      <c r="Q129" s="115">
        <v>20</v>
      </c>
      <c r="R129" s="112">
        <v>430</v>
      </c>
      <c r="S129" s="115">
        <v>431</v>
      </c>
      <c r="T129" s="1"/>
      <c r="U129" s="1"/>
      <c r="V129" s="1"/>
      <c r="W129" s="1"/>
      <c r="X129" s="1"/>
    </row>
    <row r="130" spans="1:24" ht="15.95" customHeight="1" x14ac:dyDescent="0.2">
      <c r="A130" s="144"/>
      <c r="B130" s="145"/>
      <c r="C130" s="19" t="s">
        <v>526</v>
      </c>
      <c r="D130" s="3"/>
      <c r="E130" s="3"/>
      <c r="F130" s="38" t="s">
        <v>525</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731</v>
      </c>
      <c r="D131" s="3"/>
      <c r="E131" s="3"/>
      <c r="F131" s="40" t="s">
        <v>908</v>
      </c>
      <c r="G131" s="3"/>
      <c r="H131" s="3"/>
      <c r="I131" s="3"/>
      <c r="J131" s="3"/>
      <c r="K131" s="3"/>
      <c r="L131" s="3"/>
      <c r="M131" s="3"/>
      <c r="N131" s="10"/>
      <c r="O131" s="18" t="s">
        <v>735</v>
      </c>
      <c r="Q131" s="112">
        <v>555</v>
      </c>
      <c r="R131" s="1"/>
      <c r="S131" s="1"/>
      <c r="T131" s="1"/>
      <c r="U131" s="1"/>
      <c r="V131" s="1"/>
      <c r="W131" s="1"/>
      <c r="X131" s="1"/>
    </row>
    <row r="132" spans="1:24" ht="15.95" customHeight="1" x14ac:dyDescent="0.2">
      <c r="A132" s="144"/>
      <c r="B132" s="145"/>
      <c r="C132" s="20" t="s">
        <v>736</v>
      </c>
      <c r="D132" s="3"/>
      <c r="E132" s="3"/>
      <c r="F132" s="40" t="s">
        <v>909</v>
      </c>
      <c r="G132" s="3"/>
      <c r="H132" s="3"/>
      <c r="I132" s="3"/>
      <c r="J132" s="3"/>
      <c r="K132" s="3"/>
      <c r="L132" s="3"/>
      <c r="M132" s="3"/>
      <c r="N132" s="10"/>
      <c r="O132" s="18" t="s">
        <v>794</v>
      </c>
      <c r="Q132" s="112">
        <v>558</v>
      </c>
      <c r="R132" s="1"/>
      <c r="S132" s="1"/>
      <c r="T132" s="1"/>
      <c r="U132" s="1"/>
      <c r="V132" s="1"/>
      <c r="W132" s="1"/>
      <c r="X132" s="1"/>
    </row>
    <row r="133" spans="1:24" ht="15.95" customHeight="1" x14ac:dyDescent="0.2">
      <c r="A133" s="144"/>
      <c r="B133" s="145"/>
      <c r="C133" s="20" t="s">
        <v>734</v>
      </c>
      <c r="D133" s="3"/>
      <c r="E133" s="3"/>
      <c r="F133" s="75" t="s">
        <v>943</v>
      </c>
      <c r="G133" s="75" t="s">
        <v>810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944</v>
      </c>
      <c r="D134" s="3"/>
      <c r="E134" s="3"/>
      <c r="F134" s="75" t="s">
        <v>945</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400</v>
      </c>
      <c r="D135" s="3"/>
      <c r="E135" s="3"/>
      <c r="F135" s="75" t="s">
        <v>730</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527</v>
      </c>
      <c r="D136" s="3"/>
      <c r="E136" s="3"/>
      <c r="F136" s="75" t="s">
        <v>528</v>
      </c>
      <c r="G136" s="75" t="s">
        <v>529</v>
      </c>
      <c r="H136" s="40" t="s">
        <v>399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867</v>
      </c>
      <c r="D137" s="3"/>
      <c r="E137" s="3" t="s">
        <v>692</v>
      </c>
      <c r="F137" s="75" t="s">
        <v>910</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867</v>
      </c>
      <c r="D138" s="3"/>
      <c r="E138" s="3" t="s">
        <v>35</v>
      </c>
      <c r="F138" s="75" t="s">
        <v>910</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530</v>
      </c>
      <c r="D139" s="3"/>
      <c r="E139" s="3"/>
      <c r="F139" s="75" t="s">
        <v>531</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855</v>
      </c>
      <c r="D140" s="3"/>
      <c r="E140" s="3"/>
      <c r="F140" s="77" t="s">
        <v>856</v>
      </c>
      <c r="G140" s="77" t="s">
        <v>854</v>
      </c>
      <c r="H140" s="77" t="s">
        <v>853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331</v>
      </c>
      <c r="D141" s="3"/>
      <c r="E141" s="3"/>
      <c r="F141" s="17" t="s">
        <v>363</v>
      </c>
      <c r="G141" s="36" t="s">
        <v>332</v>
      </c>
      <c r="H141" s="36" t="s">
        <v>333</v>
      </c>
      <c r="I141" s="43" t="s">
        <v>334</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538</v>
      </c>
      <c r="D142" s="3"/>
      <c r="E142" s="3"/>
      <c r="F142" s="41" t="s">
        <v>541</v>
      </c>
      <c r="G142" s="77" t="s">
        <v>540</v>
      </c>
      <c r="H142" s="75" t="s">
        <v>542</v>
      </c>
      <c r="I142" s="3"/>
      <c r="J142" s="3"/>
      <c r="K142" s="3"/>
      <c r="L142" s="3"/>
      <c r="M142" s="3"/>
      <c r="N142" s="4"/>
      <c r="O142" s="18" t="s">
        <v>919</v>
      </c>
      <c r="Q142" s="112">
        <v>418</v>
      </c>
      <c r="R142" s="112">
        <v>99</v>
      </c>
      <c r="S142" s="112">
        <v>321</v>
      </c>
      <c r="T142" s="1"/>
      <c r="U142" s="1"/>
      <c r="V142" s="1"/>
      <c r="W142" s="1"/>
      <c r="X142" s="1"/>
    </row>
    <row r="143" spans="1:24" ht="13.15" customHeight="1" x14ac:dyDescent="0.2">
      <c r="A143" s="144"/>
      <c r="B143" s="140" t="s">
        <v>41</v>
      </c>
      <c r="C143" s="20" t="s">
        <v>793</v>
      </c>
      <c r="D143" s="3"/>
      <c r="E143" s="3"/>
      <c r="F143" s="75" t="s">
        <v>911</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486</v>
      </c>
      <c r="D144" s="3"/>
      <c r="E144" s="3" t="s">
        <v>626</v>
      </c>
      <c r="F144" s="75" t="s">
        <v>912</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486</v>
      </c>
      <c r="D145" s="3"/>
      <c r="E145" s="3" t="s">
        <v>636</v>
      </c>
      <c r="F145" s="75" t="s">
        <v>912</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486</v>
      </c>
      <c r="D146" s="3"/>
      <c r="E146" s="3" t="s">
        <v>637</v>
      </c>
      <c r="F146" s="41" t="s">
        <v>912</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485</v>
      </c>
      <c r="D147" s="3"/>
      <c r="E147" s="3"/>
      <c r="F147" s="41" t="s">
        <v>913</v>
      </c>
      <c r="G147" s="3"/>
      <c r="H147" s="3"/>
      <c r="I147" s="3"/>
      <c r="J147" s="3"/>
      <c r="K147" s="3"/>
      <c r="L147" s="3"/>
      <c r="M147" s="3"/>
      <c r="N147" s="35"/>
      <c r="O147" s="34" t="s">
        <v>203</v>
      </c>
      <c r="Q147" s="110">
        <v>325</v>
      </c>
      <c r="R147" s="1"/>
      <c r="S147" s="110"/>
      <c r="T147" s="110"/>
      <c r="U147" s="110"/>
      <c r="V147" s="110"/>
      <c r="W147" s="1"/>
      <c r="X147" s="1"/>
    </row>
    <row r="148" spans="1:24" x14ac:dyDescent="0.2">
      <c r="A148" s="144"/>
      <c r="B148" s="140"/>
      <c r="C148" s="19" t="s">
        <v>516</v>
      </c>
      <c r="D148" s="3"/>
      <c r="E148" s="3"/>
      <c r="F148" s="41" t="s">
        <v>913</v>
      </c>
      <c r="G148" s="3"/>
      <c r="H148" s="3"/>
      <c r="I148" s="3"/>
      <c r="J148" s="3"/>
      <c r="K148" s="3"/>
      <c r="L148" s="3"/>
      <c r="M148" s="3"/>
      <c r="N148" s="35"/>
      <c r="O148" s="18" t="s">
        <v>203</v>
      </c>
      <c r="Q148" s="110">
        <v>326</v>
      </c>
      <c r="R148" s="110"/>
      <c r="S148" s="110"/>
      <c r="T148" s="110"/>
      <c r="U148" s="110"/>
      <c r="V148" s="110"/>
      <c r="W148" s="1"/>
      <c r="X148" s="1"/>
    </row>
    <row r="149" spans="1:24" x14ac:dyDescent="0.2">
      <c r="A149" s="144"/>
      <c r="B149" s="140"/>
      <c r="C149" s="84" t="s">
        <v>484</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484</v>
      </c>
      <c r="D150" s="3"/>
      <c r="E150" s="3" t="s">
        <v>624</v>
      </c>
      <c r="F150" s="75" t="s">
        <v>175</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484</v>
      </c>
      <c r="D151" s="3"/>
      <c r="E151" s="3" t="s">
        <v>625</v>
      </c>
      <c r="F151" s="75" t="s">
        <v>175</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515</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515</v>
      </c>
      <c r="D153" s="3"/>
      <c r="E153" s="3" t="s">
        <v>624</v>
      </c>
      <c r="F153" s="75" t="s">
        <v>175</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515</v>
      </c>
      <c r="D154" s="3"/>
      <c r="E154" s="3" t="s">
        <v>625</v>
      </c>
      <c r="F154" s="75" t="s">
        <v>175</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868</v>
      </c>
      <c r="D155" s="3"/>
      <c r="E155" s="3"/>
      <c r="F155" s="4" t="s">
        <v>98</v>
      </c>
      <c r="G155" s="4" t="s">
        <v>199</v>
      </c>
      <c r="H155" s="4" t="s">
        <v>784</v>
      </c>
      <c r="I155" s="40" t="s">
        <v>39</v>
      </c>
      <c r="J155" s="75" t="s">
        <v>209</v>
      </c>
      <c r="K155" s="75" t="s">
        <v>783</v>
      </c>
      <c r="L155" s="3"/>
      <c r="M155" s="3"/>
      <c r="N155" s="13"/>
      <c r="O155" s="18" t="s">
        <v>870</v>
      </c>
      <c r="Q155" s="112">
        <v>248</v>
      </c>
      <c r="R155" s="112">
        <v>376</v>
      </c>
      <c r="S155" s="112">
        <v>249</v>
      </c>
      <c r="T155" s="112">
        <v>316</v>
      </c>
      <c r="U155" s="112">
        <v>385</v>
      </c>
      <c r="V155" s="112">
        <v>250</v>
      </c>
      <c r="W155" s="1"/>
      <c r="X155" s="1"/>
    </row>
    <row r="156" spans="1:24" x14ac:dyDescent="0.2">
      <c r="A156" s="144"/>
      <c r="B156" s="140"/>
      <c r="C156" s="19" t="s">
        <v>869</v>
      </c>
      <c r="D156" s="3"/>
      <c r="E156" s="3"/>
      <c r="F156" s="4" t="s">
        <v>98</v>
      </c>
      <c r="G156" s="4" t="s">
        <v>199</v>
      </c>
      <c r="H156" s="4" t="s">
        <v>784</v>
      </c>
      <c r="I156" s="40" t="s">
        <v>39</v>
      </c>
      <c r="J156" s="75" t="s">
        <v>209</v>
      </c>
      <c r="K156" s="75" t="s">
        <v>783</v>
      </c>
      <c r="L156" s="3"/>
      <c r="M156" s="3"/>
      <c r="N156" s="13"/>
      <c r="O156" s="18" t="s">
        <v>871</v>
      </c>
      <c r="Q156" s="112">
        <v>484</v>
      </c>
      <c r="R156" s="112">
        <v>485</v>
      </c>
      <c r="S156" s="112">
        <v>488</v>
      </c>
      <c r="T156" s="112">
        <v>490</v>
      </c>
      <c r="U156" s="112">
        <v>491</v>
      </c>
      <c r="V156" s="112">
        <v>492</v>
      </c>
      <c r="W156" s="1"/>
      <c r="X156" s="1"/>
    </row>
    <row r="157" spans="1:24" x14ac:dyDescent="0.2">
      <c r="A157" s="144"/>
      <c r="B157" s="140"/>
      <c r="C157" s="19" t="s">
        <v>43</v>
      </c>
      <c r="D157" s="3"/>
      <c r="E157" s="3"/>
      <c r="F157" s="75" t="s">
        <v>499</v>
      </c>
      <c r="G157" s="75" t="s">
        <v>518</v>
      </c>
      <c r="H157" s="4" t="s">
        <v>519</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860</v>
      </c>
      <c r="D158" s="3"/>
      <c r="E158" s="3"/>
      <c r="F158" s="78" t="s">
        <v>412</v>
      </c>
      <c r="G158" s="78" t="s">
        <v>413</v>
      </c>
      <c r="H158" s="78" t="s">
        <v>865</v>
      </c>
      <c r="I158" s="75" t="s">
        <v>866</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808</v>
      </c>
      <c r="D159" s="3"/>
      <c r="E159" s="3"/>
      <c r="F159" s="4" t="s">
        <v>412</v>
      </c>
      <c r="G159" s="75" t="s">
        <v>413</v>
      </c>
      <c r="H159" s="78" t="s">
        <v>865</v>
      </c>
      <c r="I159" s="75" t="s">
        <v>866</v>
      </c>
      <c r="J159" s="3"/>
      <c r="K159" s="3"/>
      <c r="L159" s="3"/>
      <c r="M159" s="3"/>
      <c r="N159" s="35"/>
      <c r="O159" s="18"/>
      <c r="Q159" s="114">
        <v>72</v>
      </c>
      <c r="R159" s="114">
        <v>73</v>
      </c>
      <c r="S159" s="114">
        <v>76</v>
      </c>
      <c r="T159" s="114">
        <v>167</v>
      </c>
      <c r="U159" s="1"/>
      <c r="V159" s="1"/>
      <c r="W159" s="1"/>
      <c r="X159" s="1"/>
    </row>
    <row r="160" spans="1:24" x14ac:dyDescent="0.2">
      <c r="A160" s="144"/>
      <c r="B160" s="141"/>
      <c r="C160" s="19" t="s">
        <v>861</v>
      </c>
      <c r="D160" s="3"/>
      <c r="E160" s="3"/>
      <c r="F160" s="4" t="s">
        <v>412</v>
      </c>
      <c r="G160" s="75" t="s">
        <v>413</v>
      </c>
      <c r="H160" s="78" t="s">
        <v>865</v>
      </c>
      <c r="I160" s="75" t="s">
        <v>866</v>
      </c>
      <c r="J160" s="3"/>
      <c r="K160" s="3"/>
      <c r="L160" s="3"/>
      <c r="M160" s="3"/>
      <c r="N160" s="35"/>
      <c r="O160" s="18"/>
      <c r="Q160" s="114">
        <v>209</v>
      </c>
      <c r="R160" s="114">
        <v>213</v>
      </c>
      <c r="S160" s="114">
        <v>211</v>
      </c>
      <c r="T160" s="114">
        <v>168</v>
      </c>
      <c r="U160" s="1"/>
      <c r="V160" s="1"/>
      <c r="W160" s="1"/>
      <c r="X160" s="1"/>
    </row>
    <row r="161" spans="1:24" x14ac:dyDescent="0.2">
      <c r="A161" s="144"/>
      <c r="B161" s="139" t="s">
        <v>93</v>
      </c>
      <c r="C161" s="19" t="s">
        <v>774</v>
      </c>
      <c r="D161" s="3"/>
      <c r="E161" s="3"/>
      <c r="F161" s="78" t="s">
        <v>775</v>
      </c>
      <c r="G161" s="78" t="s">
        <v>776</v>
      </c>
      <c r="H161" s="78" t="s">
        <v>777</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488</v>
      </c>
      <c r="D162" s="3"/>
      <c r="E162" s="3"/>
      <c r="F162" s="40" t="s">
        <v>491</v>
      </c>
      <c r="G162" s="40" t="s">
        <v>493</v>
      </c>
      <c r="H162" s="40" t="s">
        <v>492</v>
      </c>
      <c r="I162" s="75" t="s">
        <v>133</v>
      </c>
      <c r="J162" s="75" t="s">
        <v>848</v>
      </c>
      <c r="K162" s="72" t="s">
        <v>489</v>
      </c>
      <c r="L162" s="72" t="s">
        <v>490</v>
      </c>
      <c r="N162" s="10"/>
      <c r="O162" s="18"/>
      <c r="Q162" s="112">
        <v>219</v>
      </c>
      <c r="R162" s="112">
        <v>220</v>
      </c>
      <c r="S162" s="112">
        <v>221</v>
      </c>
      <c r="T162" s="112">
        <v>291</v>
      </c>
      <c r="U162" s="112">
        <v>286</v>
      </c>
      <c r="V162" s="112">
        <v>419</v>
      </c>
      <c r="W162" s="113">
        <v>420</v>
      </c>
      <c r="X162" s="1"/>
    </row>
    <row r="163" spans="1:24" x14ac:dyDescent="0.2">
      <c r="A163" s="144"/>
      <c r="B163" s="140"/>
      <c r="C163" s="19" t="s">
        <v>494</v>
      </c>
      <c r="D163" s="3"/>
      <c r="E163" s="3"/>
      <c r="F163" s="75" t="s">
        <v>740</v>
      </c>
      <c r="G163" s="75" t="s">
        <v>136</v>
      </c>
      <c r="H163" s="75" t="s">
        <v>741</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495</v>
      </c>
      <c r="D164" s="3"/>
      <c r="E164" s="3"/>
      <c r="F164" s="4" t="s">
        <v>850</v>
      </c>
      <c r="G164" s="75" t="s">
        <v>849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972</v>
      </c>
      <c r="D165" s="3"/>
      <c r="E165" s="3"/>
      <c r="F165" s="40" t="s">
        <v>914</v>
      </c>
      <c r="G165" s="3"/>
      <c r="H165" s="3"/>
      <c r="I165" s="3"/>
      <c r="J165" s="3"/>
      <c r="K165" s="3"/>
      <c r="L165" s="3"/>
      <c r="M165" s="3"/>
      <c r="N165" s="10"/>
      <c r="O165" s="18"/>
      <c r="Q165" s="115">
        <v>458</v>
      </c>
      <c r="R165" s="1"/>
      <c r="S165" s="1"/>
      <c r="T165" s="110"/>
      <c r="U165" s="110"/>
      <c r="V165" s="110"/>
      <c r="W165" s="1"/>
      <c r="X165" s="1"/>
    </row>
    <row r="166" spans="1:24" x14ac:dyDescent="0.2">
      <c r="A166" s="144"/>
      <c r="B166" s="140" t="s">
        <v>725</v>
      </c>
      <c r="C166" s="20" t="s">
        <v>687</v>
      </c>
      <c r="D166" s="3"/>
      <c r="E166" s="3"/>
      <c r="F166" s="17" t="s">
        <v>689</v>
      </c>
      <c r="G166" s="17" t="s">
        <v>691</v>
      </c>
      <c r="H166" s="41" t="s">
        <v>690</v>
      </c>
      <c r="I166" s="41" t="s">
        <v>125</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688</v>
      </c>
      <c r="D167" s="3"/>
      <c r="E167" s="3" t="s">
        <v>704</v>
      </c>
      <c r="F167" s="41" t="s">
        <v>689</v>
      </c>
      <c r="G167" s="41" t="s">
        <v>690</v>
      </c>
      <c r="H167" s="41" t="s">
        <v>125</v>
      </c>
      <c r="I167" s="3"/>
      <c r="J167" s="3"/>
      <c r="K167" s="3"/>
      <c r="L167" s="3"/>
      <c r="M167" s="3"/>
      <c r="N167" s="13"/>
      <c r="O167" s="18" t="s">
        <v>958</v>
      </c>
      <c r="Q167" s="112">
        <v>536</v>
      </c>
      <c r="R167" s="112">
        <v>537</v>
      </c>
      <c r="S167" s="112">
        <v>538</v>
      </c>
      <c r="T167" s="1"/>
      <c r="U167" s="110"/>
      <c r="V167" s="110"/>
      <c r="W167" s="110"/>
      <c r="X167" s="110"/>
    </row>
    <row r="168" spans="1:24" x14ac:dyDescent="0.2">
      <c r="A168" s="144"/>
      <c r="B168" s="140"/>
      <c r="C168" s="20" t="s">
        <v>688</v>
      </c>
      <c r="D168" s="3"/>
      <c r="E168" s="3" t="s">
        <v>635</v>
      </c>
      <c r="F168" s="17" t="s">
        <v>689</v>
      </c>
      <c r="G168" s="4" t="s">
        <v>690</v>
      </c>
      <c r="H168" s="41" t="s">
        <v>125</v>
      </c>
      <c r="I168" s="3"/>
      <c r="J168" s="3"/>
      <c r="K168" s="3"/>
      <c r="L168" s="3"/>
      <c r="M168" s="3"/>
      <c r="N168" s="13"/>
      <c r="O168" s="18" t="s">
        <v>958</v>
      </c>
      <c r="Q168" s="112">
        <v>536</v>
      </c>
      <c r="R168" s="112">
        <v>537</v>
      </c>
      <c r="S168" s="112">
        <v>538</v>
      </c>
      <c r="T168" s="1"/>
      <c r="U168" s="110"/>
      <c r="V168" s="110"/>
      <c r="W168" s="110"/>
      <c r="X168" s="110"/>
    </row>
    <row r="169" spans="1:24" x14ac:dyDescent="0.2">
      <c r="A169" s="144"/>
      <c r="B169" s="140"/>
      <c r="C169" s="19" t="s">
        <v>497</v>
      </c>
      <c r="D169" s="3"/>
      <c r="E169" s="3"/>
      <c r="F169" s="75" t="s">
        <v>638</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686</v>
      </c>
      <c r="D170" s="3"/>
      <c r="E170" s="3"/>
      <c r="F170" s="75" t="s">
        <v>638</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769</v>
      </c>
      <c r="D171" s="3"/>
      <c r="E171" s="3"/>
      <c r="F171" s="75" t="s">
        <v>498</v>
      </c>
      <c r="G171" s="75" t="s">
        <v>768</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941</v>
      </c>
      <c r="C172" s="19" t="s">
        <v>500</v>
      </c>
      <c r="D172" s="3"/>
      <c r="E172" s="3"/>
      <c r="F172" s="75" t="s">
        <v>414</v>
      </c>
      <c r="G172" s="3"/>
      <c r="H172" s="3"/>
      <c r="I172" s="3"/>
      <c r="J172" s="3"/>
      <c r="K172" s="3"/>
      <c r="L172" s="3"/>
      <c r="M172" s="3"/>
      <c r="N172" s="10"/>
      <c r="O172" s="18" t="s">
        <v>880</v>
      </c>
      <c r="Q172" s="115">
        <v>89</v>
      </c>
      <c r="R172" s="1"/>
      <c r="S172" s="1"/>
      <c r="T172" s="1"/>
      <c r="U172" s="1"/>
      <c r="V172" s="1"/>
      <c r="W172" s="1"/>
      <c r="X172" s="1"/>
    </row>
    <row r="173" spans="1:24" x14ac:dyDescent="0.2">
      <c r="A173" s="144"/>
      <c r="B173" s="140"/>
      <c r="C173" s="19" t="s">
        <v>939</v>
      </c>
      <c r="D173" s="3"/>
      <c r="E173" s="3"/>
      <c r="F173" s="75" t="s">
        <v>414</v>
      </c>
      <c r="G173" s="3"/>
      <c r="H173" s="3"/>
      <c r="I173" s="3"/>
      <c r="J173" s="3"/>
      <c r="K173" s="3"/>
      <c r="L173" s="3"/>
      <c r="M173" s="3"/>
      <c r="N173" s="10"/>
      <c r="O173" s="18" t="s">
        <v>940</v>
      </c>
      <c r="Q173" s="115">
        <v>238</v>
      </c>
      <c r="R173" s="1"/>
      <c r="S173" s="1"/>
      <c r="T173" s="1"/>
      <c r="U173" s="1"/>
      <c r="V173" s="1"/>
      <c r="W173" s="1"/>
      <c r="X173" s="1"/>
    </row>
    <row r="174" spans="1:24" x14ac:dyDescent="0.2">
      <c r="A174" s="144"/>
      <c r="B174" s="140"/>
      <c r="C174" s="19" t="s">
        <v>501</v>
      </c>
      <c r="D174" s="3"/>
      <c r="E174" s="3"/>
      <c r="F174" s="75" t="s">
        <v>414</v>
      </c>
      <c r="G174" s="3"/>
      <c r="H174" s="3"/>
      <c r="I174" s="3"/>
      <c r="J174" s="3"/>
      <c r="K174" s="3"/>
      <c r="L174" s="3"/>
      <c r="M174" s="3"/>
      <c r="N174" s="10"/>
      <c r="O174" s="18" t="s">
        <v>881</v>
      </c>
      <c r="Q174" s="115">
        <v>90</v>
      </c>
      <c r="R174" s="1"/>
      <c r="S174" s="1"/>
      <c r="T174" s="1"/>
      <c r="U174" s="1"/>
      <c r="V174" s="1"/>
      <c r="W174" s="1"/>
      <c r="X174" s="1"/>
    </row>
    <row r="175" spans="1:24" x14ac:dyDescent="0.2">
      <c r="A175" s="144"/>
      <c r="B175" s="139" t="s">
        <v>496</v>
      </c>
      <c r="C175" s="19" t="s">
        <v>738</v>
      </c>
      <c r="D175" s="3"/>
      <c r="E175" s="3"/>
      <c r="F175" s="75" t="s">
        <v>915</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805</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805</v>
      </c>
      <c r="D177" s="3"/>
      <c r="E177" s="3" t="s">
        <v>624</v>
      </c>
      <c r="F177" s="41" t="s">
        <v>175</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805</v>
      </c>
      <c r="D178" s="3"/>
      <c r="E178" s="3" t="s">
        <v>625</v>
      </c>
      <c r="F178" s="41" t="s">
        <v>175</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973</v>
      </c>
      <c r="D179" s="3"/>
      <c r="E179" s="3"/>
      <c r="F179" s="40" t="s">
        <v>499</v>
      </c>
      <c r="G179" s="75" t="s">
        <v>502</v>
      </c>
      <c r="H179" s="40" t="s">
        <v>729</v>
      </c>
      <c r="J179" s="3"/>
      <c r="K179" s="3"/>
      <c r="L179" s="3"/>
      <c r="M179" s="3"/>
      <c r="N179" s="4"/>
      <c r="O179" s="18"/>
      <c r="Q179" s="115">
        <v>83</v>
      </c>
      <c r="R179" s="115">
        <v>223</v>
      </c>
      <c r="S179" s="116">
        <v>551</v>
      </c>
      <c r="V179" s="1"/>
      <c r="X179" s="1"/>
    </row>
    <row r="180" spans="1:24" x14ac:dyDescent="0.2">
      <c r="A180" s="144"/>
      <c r="B180" s="140"/>
      <c r="C180" s="20" t="s">
        <v>974</v>
      </c>
      <c r="D180" s="3"/>
      <c r="E180" s="3"/>
      <c r="F180" s="75" t="s">
        <v>928</v>
      </c>
      <c r="G180" s="3"/>
      <c r="H180" s="3"/>
      <c r="I180" s="3"/>
      <c r="J180" s="3"/>
      <c r="K180" s="3"/>
      <c r="L180" s="3"/>
      <c r="M180" s="3"/>
      <c r="N180" s="4"/>
      <c r="O180" s="18"/>
      <c r="Q180" s="116">
        <v>170</v>
      </c>
      <c r="X180" s="1"/>
    </row>
    <row r="181" spans="1:24" x14ac:dyDescent="0.2">
      <c r="A181" s="144"/>
      <c r="B181" s="140"/>
      <c r="C181" s="19" t="s">
        <v>925</v>
      </c>
      <c r="D181" s="3"/>
      <c r="E181" s="3"/>
      <c r="F181" s="75" t="s">
        <v>957</v>
      </c>
      <c r="G181" s="3"/>
      <c r="H181" s="3"/>
      <c r="I181" s="3"/>
      <c r="J181" s="3"/>
      <c r="K181" s="3"/>
      <c r="L181" s="3"/>
      <c r="M181" s="3"/>
      <c r="N181" s="4"/>
      <c r="O181" s="18"/>
      <c r="Q181" s="116">
        <v>171</v>
      </c>
      <c r="R181" s="1"/>
      <c r="S181" s="1"/>
      <c r="T181" s="1"/>
      <c r="U181" s="1"/>
      <c r="V181" s="1"/>
      <c r="X181" s="1"/>
    </row>
    <row r="182" spans="1:24" x14ac:dyDescent="0.2">
      <c r="A182" s="144"/>
      <c r="B182" s="140"/>
      <c r="C182" s="19" t="s">
        <v>923</v>
      </c>
      <c r="D182" s="3"/>
      <c r="E182" s="3"/>
      <c r="F182" s="75" t="s">
        <v>957</v>
      </c>
      <c r="G182" s="75" t="s">
        <v>924</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795</v>
      </c>
      <c r="D183" s="3"/>
      <c r="E183" s="3"/>
      <c r="F183" s="40" t="s">
        <v>916</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796</v>
      </c>
      <c r="D184" s="3"/>
      <c r="E184" s="3"/>
      <c r="F184" s="40" t="s">
        <v>916</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807</v>
      </c>
      <c r="D185" s="3"/>
      <c r="E185" s="3"/>
      <c r="F185" s="41" t="s">
        <v>739</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975</v>
      </c>
      <c r="D186" s="3"/>
      <c r="E186" s="3"/>
      <c r="F186" s="75" t="s">
        <v>745</v>
      </c>
      <c r="G186" s="75" t="s">
        <v>746</v>
      </c>
      <c r="H186" s="75" t="s">
        <v>747</v>
      </c>
      <c r="I186" s="75" t="s">
        <v>748</v>
      </c>
      <c r="J186" s="3"/>
      <c r="K186" s="3"/>
      <c r="L186" s="3"/>
      <c r="M186" s="3"/>
      <c r="N186" s="35"/>
      <c r="O186" s="18"/>
      <c r="Q186" s="112">
        <v>169</v>
      </c>
      <c r="R186" s="112">
        <v>276</v>
      </c>
      <c r="S186" s="112">
        <v>173</v>
      </c>
      <c r="T186" s="112">
        <v>174</v>
      </c>
      <c r="U186" s="1"/>
      <c r="V186" s="1"/>
      <c r="W186" s="1"/>
      <c r="X186" s="1"/>
    </row>
    <row r="187" spans="1:24" x14ac:dyDescent="0.2">
      <c r="A187" s="144"/>
      <c r="B187" s="139" t="s">
        <v>503</v>
      </c>
      <c r="C187" s="19" t="s">
        <v>803</v>
      </c>
      <c r="D187" s="3"/>
      <c r="E187" s="3" t="s">
        <v>626</v>
      </c>
      <c r="F187" s="75" t="s">
        <v>703</v>
      </c>
      <c r="G187" s="40" t="s">
        <v>648</v>
      </c>
      <c r="H187" s="40" t="s">
        <v>744</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803</v>
      </c>
      <c r="D188" s="3"/>
      <c r="E188" s="3" t="s">
        <v>696</v>
      </c>
      <c r="F188" s="60" t="s">
        <v>703</v>
      </c>
      <c r="G188" s="40" t="s">
        <v>648</v>
      </c>
      <c r="H188" s="40" t="s">
        <v>744</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693</v>
      </c>
      <c r="D189" s="3"/>
      <c r="E189" s="3" t="s">
        <v>692</v>
      </c>
      <c r="F189" s="75" t="s">
        <v>694</v>
      </c>
      <c r="G189" s="75" t="s">
        <v>695</v>
      </c>
      <c r="H189" s="40" t="s">
        <v>130</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693</v>
      </c>
      <c r="D190" s="3"/>
      <c r="E190" s="3" t="s">
        <v>35</v>
      </c>
      <c r="F190" s="75" t="s">
        <v>694</v>
      </c>
      <c r="G190" s="75" t="s">
        <v>695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693</v>
      </c>
      <c r="D191" s="3"/>
      <c r="E191" s="3" t="s">
        <v>696</v>
      </c>
      <c r="F191" s="60" t="s">
        <v>694</v>
      </c>
      <c r="G191" s="4" t="s">
        <v>695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645</v>
      </c>
      <c r="D192" s="3"/>
      <c r="E192" s="3" t="s">
        <v>626</v>
      </c>
      <c r="F192" s="76" t="s">
        <v>646</v>
      </c>
      <c r="G192" s="39" t="s">
        <v>647</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645</v>
      </c>
      <c r="D193" s="3"/>
      <c r="E193" s="3" t="s">
        <v>696</v>
      </c>
      <c r="F193" s="108" t="s">
        <v>646</v>
      </c>
      <c r="G193" s="76" t="s">
        <v>647</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649</v>
      </c>
      <c r="D194" s="3"/>
      <c r="E194" s="3"/>
      <c r="F194" s="40" t="s">
        <v>917</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978</v>
      </c>
      <c r="D195" s="3"/>
      <c r="E195" s="3"/>
      <c r="F195" s="60" t="s">
        <v>697</v>
      </c>
      <c r="G195" s="75" t="s">
        <v>977</v>
      </c>
      <c r="H195" s="60" t="s">
        <v>698</v>
      </c>
      <c r="I195" s="75" t="s">
        <v>976</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979</v>
      </c>
      <c r="D196" s="3"/>
      <c r="E196" s="3" t="s">
        <v>35</v>
      </c>
      <c r="F196" s="75" t="s">
        <v>936</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980</v>
      </c>
      <c r="D197" s="3"/>
      <c r="E197" s="3" t="s">
        <v>35</v>
      </c>
      <c r="F197" s="75" t="s">
        <v>732</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107</v>
      </c>
      <c r="C198" s="19" t="s">
        <v>108</v>
      </c>
      <c r="D198" s="3"/>
      <c r="E198" s="3"/>
      <c r="F198" s="4" t="s">
        <v>918</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872</v>
      </c>
      <c r="D199" s="3"/>
      <c r="E199" s="3"/>
      <c r="F199" s="4" t="s">
        <v>918</v>
      </c>
      <c r="G199" s="41" t="s">
        <v>521</v>
      </c>
      <c r="H199" s="75" t="s">
        <v>520</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705</v>
      </c>
      <c r="D200" s="3"/>
      <c r="E200" s="3"/>
      <c r="F200" s="75" t="s">
        <v>918</v>
      </c>
      <c r="G200" s="3"/>
      <c r="H200" s="3"/>
      <c r="I200" s="3"/>
      <c r="J200" s="3"/>
      <c r="K200" s="3"/>
      <c r="L200" s="3"/>
      <c r="M200" s="3"/>
      <c r="N200" s="13"/>
      <c r="O200" s="18" t="s">
        <v>144</v>
      </c>
      <c r="Q200" s="115">
        <v>282</v>
      </c>
      <c r="R200" s="1"/>
      <c r="S200" s="1"/>
      <c r="T200" s="110"/>
      <c r="U200" s="110"/>
      <c r="V200" s="1"/>
      <c r="W200" s="1"/>
      <c r="X200" s="1"/>
    </row>
    <row r="201" spans="1:24" x14ac:dyDescent="0.2">
      <c r="A201" s="144"/>
      <c r="B201" s="140"/>
      <c r="C201" s="19" t="s">
        <v>134</v>
      </c>
      <c r="D201" s="3"/>
      <c r="E201" s="3" t="s">
        <v>35</v>
      </c>
      <c r="F201" s="75" t="s">
        <v>918</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134</v>
      </c>
      <c r="D202" s="3"/>
      <c r="E202" s="3" t="s">
        <v>692</v>
      </c>
      <c r="F202" s="75" t="s">
        <v>918</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2" activePane="bottomLeft" state="frozen"/>
      <selection pane="bottomLeft" activeCell="D13" sqref="D13"/>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851</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872</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876</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882</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882</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878</v>
      </c>
    </row>
    <row r="11" spans="1:26" ht="13.15" customHeight="1" x14ac:dyDescent="0.2">
      <c r="A11" s="30">
        <v>18</v>
      </c>
      <c r="B11" s="30" t="s">
        <v>28</v>
      </c>
      <c r="C11" s="30" t="s">
        <v>11</v>
      </c>
      <c r="D11" s="30" t="s">
        <v>397</v>
      </c>
      <c r="E11" s="33" t="s">
        <v>547</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879</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803</v>
      </c>
      <c r="E17" s="33" t="s">
        <v>703</v>
      </c>
      <c r="F17" s="28" t="s">
        <v>217</v>
      </c>
      <c r="G17" s="29"/>
      <c r="H17" s="28" t="s">
        <v>111</v>
      </c>
      <c r="I17" s="29"/>
      <c r="J17" s="29"/>
      <c r="K17" s="28" t="s">
        <v>983</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733</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795</v>
      </c>
      <c r="E24" s="30" t="s">
        <v>916</v>
      </c>
      <c r="F24" s="28"/>
      <c r="G24" s="28"/>
      <c r="H24" s="28" t="s">
        <v>111</v>
      </c>
      <c r="I24" s="29"/>
      <c r="J24" s="29"/>
      <c r="K24" s="28"/>
      <c r="L24" s="55"/>
      <c r="M24" s="55"/>
      <c r="N24" s="58"/>
      <c r="R24" s="28" t="s">
        <v>743</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876</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725</v>
      </c>
      <c r="D31" s="30" t="s">
        <v>769</v>
      </c>
      <c r="E31" s="33" t="s">
        <v>498</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935</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875</v>
      </c>
      <c r="Z50" s="30" t="s">
        <v>883</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875</v>
      </c>
      <c r="Z51" s="30" t="s">
        <v>883</v>
      </c>
    </row>
    <row r="52" spans="1:26" ht="13.15" customHeight="1" x14ac:dyDescent="0.2">
      <c r="A52" s="30">
        <v>72</v>
      </c>
      <c r="B52" s="30" t="s">
        <v>13</v>
      </c>
      <c r="C52" s="30" t="s">
        <v>41</v>
      </c>
      <c r="D52" s="30" t="s">
        <v>808</v>
      </c>
      <c r="E52" s="30" t="s">
        <v>412</v>
      </c>
      <c r="F52" s="28" t="s">
        <v>216</v>
      </c>
      <c r="G52" s="28" t="s">
        <v>126</v>
      </c>
      <c r="H52" s="28"/>
      <c r="I52" s="28"/>
      <c r="J52" s="28"/>
      <c r="K52" s="27" t="s">
        <v>954</v>
      </c>
      <c r="N52" s="27">
        <v>1</v>
      </c>
      <c r="U52" s="30">
        <v>0</v>
      </c>
      <c r="V52" s="30">
        <v>1</v>
      </c>
      <c r="Z52" s="30" t="s">
        <v>929</v>
      </c>
    </row>
    <row r="53" spans="1:26" ht="13.15" customHeight="1" x14ac:dyDescent="0.2">
      <c r="A53" s="30">
        <v>73</v>
      </c>
      <c r="B53" s="30" t="s">
        <v>13</v>
      </c>
      <c r="C53" s="30" t="s">
        <v>41</v>
      </c>
      <c r="D53" s="30" t="s">
        <v>808</v>
      </c>
      <c r="E53" s="30" t="s">
        <v>413</v>
      </c>
      <c r="F53" s="28" t="s">
        <v>216</v>
      </c>
      <c r="G53" s="28" t="s">
        <v>126</v>
      </c>
      <c r="H53" s="28"/>
      <c r="I53" s="28"/>
      <c r="J53" s="28"/>
      <c r="K53" s="27" t="s">
        <v>954</v>
      </c>
      <c r="N53" s="27">
        <v>1</v>
      </c>
      <c r="U53" s="30">
        <v>50</v>
      </c>
      <c r="V53" s="30">
        <v>0</v>
      </c>
      <c r="Z53" s="30" t="s">
        <v>930</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758</v>
      </c>
    </row>
    <row r="55" spans="1:26" ht="13.15" customHeight="1" x14ac:dyDescent="0.2">
      <c r="A55" s="30">
        <v>76</v>
      </c>
      <c r="B55" s="30" t="s">
        <v>13</v>
      </c>
      <c r="C55" s="30" t="s">
        <v>41</v>
      </c>
      <c r="D55" s="30" t="s">
        <v>808</v>
      </c>
      <c r="E55" s="30" t="s">
        <v>865</v>
      </c>
      <c r="F55" s="28" t="s">
        <v>216</v>
      </c>
      <c r="G55" s="28" t="s">
        <v>126</v>
      </c>
      <c r="H55" s="28"/>
      <c r="I55" s="28"/>
      <c r="J55" s="28"/>
      <c r="K55" s="27" t="s">
        <v>954</v>
      </c>
      <c r="N55" s="27">
        <v>1</v>
      </c>
      <c r="U55" s="30">
        <v>100</v>
      </c>
      <c r="V55" s="30">
        <v>0</v>
      </c>
      <c r="Z55" s="30" t="s">
        <v>862</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973</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954</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954</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941</v>
      </c>
      <c r="D63" s="30" t="s">
        <v>500</v>
      </c>
      <c r="E63" s="33" t="s">
        <v>414</v>
      </c>
      <c r="F63" s="69" t="s">
        <v>218</v>
      </c>
      <c r="G63" s="28" t="s">
        <v>111</v>
      </c>
      <c r="H63" s="28" t="s">
        <v>111</v>
      </c>
      <c r="I63" s="29"/>
      <c r="J63" s="29"/>
      <c r="K63" s="28" t="s">
        <v>981</v>
      </c>
      <c r="L63" s="55">
        <f ca="1">VLOOKUP($A63, Stat!$A$1:$C$1000, 2,0)</f>
        <v>27</v>
      </c>
      <c r="M63" s="55">
        <f ca="1">VLOOKUP($A63, Stat!$A$1:$C$1000, 3,0)</f>
        <v>0</v>
      </c>
      <c r="N63" s="58"/>
      <c r="R63" s="29"/>
      <c r="S63" s="29"/>
      <c r="T63" s="29"/>
      <c r="U63" s="30">
        <v>50</v>
      </c>
      <c r="V63" s="30">
        <v>0</v>
      </c>
      <c r="Y63" s="30" t="s">
        <v>880</v>
      </c>
    </row>
    <row r="64" spans="1:26" ht="13.15" customHeight="1" x14ac:dyDescent="0.2">
      <c r="A64" s="30">
        <v>90</v>
      </c>
      <c r="B64" s="30" t="s">
        <v>13</v>
      </c>
      <c r="C64" s="30" t="s">
        <v>941</v>
      </c>
      <c r="D64" s="30" t="s">
        <v>501</v>
      </c>
      <c r="E64" s="30" t="s">
        <v>414</v>
      </c>
      <c r="F64" s="69" t="s">
        <v>218</v>
      </c>
      <c r="G64" s="28" t="s">
        <v>111</v>
      </c>
      <c r="H64" s="28" t="s">
        <v>111</v>
      </c>
      <c r="I64" s="29"/>
      <c r="J64" s="29"/>
      <c r="K64" s="28" t="s">
        <v>982</v>
      </c>
      <c r="U64" s="30">
        <v>50</v>
      </c>
      <c r="V64" s="30">
        <v>0</v>
      </c>
      <c r="Y64" s="30" t="s">
        <v>881</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724</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733</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733</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733</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872</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919</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803</v>
      </c>
      <c r="E108" s="30" t="s">
        <v>744</v>
      </c>
      <c r="F108" s="27">
        <v>7</v>
      </c>
      <c r="G108" s="27">
        <v>3</v>
      </c>
      <c r="H108" s="28"/>
      <c r="K108" s="27" t="s">
        <v>954</v>
      </c>
      <c r="U108" s="30">
        <v>100</v>
      </c>
      <c r="V108" s="30">
        <v>0</v>
      </c>
      <c r="X108" s="30" t="s">
        <v>696</v>
      </c>
      <c r="Z108" s="30" t="s">
        <v>949</v>
      </c>
    </row>
    <row r="109" spans="1:26" ht="13.15" customHeight="1" x14ac:dyDescent="0.2">
      <c r="A109" s="30">
        <v>137</v>
      </c>
      <c r="B109" s="30" t="s">
        <v>13</v>
      </c>
      <c r="C109" s="30" t="s">
        <v>725</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959</v>
      </c>
      <c r="E110" s="30" t="s">
        <v>681</v>
      </c>
      <c r="H110" s="28" t="s">
        <v>111</v>
      </c>
      <c r="U110" s="30">
        <v>50</v>
      </c>
      <c r="V110" s="30">
        <v>0</v>
      </c>
      <c r="Z110" s="30" t="s">
        <v>920</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809</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809</v>
      </c>
    </row>
    <row r="131" spans="1:26" ht="13.15" customHeight="1" x14ac:dyDescent="0.2">
      <c r="A131" s="30">
        <v>160</v>
      </c>
      <c r="B131" s="30" t="s">
        <v>95</v>
      </c>
      <c r="C131" s="30" t="s">
        <v>95</v>
      </c>
      <c r="D131" s="30" t="s">
        <v>472</v>
      </c>
      <c r="E131" s="30" t="s">
        <v>94</v>
      </c>
      <c r="H131" s="28" t="s">
        <v>111</v>
      </c>
      <c r="U131" s="30">
        <v>50</v>
      </c>
      <c r="V131" s="30">
        <v>0</v>
      </c>
      <c r="Z131" s="30" t="s">
        <v>811</v>
      </c>
    </row>
    <row r="132" spans="1:26" ht="13.15" customHeight="1" x14ac:dyDescent="0.2">
      <c r="A132" s="30">
        <v>164</v>
      </c>
      <c r="B132" s="30" t="s">
        <v>13</v>
      </c>
      <c r="C132" s="30" t="s">
        <v>650</v>
      </c>
      <c r="D132" s="30" t="s">
        <v>792</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737</v>
      </c>
    </row>
    <row r="133" spans="1:26" ht="13.15" customHeight="1" x14ac:dyDescent="0.2">
      <c r="A133" s="30">
        <v>165</v>
      </c>
      <c r="B133" s="30" t="s">
        <v>13</v>
      </c>
      <c r="C133" s="30" t="s">
        <v>650</v>
      </c>
      <c r="D133" s="30" t="s">
        <v>792</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737</v>
      </c>
    </row>
    <row r="134" spans="1:26" ht="13.15" customHeight="1" x14ac:dyDescent="0.2">
      <c r="A134" s="30">
        <v>169</v>
      </c>
      <c r="B134" s="30" t="s">
        <v>13</v>
      </c>
      <c r="C134" s="30" t="s">
        <v>496</v>
      </c>
      <c r="D134" s="30" t="s">
        <v>975</v>
      </c>
      <c r="E134" s="33" t="s">
        <v>745</v>
      </c>
      <c r="F134" s="28" t="s">
        <v>216</v>
      </c>
      <c r="G134" s="28" t="s">
        <v>126</v>
      </c>
      <c r="H134" s="28"/>
      <c r="I134" s="29"/>
      <c r="J134" s="29"/>
      <c r="K134" s="27" t="s">
        <v>954</v>
      </c>
      <c r="L134" s="55">
        <f ca="1">VLOOKUP($A134, Stat!$A$1:$C$1000, 2,0)</f>
        <v>904</v>
      </c>
      <c r="M134" s="55">
        <f ca="1">VLOOKUP($A134, Stat!$A$1:$C$1000, 3,0)</f>
        <v>3</v>
      </c>
      <c r="N134" s="58"/>
      <c r="R134" s="29"/>
      <c r="S134" s="29"/>
      <c r="T134" s="29"/>
      <c r="U134" s="30">
        <v>50</v>
      </c>
      <c r="V134" s="30">
        <v>0</v>
      </c>
      <c r="Z134" s="30" t="s">
        <v>749</v>
      </c>
    </row>
    <row r="135" spans="1:26" ht="13.15" customHeight="1" x14ac:dyDescent="0.2">
      <c r="A135" s="30">
        <v>170</v>
      </c>
      <c r="B135" s="30" t="s">
        <v>13</v>
      </c>
      <c r="C135" s="30" t="s">
        <v>496</v>
      </c>
      <c r="D135" s="30" t="s">
        <v>974</v>
      </c>
      <c r="E135" s="30" t="s">
        <v>928</v>
      </c>
      <c r="H135" s="28" t="s">
        <v>111</v>
      </c>
      <c r="U135" s="30">
        <v>50</v>
      </c>
      <c r="V135" s="30">
        <v>0</v>
      </c>
    </row>
    <row r="136" spans="1:26" ht="13.15" customHeight="1" x14ac:dyDescent="0.2">
      <c r="A136" s="30">
        <v>171</v>
      </c>
      <c r="B136" s="30" t="s">
        <v>13</v>
      </c>
      <c r="C136" s="30" t="s">
        <v>496</v>
      </c>
      <c r="D136" s="30" t="s">
        <v>925</v>
      </c>
      <c r="E136" s="30" t="s">
        <v>957</v>
      </c>
      <c r="H136" s="28" t="s">
        <v>111</v>
      </c>
      <c r="U136" s="30">
        <v>50</v>
      </c>
      <c r="V136" s="30">
        <v>0</v>
      </c>
      <c r="Z136" s="30" t="s">
        <v>804</v>
      </c>
    </row>
    <row r="137" spans="1:26" ht="13.15" customHeight="1" x14ac:dyDescent="0.2">
      <c r="A137" s="30">
        <v>172</v>
      </c>
      <c r="B137" s="30" t="s">
        <v>13</v>
      </c>
      <c r="C137" s="30" t="s">
        <v>13</v>
      </c>
      <c r="D137" s="30" t="s">
        <v>734</v>
      </c>
      <c r="E137" s="30" t="s">
        <v>810</v>
      </c>
      <c r="F137" s="27">
        <v>1</v>
      </c>
      <c r="H137" s="28" t="s">
        <v>111</v>
      </c>
      <c r="U137" s="30">
        <v>50</v>
      </c>
      <c r="V137" s="30">
        <v>0</v>
      </c>
      <c r="Z137" s="30" t="s">
        <v>946</v>
      </c>
    </row>
    <row r="138" spans="1:26" ht="13.15" customHeight="1" x14ac:dyDescent="0.2">
      <c r="A138" s="30">
        <v>173</v>
      </c>
      <c r="B138" s="30" t="s">
        <v>13</v>
      </c>
      <c r="C138" s="30" t="s">
        <v>496</v>
      </c>
      <c r="D138" s="30" t="s">
        <v>975</v>
      </c>
      <c r="E138" s="30" t="s">
        <v>747</v>
      </c>
      <c r="F138" s="27">
        <v>7</v>
      </c>
      <c r="G138" s="27">
        <v>3</v>
      </c>
      <c r="H138" s="28"/>
      <c r="K138" s="27" t="s">
        <v>954</v>
      </c>
      <c r="U138" s="30">
        <v>50</v>
      </c>
      <c r="V138" s="30">
        <v>0</v>
      </c>
      <c r="Z138" s="30" t="s">
        <v>751</v>
      </c>
    </row>
    <row r="139" spans="1:26" ht="13.15" customHeight="1" x14ac:dyDescent="0.2">
      <c r="A139" s="30">
        <v>174</v>
      </c>
      <c r="B139" s="30" t="s">
        <v>13</v>
      </c>
      <c r="C139" s="30" t="s">
        <v>496</v>
      </c>
      <c r="D139" s="30" t="s">
        <v>975</v>
      </c>
      <c r="E139" s="30" t="s">
        <v>748</v>
      </c>
      <c r="F139" s="27">
        <v>7</v>
      </c>
      <c r="G139" s="27">
        <v>3</v>
      </c>
      <c r="H139" s="28"/>
      <c r="K139" s="27" t="s">
        <v>954</v>
      </c>
      <c r="U139" s="30">
        <v>50</v>
      </c>
      <c r="V139" s="30">
        <v>0</v>
      </c>
      <c r="Z139" s="30" t="s">
        <v>752</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796</v>
      </c>
      <c r="E152" s="33" t="s">
        <v>916</v>
      </c>
      <c r="F152" s="28"/>
      <c r="G152" s="28"/>
      <c r="H152" s="28" t="s">
        <v>111</v>
      </c>
      <c r="I152" s="29"/>
      <c r="J152" s="29"/>
      <c r="K152" s="28"/>
      <c r="L152" s="55">
        <f ca="1">VLOOKUP($A152, Stat!$A$1:$C$1000, 2,0)</f>
        <v>195</v>
      </c>
      <c r="M152" s="55">
        <f ca="1">VLOOKUP($A152, Stat!$A$1:$C$1000, 3,0)</f>
        <v>8</v>
      </c>
      <c r="N152" s="58"/>
      <c r="R152" s="28" t="s">
        <v>743</v>
      </c>
      <c r="S152" s="29"/>
      <c r="T152" s="29"/>
      <c r="U152" s="30">
        <v>100</v>
      </c>
      <c r="V152" s="30">
        <v>0</v>
      </c>
      <c r="Z152" s="30" t="s">
        <v>507</v>
      </c>
    </row>
    <row r="153" spans="1:26" ht="13.15" customHeight="1" x14ac:dyDescent="0.2">
      <c r="A153" s="30">
        <v>188</v>
      </c>
      <c r="B153" s="30" t="s">
        <v>95</v>
      </c>
      <c r="C153" s="30" t="s">
        <v>733</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733</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733</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884</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885</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725</v>
      </c>
      <c r="D160" s="30" t="s">
        <v>759</v>
      </c>
      <c r="E160" s="30" t="s">
        <v>760</v>
      </c>
      <c r="F160" s="27">
        <v>12</v>
      </c>
      <c r="H160" s="28" t="s">
        <v>111</v>
      </c>
      <c r="K160" s="27" t="s">
        <v>985</v>
      </c>
      <c r="U160" s="30">
        <v>50</v>
      </c>
      <c r="V160" s="30">
        <v>0</v>
      </c>
      <c r="Z160" s="30" t="s">
        <v>770</v>
      </c>
    </row>
    <row r="161" spans="1:26" ht="13.15" customHeight="1" x14ac:dyDescent="0.2">
      <c r="A161" s="30">
        <v>198</v>
      </c>
      <c r="B161" s="30" t="s">
        <v>28</v>
      </c>
      <c r="C161" s="30" t="s">
        <v>725</v>
      </c>
      <c r="D161" s="30" t="s">
        <v>759</v>
      </c>
      <c r="E161" s="30" t="s">
        <v>761</v>
      </c>
      <c r="F161" s="27">
        <v>12</v>
      </c>
      <c r="H161" s="28" t="s">
        <v>111</v>
      </c>
      <c r="K161" s="27" t="s">
        <v>985</v>
      </c>
      <c r="U161" s="30">
        <v>50</v>
      </c>
      <c r="V161" s="30">
        <v>0</v>
      </c>
      <c r="Z161" s="30" t="s">
        <v>771</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773</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886</v>
      </c>
    </row>
    <row r="164" spans="1:26" ht="13.15" customHeight="1" x14ac:dyDescent="0.2">
      <c r="A164" s="30">
        <v>201</v>
      </c>
      <c r="B164" s="30" t="s">
        <v>28</v>
      </c>
      <c r="C164" s="30" t="s">
        <v>650</v>
      </c>
      <c r="D164" s="30" t="s">
        <v>968</v>
      </c>
      <c r="E164" s="33" t="s">
        <v>970</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756</v>
      </c>
    </row>
    <row r="165" spans="1:26" ht="13.15" customHeight="1" x14ac:dyDescent="0.2">
      <c r="A165" s="30">
        <v>202</v>
      </c>
      <c r="B165" s="30" t="s">
        <v>28</v>
      </c>
      <c r="C165" s="30" t="s">
        <v>650</v>
      </c>
      <c r="D165" s="30" t="s">
        <v>969</v>
      </c>
      <c r="E165" s="30" t="s">
        <v>971</v>
      </c>
      <c r="F165" s="27">
        <v>8</v>
      </c>
      <c r="H165" s="28" t="s">
        <v>111</v>
      </c>
      <c r="K165" s="61" t="s">
        <v>444</v>
      </c>
      <c r="U165" s="30">
        <v>50</v>
      </c>
      <c r="V165" s="30">
        <v>0</v>
      </c>
      <c r="W165" s="30">
        <v>12350</v>
      </c>
      <c r="Y165" s="30" t="s">
        <v>757</v>
      </c>
    </row>
    <row r="166" spans="1:26" ht="13.15" customHeight="1" x14ac:dyDescent="0.2">
      <c r="A166" s="30">
        <v>203</v>
      </c>
      <c r="B166" s="30" t="s">
        <v>28</v>
      </c>
      <c r="C166" s="30" t="s">
        <v>650</v>
      </c>
      <c r="D166" s="30" t="s">
        <v>545</v>
      </c>
      <c r="E166" s="30" t="s">
        <v>762</v>
      </c>
      <c r="F166" s="27">
        <v>8</v>
      </c>
      <c r="H166" s="28" t="s">
        <v>111</v>
      </c>
      <c r="K166" s="27" t="s">
        <v>763</v>
      </c>
      <c r="U166" s="30">
        <v>50</v>
      </c>
      <c r="V166" s="30">
        <v>0</v>
      </c>
      <c r="Z166" s="30" t="s">
        <v>772</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873</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873</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873</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873</v>
      </c>
    </row>
    <row r="171" spans="1:26" ht="13.15" customHeight="1" x14ac:dyDescent="0.2">
      <c r="A171" s="30">
        <v>208</v>
      </c>
      <c r="B171" s="30" t="s">
        <v>13</v>
      </c>
      <c r="C171" s="30" t="s">
        <v>41</v>
      </c>
      <c r="D171" s="30" t="s">
        <v>860</v>
      </c>
      <c r="E171" s="33" t="s">
        <v>412</v>
      </c>
      <c r="F171" s="28" t="s">
        <v>216</v>
      </c>
      <c r="G171" s="28" t="s">
        <v>126</v>
      </c>
      <c r="H171" s="28"/>
      <c r="I171" s="28"/>
      <c r="J171" s="28"/>
      <c r="K171" s="27" t="s">
        <v>954</v>
      </c>
      <c r="L171" s="55">
        <f ca="1">VLOOKUP($A171, Stat!$A$1:$C$1000, 2,0)</f>
        <v>1</v>
      </c>
      <c r="M171" s="55">
        <f ca="1">VLOOKUP($A171, Stat!$A$1:$C$1000, 3,0)</f>
        <v>1</v>
      </c>
      <c r="N171" s="27">
        <v>1</v>
      </c>
      <c r="R171" s="29"/>
      <c r="S171" s="29"/>
      <c r="T171" s="29"/>
      <c r="U171" s="30">
        <v>100</v>
      </c>
      <c r="V171" s="30">
        <v>0</v>
      </c>
      <c r="Z171" s="30" t="s">
        <v>931</v>
      </c>
    </row>
    <row r="172" spans="1:26" ht="13.15" customHeight="1" x14ac:dyDescent="0.2">
      <c r="A172" s="30">
        <v>209</v>
      </c>
      <c r="B172" s="30" t="s">
        <v>13</v>
      </c>
      <c r="C172" s="30" t="s">
        <v>41</v>
      </c>
      <c r="D172" s="30" t="s">
        <v>861</v>
      </c>
      <c r="E172" s="33" t="s">
        <v>412</v>
      </c>
      <c r="F172" s="28" t="s">
        <v>216</v>
      </c>
      <c r="G172" s="28" t="s">
        <v>126</v>
      </c>
      <c r="H172" s="28"/>
      <c r="I172" s="28"/>
      <c r="J172" s="28"/>
      <c r="K172" s="27" t="s">
        <v>954</v>
      </c>
      <c r="L172" s="55">
        <f ca="1">VLOOKUP($A172, Stat!$A$1:$C$1000, 2,0)</f>
        <v>26</v>
      </c>
      <c r="M172" s="55">
        <f ca="1">VLOOKUP($A172, Stat!$A$1:$C$1000, 3,0)</f>
        <v>3</v>
      </c>
      <c r="N172" s="27">
        <v>1</v>
      </c>
      <c r="R172" s="29"/>
      <c r="S172" s="29"/>
      <c r="T172" s="29"/>
      <c r="U172" s="30">
        <v>0</v>
      </c>
      <c r="V172" s="30">
        <v>1</v>
      </c>
      <c r="Z172" s="30" t="s">
        <v>932</v>
      </c>
    </row>
    <row r="173" spans="1:26" ht="13.15" customHeight="1" x14ac:dyDescent="0.2">
      <c r="A173" s="30">
        <v>210</v>
      </c>
      <c r="B173" s="30" t="s">
        <v>13</v>
      </c>
      <c r="C173" s="30" t="s">
        <v>41</v>
      </c>
      <c r="D173" s="30" t="s">
        <v>860</v>
      </c>
      <c r="E173" s="33" t="s">
        <v>865</v>
      </c>
      <c r="F173" s="28" t="s">
        <v>216</v>
      </c>
      <c r="G173" s="28" t="s">
        <v>126</v>
      </c>
      <c r="H173" s="28"/>
      <c r="I173" s="28"/>
      <c r="J173" s="28"/>
      <c r="K173" s="27" t="s">
        <v>954</v>
      </c>
      <c r="L173" s="55">
        <f ca="1">VLOOKUP($A173, Stat!$A$1:$C$1000, 2,0)</f>
        <v>19</v>
      </c>
      <c r="M173" s="55">
        <f ca="1">VLOOKUP($A173, Stat!$A$1:$C$1000, 3,0)</f>
        <v>9</v>
      </c>
      <c r="N173" s="27">
        <v>1</v>
      </c>
      <c r="R173" s="29"/>
      <c r="S173" s="29"/>
      <c r="T173" s="29"/>
      <c r="U173" s="30">
        <v>100</v>
      </c>
      <c r="V173" s="30">
        <v>0</v>
      </c>
      <c r="Z173" s="30" t="s">
        <v>863</v>
      </c>
    </row>
    <row r="174" spans="1:26" ht="13.15" customHeight="1" x14ac:dyDescent="0.2">
      <c r="A174" s="30">
        <v>211</v>
      </c>
      <c r="B174" s="30" t="s">
        <v>13</v>
      </c>
      <c r="C174" s="30" t="s">
        <v>41</v>
      </c>
      <c r="D174" s="30" t="s">
        <v>861</v>
      </c>
      <c r="E174" s="33" t="s">
        <v>865</v>
      </c>
      <c r="F174" s="28" t="s">
        <v>216</v>
      </c>
      <c r="G174" s="28" t="s">
        <v>126</v>
      </c>
      <c r="H174" s="28"/>
      <c r="I174" s="28"/>
      <c r="J174" s="28"/>
      <c r="K174" s="27" t="s">
        <v>954</v>
      </c>
      <c r="L174" s="55">
        <f ca="1">VLOOKUP($A174, Stat!$A$1:$C$1000, 2,0)</f>
        <v>8</v>
      </c>
      <c r="M174" s="55">
        <f ca="1">VLOOKUP($A174, Stat!$A$1:$C$1000, 3,0)</f>
        <v>4</v>
      </c>
      <c r="N174" s="27">
        <v>1</v>
      </c>
      <c r="R174" s="29"/>
      <c r="S174" s="29"/>
      <c r="T174" s="29"/>
      <c r="U174" s="30">
        <v>100</v>
      </c>
      <c r="V174" s="30">
        <v>0</v>
      </c>
      <c r="Z174" s="30" t="s">
        <v>864</v>
      </c>
    </row>
    <row r="175" spans="1:26" ht="13.15" customHeight="1" x14ac:dyDescent="0.2">
      <c r="A175" s="30">
        <v>212</v>
      </c>
      <c r="B175" s="30" t="s">
        <v>13</v>
      </c>
      <c r="C175" s="30" t="s">
        <v>41</v>
      </c>
      <c r="D175" s="30" t="s">
        <v>860</v>
      </c>
      <c r="E175" s="33" t="s">
        <v>413</v>
      </c>
      <c r="F175" s="28" t="s">
        <v>216</v>
      </c>
      <c r="G175" s="28" t="s">
        <v>126</v>
      </c>
      <c r="H175" s="28"/>
      <c r="I175" s="28"/>
      <c r="J175" s="28"/>
      <c r="K175" s="27" t="s">
        <v>954</v>
      </c>
      <c r="L175" s="55">
        <f ca="1">VLOOKUP($A175, Stat!$A$1:$C$1000, 2,0)</f>
        <v>5</v>
      </c>
      <c r="M175" s="55">
        <f ca="1">VLOOKUP($A175, Stat!$A$1:$C$1000, 3,0)</f>
        <v>1</v>
      </c>
      <c r="N175" s="27">
        <v>1</v>
      </c>
      <c r="R175" s="29"/>
      <c r="S175" s="29"/>
      <c r="T175" s="29"/>
      <c r="U175" s="30">
        <v>100</v>
      </c>
      <c r="V175" s="30">
        <v>0</v>
      </c>
      <c r="Z175" s="30" t="s">
        <v>933</v>
      </c>
    </row>
    <row r="176" spans="1:26" ht="13.15" customHeight="1" x14ac:dyDescent="0.2">
      <c r="A176" s="30">
        <v>213</v>
      </c>
      <c r="B176" s="30" t="s">
        <v>13</v>
      </c>
      <c r="C176" s="30" t="s">
        <v>41</v>
      </c>
      <c r="D176" s="30" t="s">
        <v>861</v>
      </c>
      <c r="E176" s="33" t="s">
        <v>413</v>
      </c>
      <c r="F176" s="28" t="s">
        <v>216</v>
      </c>
      <c r="G176" s="28" t="s">
        <v>126</v>
      </c>
      <c r="H176" s="28"/>
      <c r="I176" s="28"/>
      <c r="J176" s="28"/>
      <c r="K176" s="27" t="s">
        <v>954</v>
      </c>
      <c r="L176" s="55">
        <f ca="1">VLOOKUP($A176, Stat!$A$1:$C$1000, 2,0)</f>
        <v>23</v>
      </c>
      <c r="M176" s="55">
        <f ca="1">VLOOKUP($A176, Stat!$A$1:$C$1000, 3,0)</f>
        <v>8</v>
      </c>
      <c r="N176" s="27">
        <v>1</v>
      </c>
      <c r="R176" s="29"/>
      <c r="S176" s="29"/>
      <c r="T176" s="29"/>
      <c r="U176" s="30">
        <v>50</v>
      </c>
      <c r="V176" s="30">
        <v>0</v>
      </c>
      <c r="Z176" s="30" t="s">
        <v>934</v>
      </c>
    </row>
    <row r="177" spans="1:26" ht="13.15" customHeight="1" x14ac:dyDescent="0.2">
      <c r="A177" s="30">
        <v>216</v>
      </c>
      <c r="B177" s="30" t="s">
        <v>13</v>
      </c>
      <c r="C177" s="30" t="s">
        <v>93</v>
      </c>
      <c r="D177" s="30" t="s">
        <v>774</v>
      </c>
      <c r="E177" s="33" t="s">
        <v>775</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778</v>
      </c>
    </row>
    <row r="178" spans="1:26" ht="13.15" customHeight="1" x14ac:dyDescent="0.2">
      <c r="A178" s="30">
        <v>217</v>
      </c>
      <c r="B178" s="30" t="s">
        <v>13</v>
      </c>
      <c r="C178" s="30" t="s">
        <v>93</v>
      </c>
      <c r="D178" s="30" t="s">
        <v>774</v>
      </c>
      <c r="E178" s="33" t="s">
        <v>776</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950</v>
      </c>
    </row>
    <row r="179" spans="1:26" ht="13.15" customHeight="1" x14ac:dyDescent="0.2">
      <c r="A179" s="30">
        <v>218</v>
      </c>
      <c r="B179" s="30" t="s">
        <v>13</v>
      </c>
      <c r="C179" s="30" t="s">
        <v>93</v>
      </c>
      <c r="D179" s="30" t="s">
        <v>774</v>
      </c>
      <c r="E179" s="33" t="s">
        <v>777</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779</v>
      </c>
    </row>
    <row r="180" spans="1:26" ht="13.15" customHeight="1" x14ac:dyDescent="0.2">
      <c r="A180" s="30">
        <v>219</v>
      </c>
      <c r="B180" s="30" t="s">
        <v>13</v>
      </c>
      <c r="C180" s="30" t="s">
        <v>93</v>
      </c>
      <c r="D180" s="30" t="s">
        <v>488</v>
      </c>
      <c r="E180" s="33" t="s">
        <v>491</v>
      </c>
      <c r="F180" s="69" t="s">
        <v>220</v>
      </c>
      <c r="G180" s="28"/>
      <c r="H180" s="28" t="s">
        <v>111</v>
      </c>
      <c r="I180" s="29"/>
      <c r="J180" s="29"/>
      <c r="K180" s="28" t="s">
        <v>984</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984</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984</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793</v>
      </c>
      <c r="E183" s="30" t="s">
        <v>911</v>
      </c>
      <c r="H183" s="28" t="s">
        <v>111</v>
      </c>
      <c r="U183" s="30">
        <v>50</v>
      </c>
      <c r="V183" s="30">
        <v>0</v>
      </c>
      <c r="Z183" s="30" t="s">
        <v>764</v>
      </c>
    </row>
    <row r="184" spans="1:26" x14ac:dyDescent="0.2">
      <c r="A184" s="30">
        <v>223</v>
      </c>
      <c r="B184" s="30" t="s">
        <v>13</v>
      </c>
      <c r="C184" s="30" t="s">
        <v>496</v>
      </c>
      <c r="D184" s="30" t="s">
        <v>973</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766</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767</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765</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781</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986</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898</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868</v>
      </c>
      <c r="E202" s="33" t="s">
        <v>98</v>
      </c>
      <c r="F202" s="28" t="s">
        <v>216</v>
      </c>
      <c r="G202" s="28" t="s">
        <v>111</v>
      </c>
      <c r="H202" s="28"/>
      <c r="I202" s="28"/>
      <c r="J202" s="28"/>
      <c r="K202" s="27" t="s">
        <v>954</v>
      </c>
      <c r="L202" s="55">
        <f ca="1">VLOOKUP($A202, Stat!$A$1:$C$1000, 2,0)</f>
        <v>9</v>
      </c>
      <c r="M202" s="55">
        <f ca="1">VLOOKUP($A202, Stat!$A$1:$C$1000, 3,0)</f>
        <v>1</v>
      </c>
      <c r="N202" s="27">
        <v>1</v>
      </c>
      <c r="R202" s="29"/>
      <c r="S202" s="29"/>
      <c r="T202" s="29"/>
      <c r="U202" s="30">
        <v>0</v>
      </c>
      <c r="V202" s="30">
        <v>1</v>
      </c>
      <c r="Y202" s="30" t="s">
        <v>870</v>
      </c>
      <c r="Z202" s="30" t="s">
        <v>785</v>
      </c>
    </row>
    <row r="203" spans="1:26" ht="13.15" customHeight="1" x14ac:dyDescent="0.2">
      <c r="A203" s="30">
        <v>249</v>
      </c>
      <c r="B203" s="30" t="s">
        <v>13</v>
      </c>
      <c r="C203" s="30" t="s">
        <v>41</v>
      </c>
      <c r="D203" s="30" t="s">
        <v>868</v>
      </c>
      <c r="E203" s="33" t="s">
        <v>784</v>
      </c>
      <c r="F203" s="28" t="s">
        <v>216</v>
      </c>
      <c r="G203" s="28" t="s">
        <v>111</v>
      </c>
      <c r="H203" s="28"/>
      <c r="I203" s="28"/>
      <c r="J203" s="28"/>
      <c r="K203" s="27" t="s">
        <v>954</v>
      </c>
      <c r="L203" s="55">
        <f ca="1">VLOOKUP($A203, Stat!$A$1:$C$1000, 2,0)</f>
        <v>72</v>
      </c>
      <c r="M203" s="55">
        <f ca="1">VLOOKUP($A203, Stat!$A$1:$C$1000, 3,0)</f>
        <v>9</v>
      </c>
      <c r="N203" s="27">
        <v>1</v>
      </c>
      <c r="R203" s="32"/>
      <c r="S203" s="29"/>
      <c r="T203" s="29"/>
      <c r="U203" s="30">
        <v>0</v>
      </c>
      <c r="V203" s="30">
        <v>1</v>
      </c>
      <c r="Y203" s="30" t="s">
        <v>870</v>
      </c>
      <c r="Z203" s="30" t="s">
        <v>789</v>
      </c>
    </row>
    <row r="204" spans="1:26" x14ac:dyDescent="0.2">
      <c r="A204" s="30">
        <v>250</v>
      </c>
      <c r="B204" s="30" t="s">
        <v>13</v>
      </c>
      <c r="C204" s="30" t="s">
        <v>41</v>
      </c>
      <c r="D204" s="30" t="s">
        <v>868</v>
      </c>
      <c r="E204" s="33" t="s">
        <v>783</v>
      </c>
      <c r="F204" s="28" t="s">
        <v>216</v>
      </c>
      <c r="G204" s="28" t="s">
        <v>111</v>
      </c>
      <c r="H204" s="28"/>
      <c r="I204" s="28"/>
      <c r="J204" s="28"/>
      <c r="K204" s="27" t="s">
        <v>954</v>
      </c>
      <c r="L204" s="55">
        <f ca="1">VLOOKUP($A204, Stat!$A$1:$C$1000, 2,0)</f>
        <v>18</v>
      </c>
      <c r="M204" s="55">
        <f ca="1">VLOOKUP($A204, Stat!$A$1:$C$1000, 3,0)</f>
        <v>5</v>
      </c>
      <c r="N204" s="27">
        <v>1</v>
      </c>
      <c r="R204" s="28" t="s">
        <v>113</v>
      </c>
      <c r="S204" s="29"/>
      <c r="T204" s="29"/>
      <c r="U204" s="30">
        <v>50</v>
      </c>
      <c r="V204" s="30">
        <v>0</v>
      </c>
      <c r="Y204" s="30" t="s">
        <v>870</v>
      </c>
      <c r="Z204" s="30" t="s">
        <v>786</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918</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872</v>
      </c>
      <c r="E207" s="30" t="s">
        <v>918</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902</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846</v>
      </c>
      <c r="H209" s="28" t="s">
        <v>111</v>
      </c>
      <c r="L209" s="55">
        <f ca="1">VLOOKUP($A209, Stat!$A$1:$C$1000, 2,0)</f>
        <v>5</v>
      </c>
      <c r="M209" s="55">
        <f ca="1">VLOOKUP($A209, Stat!$A$1:$C$1000, 3,0)</f>
        <v>5</v>
      </c>
      <c r="N209" s="27">
        <v>1</v>
      </c>
      <c r="U209" s="30">
        <v>100</v>
      </c>
      <c r="V209" s="30">
        <v>0</v>
      </c>
      <c r="Y209" s="30" t="s">
        <v>781</v>
      </c>
      <c r="Z209" s="30" t="s">
        <v>790</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975</v>
      </c>
      <c r="E211" s="33" t="s">
        <v>746</v>
      </c>
      <c r="F211" s="27">
        <v>7</v>
      </c>
      <c r="G211" s="27">
        <v>3</v>
      </c>
      <c r="H211" s="28"/>
      <c r="K211" s="27" t="s">
        <v>954</v>
      </c>
      <c r="L211" s="55">
        <f ca="1">VLOOKUP($A211, Stat!$A$1:$C$1000, 2,0)</f>
        <v>6</v>
      </c>
      <c r="M211" s="55">
        <f ca="1">VLOOKUP($A211, Stat!$A$1:$C$1000, 3,0)</f>
        <v>3</v>
      </c>
      <c r="N211" s="27">
        <v>1</v>
      </c>
      <c r="U211" s="30">
        <v>50</v>
      </c>
      <c r="V211" s="30">
        <v>0</v>
      </c>
      <c r="Z211" s="30" t="s">
        <v>750</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705</v>
      </c>
      <c r="E213" s="30" t="s">
        <v>918</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848</v>
      </c>
      <c r="F214" s="70">
        <v>12</v>
      </c>
      <c r="H214" s="28" t="s">
        <v>111</v>
      </c>
      <c r="K214" s="28" t="s">
        <v>984</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918</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984</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984</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741</v>
      </c>
      <c r="F218" s="70">
        <v>12</v>
      </c>
      <c r="H218" s="28" t="s">
        <v>111</v>
      </c>
      <c r="K218" s="28" t="s">
        <v>984</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740</v>
      </c>
      <c r="F219" s="70">
        <v>12</v>
      </c>
      <c r="H219" s="28" t="s">
        <v>111</v>
      </c>
      <c r="K219" s="28" t="s">
        <v>984</v>
      </c>
      <c r="L219" s="55">
        <f ca="1">VLOOKUP($A219, Stat!$A$1:$C$1000, 2,0)</f>
        <v>0</v>
      </c>
      <c r="M219" s="55">
        <f ca="1">VLOOKUP($A219, Stat!$A$1:$C$1000, 3,0)</f>
        <v>0</v>
      </c>
      <c r="N219" s="27">
        <v>1</v>
      </c>
      <c r="U219" s="30">
        <v>50</v>
      </c>
      <c r="V219" s="30">
        <v>0</v>
      </c>
      <c r="Z219" s="30" t="s">
        <v>742</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887</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888</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855</v>
      </c>
      <c r="E224" s="30" t="s">
        <v>856</v>
      </c>
      <c r="F224" s="27">
        <v>1</v>
      </c>
      <c r="H224" s="28" t="s">
        <v>111</v>
      </c>
      <c r="L224" s="55">
        <f ca="1">VLOOKUP($A224, Stat!$A$1:$C$1000, 2,0)</f>
        <v>2</v>
      </c>
      <c r="M224" s="57">
        <f ca="1">VLOOKUP($A224, Stat!$A$1:$C$1000, 3,0)</f>
        <v>1</v>
      </c>
      <c r="N224" s="27">
        <v>1</v>
      </c>
      <c r="U224" s="30">
        <v>50</v>
      </c>
      <c r="V224" s="30">
        <v>0</v>
      </c>
      <c r="Z224" s="30" t="s">
        <v>857</v>
      </c>
    </row>
    <row r="225" spans="1:26" x14ac:dyDescent="0.2">
      <c r="A225" s="30">
        <v>309</v>
      </c>
      <c r="B225" s="30" t="s">
        <v>13</v>
      </c>
      <c r="C225" s="30" t="s">
        <v>13</v>
      </c>
      <c r="D225" s="30" t="s">
        <v>855</v>
      </c>
      <c r="E225" s="30" t="s">
        <v>854</v>
      </c>
      <c r="F225" s="27">
        <v>1</v>
      </c>
      <c r="H225" s="28" t="s">
        <v>111</v>
      </c>
      <c r="L225" s="55">
        <f ca="1">VLOOKUP($A225, Stat!$A$1:$C$1000, 2,0)</f>
        <v>2</v>
      </c>
      <c r="M225" s="55">
        <f ca="1">VLOOKUP($A225, Stat!$A$1:$C$1000, 3,0)</f>
        <v>1</v>
      </c>
      <c r="N225" s="27">
        <v>1</v>
      </c>
      <c r="U225" s="30">
        <v>50</v>
      </c>
      <c r="V225" s="30">
        <v>0</v>
      </c>
      <c r="Z225" s="30" t="s">
        <v>858</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889</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868</v>
      </c>
      <c r="E231" s="30" t="s">
        <v>39</v>
      </c>
      <c r="F231" s="27">
        <v>7</v>
      </c>
      <c r="G231" s="27">
        <v>1</v>
      </c>
      <c r="H231" s="28"/>
      <c r="K231" s="27" t="s">
        <v>954</v>
      </c>
      <c r="L231" s="55">
        <f ca="1">VLOOKUP($A231, Stat!$A$1:$C$1000, 2,0)</f>
        <v>19</v>
      </c>
      <c r="M231" s="55">
        <f ca="1">VLOOKUP($A231, Stat!$A$1:$C$1000, 3,0)</f>
        <v>5</v>
      </c>
      <c r="N231" s="27">
        <v>1</v>
      </c>
      <c r="U231" s="30">
        <v>100</v>
      </c>
      <c r="V231" s="30">
        <v>0</v>
      </c>
      <c r="Y231" s="30" t="s">
        <v>870</v>
      </c>
      <c r="Z231" s="30" t="s">
        <v>787</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919</v>
      </c>
      <c r="Z232" s="30" t="s">
        <v>368</v>
      </c>
    </row>
    <row r="233" spans="1:26" x14ac:dyDescent="0.2">
      <c r="A233" s="30">
        <v>324</v>
      </c>
      <c r="B233" s="30" t="s">
        <v>13</v>
      </c>
      <c r="C233" s="30" t="s">
        <v>41</v>
      </c>
      <c r="D233" s="30" t="s">
        <v>486</v>
      </c>
      <c r="E233" s="30" t="s">
        <v>912</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913</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913</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923</v>
      </c>
      <c r="E236" s="30" t="s">
        <v>957</v>
      </c>
      <c r="H236" s="28" t="s">
        <v>111</v>
      </c>
      <c r="L236" s="57">
        <f ca="1">VLOOKUP($A236, Stat!$A$1:$C$1000, 2,0)</f>
        <v>0</v>
      </c>
      <c r="M236" s="57">
        <f ca="1">VLOOKUP($A236, Stat!$A$1:$C$1000, 3,0)</f>
        <v>0</v>
      </c>
      <c r="N236" s="27">
        <v>1</v>
      </c>
      <c r="U236" s="30">
        <v>50</v>
      </c>
      <c r="V236" s="30">
        <v>0</v>
      </c>
      <c r="Z236" s="30" t="s">
        <v>926</v>
      </c>
    </row>
    <row r="237" spans="1:26" x14ac:dyDescent="0.2">
      <c r="A237" s="30">
        <v>335</v>
      </c>
      <c r="B237" s="30" t="s">
        <v>13</v>
      </c>
      <c r="C237" s="30" t="s">
        <v>725</v>
      </c>
      <c r="D237" s="30" t="s">
        <v>769</v>
      </c>
      <c r="E237" s="30" t="s">
        <v>768</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728</v>
      </c>
      <c r="E238" s="30" t="s">
        <v>180</v>
      </c>
      <c r="H238" s="28" t="s">
        <v>111</v>
      </c>
      <c r="L238" s="55">
        <f ca="1">VLOOKUP($A238, Stat!$A$1:$C$1000, 2,0)</f>
        <v>43</v>
      </c>
      <c r="M238" s="55">
        <f ca="1">VLOOKUP($A238, Stat!$A$1:$C$1000, 3,0)</f>
        <v>0</v>
      </c>
      <c r="N238" s="58"/>
      <c r="O238" s="27">
        <v>1</v>
      </c>
      <c r="S238" s="27">
        <v>1</v>
      </c>
      <c r="U238" s="30">
        <v>0</v>
      </c>
      <c r="V238" s="30">
        <v>0</v>
      </c>
      <c r="Z238" s="30" t="s">
        <v>890</v>
      </c>
    </row>
    <row r="239" spans="1:26" x14ac:dyDescent="0.2">
      <c r="A239" s="30">
        <v>342</v>
      </c>
      <c r="B239" s="30" t="s">
        <v>28</v>
      </c>
      <c r="C239" s="30" t="s">
        <v>11</v>
      </c>
      <c r="D239" s="30" t="s">
        <v>398</v>
      </c>
      <c r="E239" s="30" t="s">
        <v>547</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812</v>
      </c>
      <c r="F241" s="70">
        <v>9</v>
      </c>
      <c r="H241" s="28" t="s">
        <v>111</v>
      </c>
      <c r="K241" s="28" t="s">
        <v>226</v>
      </c>
      <c r="L241" s="55">
        <f ca="1">VLOOKUP($A241, Stat!$A$1:$C$1000, 2,0)</f>
        <v>17</v>
      </c>
      <c r="M241" s="55">
        <f ca="1">VLOOKUP($A241, Stat!$A$1:$C$1000, 3,0)</f>
        <v>0</v>
      </c>
      <c r="N241" s="58"/>
      <c r="U241" s="30">
        <v>0</v>
      </c>
      <c r="V241" s="30">
        <v>0</v>
      </c>
      <c r="Z241" s="30" t="s">
        <v>891</v>
      </c>
    </row>
    <row r="242" spans="1:26" x14ac:dyDescent="0.2">
      <c r="A242" s="30">
        <v>345</v>
      </c>
      <c r="B242" s="30" t="s">
        <v>28</v>
      </c>
      <c r="C242" s="30" t="s">
        <v>568</v>
      </c>
      <c r="D242" s="30" t="s">
        <v>182</v>
      </c>
      <c r="E242" s="30" t="s">
        <v>813</v>
      </c>
      <c r="F242" s="70">
        <v>9</v>
      </c>
      <c r="H242" s="28" t="s">
        <v>111</v>
      </c>
      <c r="K242" s="28" t="s">
        <v>226</v>
      </c>
      <c r="L242" s="55">
        <f ca="1">VLOOKUP($A242, Stat!$A$1:$C$1000, 2,0)</f>
        <v>27</v>
      </c>
      <c r="M242" s="55">
        <f ca="1">VLOOKUP($A242, Stat!$A$1:$C$1000, 3,0)</f>
        <v>0</v>
      </c>
      <c r="N242" s="58"/>
      <c r="U242" s="30">
        <v>0</v>
      </c>
      <c r="V242" s="30">
        <v>0</v>
      </c>
      <c r="Z242" s="30" t="s">
        <v>891</v>
      </c>
    </row>
    <row r="243" spans="1:26" x14ac:dyDescent="0.2">
      <c r="A243" s="30">
        <v>346</v>
      </c>
      <c r="B243" s="30" t="s">
        <v>28</v>
      </c>
      <c r="C243" s="30" t="s">
        <v>568</v>
      </c>
      <c r="D243" s="30" t="s">
        <v>182</v>
      </c>
      <c r="E243" s="30" t="s">
        <v>814</v>
      </c>
      <c r="F243" s="70">
        <v>9</v>
      </c>
      <c r="H243" s="28" t="s">
        <v>111</v>
      </c>
      <c r="K243" s="28" t="s">
        <v>226</v>
      </c>
      <c r="L243" s="55">
        <f ca="1">VLOOKUP($A243, Stat!$A$1:$C$1000, 2,0)</f>
        <v>3</v>
      </c>
      <c r="M243" s="55">
        <f ca="1">VLOOKUP($A243, Stat!$A$1:$C$1000, 3,0)</f>
        <v>0</v>
      </c>
      <c r="N243" s="58"/>
      <c r="U243" s="30">
        <v>0</v>
      </c>
      <c r="V243" s="30">
        <v>0</v>
      </c>
      <c r="Z243" s="30" t="s">
        <v>891</v>
      </c>
    </row>
    <row r="244" spans="1:26" x14ac:dyDescent="0.2">
      <c r="A244" s="30">
        <v>348</v>
      </c>
      <c r="B244" s="30" t="s">
        <v>28</v>
      </c>
      <c r="C244" s="30" t="s">
        <v>568</v>
      </c>
      <c r="D244" s="30" t="s">
        <v>561</v>
      </c>
      <c r="E244" s="30" t="s">
        <v>904</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892</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893</v>
      </c>
    </row>
    <row r="247" spans="1:26" x14ac:dyDescent="0.2">
      <c r="A247" s="30">
        <v>360</v>
      </c>
      <c r="B247" s="30" t="s">
        <v>28</v>
      </c>
      <c r="C247" s="30" t="s">
        <v>11</v>
      </c>
      <c r="D247" s="30" t="s">
        <v>396</v>
      </c>
      <c r="E247" s="30" t="s">
        <v>547</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730</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868</v>
      </c>
      <c r="E256" s="30" t="s">
        <v>199</v>
      </c>
      <c r="F256" s="27">
        <v>7</v>
      </c>
      <c r="G256" s="27">
        <v>1</v>
      </c>
      <c r="H256" s="28"/>
      <c r="K256" s="27" t="s">
        <v>954</v>
      </c>
      <c r="L256" s="55">
        <f ca="1">VLOOKUP($A256, Stat!$A$1:$C$1000, 2,0)</f>
        <v>0</v>
      </c>
      <c r="M256" s="55">
        <f ca="1">VLOOKUP($A256, Stat!$A$1:$C$1000, 3,0)</f>
        <v>0</v>
      </c>
      <c r="N256" s="27">
        <v>1</v>
      </c>
      <c r="U256" s="30">
        <v>0</v>
      </c>
      <c r="V256" s="30">
        <v>1</v>
      </c>
      <c r="Y256" s="30" t="s">
        <v>870</v>
      </c>
      <c r="Z256" s="30" t="s">
        <v>198</v>
      </c>
    </row>
    <row r="257" spans="1:26" x14ac:dyDescent="0.2">
      <c r="A257" s="30">
        <v>377</v>
      </c>
      <c r="B257" s="30" t="s">
        <v>13</v>
      </c>
      <c r="C257" s="30" t="s">
        <v>650</v>
      </c>
      <c r="D257" s="30" t="s">
        <v>791</v>
      </c>
      <c r="E257" s="30" t="s">
        <v>56</v>
      </c>
      <c r="F257" s="27">
        <v>1</v>
      </c>
      <c r="H257" s="28"/>
      <c r="L257" s="55">
        <f ca="1">VLOOKUP($A257, Stat!$A$1:$C$1000, 2,0)</f>
        <v>6</v>
      </c>
      <c r="M257" s="59">
        <f ca="1">VLOOKUP($A257, Stat!$A$1:$C$1000, 3,0)</f>
        <v>1</v>
      </c>
      <c r="U257" s="30">
        <v>100</v>
      </c>
      <c r="V257" s="30">
        <v>0</v>
      </c>
      <c r="Y257" s="30" t="s">
        <v>737</v>
      </c>
    </row>
    <row r="258" spans="1:26" x14ac:dyDescent="0.2">
      <c r="A258" s="30">
        <v>378</v>
      </c>
      <c r="B258" s="30" t="s">
        <v>13</v>
      </c>
      <c r="C258" s="30" t="s">
        <v>650</v>
      </c>
      <c r="D258" s="30" t="s">
        <v>791</v>
      </c>
      <c r="E258" s="30" t="s">
        <v>57</v>
      </c>
      <c r="F258" s="27">
        <v>1</v>
      </c>
      <c r="H258" s="28"/>
      <c r="L258" s="55">
        <f ca="1">VLOOKUP($A258, Stat!$A$1:$C$1000, 2,0)</f>
        <v>7</v>
      </c>
      <c r="M258" s="59">
        <f ca="1">VLOOKUP($A258, Stat!$A$1:$C$1000, 3,0)</f>
        <v>0</v>
      </c>
      <c r="N258" s="27">
        <v>1</v>
      </c>
      <c r="U258" s="30">
        <v>100</v>
      </c>
      <c r="V258" s="30">
        <v>0</v>
      </c>
      <c r="Y258" s="30" t="s">
        <v>737</v>
      </c>
    </row>
    <row r="259" spans="1:26" x14ac:dyDescent="0.2">
      <c r="A259" s="30">
        <v>379</v>
      </c>
      <c r="B259" s="30" t="s">
        <v>13</v>
      </c>
      <c r="C259" s="30" t="s">
        <v>496</v>
      </c>
      <c r="D259" s="30" t="s">
        <v>738</v>
      </c>
      <c r="E259" s="30" t="s">
        <v>915</v>
      </c>
      <c r="F259" s="27">
        <v>12</v>
      </c>
      <c r="H259" s="28" t="s">
        <v>129</v>
      </c>
      <c r="K259" s="28" t="s">
        <v>987</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868</v>
      </c>
      <c r="E261" s="30" t="s">
        <v>209</v>
      </c>
      <c r="F261" s="27">
        <v>7</v>
      </c>
      <c r="G261" s="27">
        <v>1</v>
      </c>
      <c r="H261" s="28"/>
      <c r="K261" s="27" t="s">
        <v>954</v>
      </c>
      <c r="L261" s="27">
        <f ca="1">VLOOKUP($A261, Stat!$A$1:$C$1000, 2,0)</f>
        <v>22</v>
      </c>
      <c r="M261" s="27">
        <f ca="1">VLOOKUP($A261, Stat!$A$1:$C$1000, 3,0)</f>
        <v>2</v>
      </c>
      <c r="N261" s="27">
        <v>1</v>
      </c>
      <c r="U261" s="30">
        <v>50</v>
      </c>
      <c r="V261" s="30">
        <v>0</v>
      </c>
      <c r="Y261" s="30" t="s">
        <v>870</v>
      </c>
      <c r="Z261" s="30" t="s">
        <v>788</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849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753</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753</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753</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754</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754</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754</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799</v>
      </c>
      <c r="E283" s="30" t="s">
        <v>2</v>
      </c>
      <c r="F283" s="27">
        <v>5</v>
      </c>
      <c r="H283" s="28" t="s">
        <v>111</v>
      </c>
      <c r="L283" s="27">
        <f ca="1">VLOOKUP($A283, Stat!$A$1:$C$1000, 2,0)</f>
        <v>72</v>
      </c>
      <c r="M283" s="27">
        <f ca="1">VLOOKUP($A283, Stat!$A$1:$C$1000, 3,0)</f>
        <v>5</v>
      </c>
      <c r="R283" s="27">
        <v>506</v>
      </c>
      <c r="U283" s="30">
        <v>0</v>
      </c>
      <c r="V283" s="30">
        <v>1</v>
      </c>
      <c r="W283" s="30">
        <v>35</v>
      </c>
      <c r="Y283" s="30" t="s">
        <v>802</v>
      </c>
    </row>
    <row r="284" spans="1:26" x14ac:dyDescent="0.2">
      <c r="A284" s="30">
        <v>415</v>
      </c>
      <c r="B284" s="30" t="s">
        <v>28</v>
      </c>
      <c r="C284" s="30" t="s">
        <v>596</v>
      </c>
      <c r="D284" s="30" t="s">
        <v>799</v>
      </c>
      <c r="E284" s="30" t="s">
        <v>3</v>
      </c>
      <c r="F284" s="27">
        <v>5</v>
      </c>
      <c r="H284" s="28" t="s">
        <v>111</v>
      </c>
      <c r="L284" s="27">
        <f ca="1">VLOOKUP($A284, Stat!$A$1:$C$1000, 2,0)</f>
        <v>35</v>
      </c>
      <c r="M284" s="27">
        <f ca="1">VLOOKUP($A284, Stat!$A$1:$C$1000, 3,0)</f>
        <v>0</v>
      </c>
      <c r="R284" s="27">
        <v>507</v>
      </c>
      <c r="U284" s="30">
        <v>0</v>
      </c>
      <c r="V284" s="30">
        <v>1</v>
      </c>
      <c r="W284" s="30">
        <v>35</v>
      </c>
      <c r="Y284" s="30" t="s">
        <v>802</v>
      </c>
    </row>
    <row r="285" spans="1:26" x14ac:dyDescent="0.2">
      <c r="A285" s="30">
        <v>416</v>
      </c>
      <c r="B285" s="30" t="s">
        <v>28</v>
      </c>
      <c r="C285" s="30" t="s">
        <v>596</v>
      </c>
      <c r="D285" s="30" t="s">
        <v>799</v>
      </c>
      <c r="E285" s="30" t="s">
        <v>4</v>
      </c>
      <c r="F285" s="27">
        <v>5</v>
      </c>
      <c r="H285" s="28" t="s">
        <v>111</v>
      </c>
      <c r="L285" s="27">
        <f ca="1">VLOOKUP($A285, Stat!$A$1:$C$1000, 2,0)</f>
        <v>23</v>
      </c>
      <c r="M285" s="27">
        <f ca="1">VLOOKUP($A285, Stat!$A$1:$C$1000, 3,0)</f>
        <v>0</v>
      </c>
      <c r="R285" s="27">
        <v>508</v>
      </c>
      <c r="U285" s="30">
        <v>0</v>
      </c>
      <c r="V285" s="30">
        <v>1</v>
      </c>
      <c r="W285" s="30">
        <v>35</v>
      </c>
      <c r="Y285" s="30" t="s">
        <v>802</v>
      </c>
    </row>
    <row r="286" spans="1:26" x14ac:dyDescent="0.2">
      <c r="A286" s="30">
        <v>417</v>
      </c>
      <c r="B286" s="30" t="s">
        <v>28</v>
      </c>
      <c r="C286" s="30" t="s">
        <v>596</v>
      </c>
      <c r="D286" s="30" t="s">
        <v>799</v>
      </c>
      <c r="E286" s="30" t="s">
        <v>34</v>
      </c>
      <c r="F286" s="27">
        <v>5</v>
      </c>
      <c r="H286" s="28" t="s">
        <v>111</v>
      </c>
      <c r="L286" s="27">
        <f ca="1">VLOOKUP($A286, Stat!$A$1:$C$1000, 2,0)</f>
        <v>11</v>
      </c>
      <c r="M286" s="27">
        <f ca="1">VLOOKUP($A286, Stat!$A$1:$C$1000, 3,0)</f>
        <v>4</v>
      </c>
      <c r="R286" s="27">
        <v>509</v>
      </c>
      <c r="U286" s="30">
        <v>0</v>
      </c>
      <c r="V286" s="30">
        <v>1</v>
      </c>
      <c r="W286" s="30">
        <v>35</v>
      </c>
      <c r="Y286" s="30" t="s">
        <v>802</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919</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780</v>
      </c>
      <c r="H290" s="28" t="s">
        <v>111</v>
      </c>
      <c r="L290" s="27">
        <f ca="1">VLOOKUP($A290, Stat!$A$1:$C$1000, 2,0)</f>
        <v>24</v>
      </c>
      <c r="M290" s="27">
        <f ca="1">VLOOKUP($A290, Stat!$A$1:$C$1000, 3,0)</f>
        <v>0</v>
      </c>
      <c r="N290" s="27">
        <v>1</v>
      </c>
      <c r="U290" s="30">
        <v>100</v>
      </c>
      <c r="V290" s="30">
        <v>0</v>
      </c>
      <c r="Y290" s="30" t="s">
        <v>781</v>
      </c>
      <c r="Z290" s="30" t="s">
        <v>782</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878</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878</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879</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879</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755</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895</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896</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896</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896</v>
      </c>
    </row>
    <row r="301" spans="1:26" x14ac:dyDescent="0.2">
      <c r="A301" s="30">
        <v>458</v>
      </c>
      <c r="B301" s="30" t="s">
        <v>13</v>
      </c>
      <c r="C301" s="30" t="s">
        <v>93</v>
      </c>
      <c r="D301" s="30" t="s">
        <v>972</v>
      </c>
      <c r="E301" s="30" t="s">
        <v>914</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954</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954</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869</v>
      </c>
      <c r="E324" s="30" t="s">
        <v>98</v>
      </c>
      <c r="F324" s="27">
        <v>7</v>
      </c>
      <c r="G324" s="27">
        <v>1</v>
      </c>
      <c r="H324" s="28"/>
      <c r="K324" s="27" t="s">
        <v>954</v>
      </c>
      <c r="L324" s="27">
        <f ca="1">VLOOKUP($A324, Stat!$A$1:$C$1000, 2,0)</f>
        <v>22</v>
      </c>
      <c r="M324" s="27">
        <f ca="1">VLOOKUP($A324, Stat!$A$1:$C$1000, 3,0)</f>
        <v>3</v>
      </c>
      <c r="N324" s="27">
        <v>1</v>
      </c>
      <c r="U324" s="30">
        <v>0</v>
      </c>
      <c r="V324" s="30">
        <v>1</v>
      </c>
      <c r="Y324" s="30" t="s">
        <v>871</v>
      </c>
      <c r="Z324" s="30" t="s">
        <v>785</v>
      </c>
    </row>
    <row r="325" spans="1:26" x14ac:dyDescent="0.2">
      <c r="A325" s="30">
        <v>485</v>
      </c>
      <c r="B325" s="30" t="s">
        <v>13</v>
      </c>
      <c r="C325" s="30" t="s">
        <v>41</v>
      </c>
      <c r="D325" s="30" t="s">
        <v>869</v>
      </c>
      <c r="E325" s="30" t="s">
        <v>199</v>
      </c>
      <c r="F325" s="27">
        <v>7</v>
      </c>
      <c r="G325" s="27">
        <v>1</v>
      </c>
      <c r="H325" s="28"/>
      <c r="K325" s="27" t="s">
        <v>954</v>
      </c>
      <c r="L325" s="27">
        <f ca="1">VLOOKUP($A325, Stat!$A$1:$C$1000, 2,0)</f>
        <v>8</v>
      </c>
      <c r="M325" s="27">
        <f ca="1">VLOOKUP($A325, Stat!$A$1:$C$1000, 3,0)</f>
        <v>4</v>
      </c>
      <c r="N325" s="27">
        <v>1</v>
      </c>
      <c r="U325" s="30">
        <v>0</v>
      </c>
      <c r="V325" s="30">
        <v>1</v>
      </c>
      <c r="Y325" s="30" t="s">
        <v>871</v>
      </c>
      <c r="Z325" s="30" t="s">
        <v>198</v>
      </c>
    </row>
    <row r="326" spans="1:26" x14ac:dyDescent="0.2">
      <c r="A326" s="30">
        <v>488</v>
      </c>
      <c r="B326" s="30" t="s">
        <v>13</v>
      </c>
      <c r="C326" s="30" t="s">
        <v>41</v>
      </c>
      <c r="D326" s="30" t="s">
        <v>869</v>
      </c>
      <c r="E326" s="30" t="s">
        <v>784</v>
      </c>
      <c r="F326" s="27">
        <v>7</v>
      </c>
      <c r="G326" s="27">
        <v>1</v>
      </c>
      <c r="H326" s="28"/>
      <c r="K326" s="27" t="s">
        <v>954</v>
      </c>
      <c r="L326" s="27">
        <f ca="1">VLOOKUP($A326, Stat!$A$1:$C$1000, 2,0)</f>
        <v>81</v>
      </c>
      <c r="M326" s="27">
        <f ca="1">VLOOKUP($A326, Stat!$A$1:$C$1000, 3,0)</f>
        <v>28</v>
      </c>
      <c r="N326" s="27">
        <v>1</v>
      </c>
      <c r="U326" s="30">
        <v>0</v>
      </c>
      <c r="V326" s="30">
        <v>1</v>
      </c>
      <c r="Y326" s="30" t="s">
        <v>871</v>
      </c>
      <c r="Z326" s="30" t="s">
        <v>789</v>
      </c>
    </row>
    <row r="327" spans="1:26" x14ac:dyDescent="0.2">
      <c r="A327" s="30">
        <v>490</v>
      </c>
      <c r="B327" s="30" t="s">
        <v>13</v>
      </c>
      <c r="C327" s="30" t="s">
        <v>41</v>
      </c>
      <c r="D327" s="30" t="s">
        <v>869</v>
      </c>
      <c r="E327" s="30" t="s">
        <v>39</v>
      </c>
      <c r="F327" s="27">
        <v>7</v>
      </c>
      <c r="G327" s="27">
        <v>1</v>
      </c>
      <c r="H327" s="28"/>
      <c r="K327" s="27" t="s">
        <v>954</v>
      </c>
      <c r="L327" s="27">
        <f ca="1">VLOOKUP($A327, Stat!$A$1:$C$1000, 2,0)</f>
        <v>42</v>
      </c>
      <c r="M327" s="27">
        <f ca="1">VLOOKUP($A327, Stat!$A$1:$C$1000, 3,0)</f>
        <v>12</v>
      </c>
      <c r="N327" s="27">
        <v>1</v>
      </c>
      <c r="U327" s="30">
        <v>100</v>
      </c>
      <c r="V327" s="30">
        <v>0</v>
      </c>
      <c r="Y327" s="30" t="s">
        <v>871</v>
      </c>
      <c r="Z327" s="30" t="s">
        <v>787</v>
      </c>
    </row>
    <row r="328" spans="1:26" x14ac:dyDescent="0.2">
      <c r="A328" s="30">
        <v>491</v>
      </c>
      <c r="B328" s="30" t="s">
        <v>13</v>
      </c>
      <c r="C328" s="30" t="s">
        <v>41</v>
      </c>
      <c r="D328" s="30" t="s">
        <v>869</v>
      </c>
      <c r="E328" s="30" t="s">
        <v>209</v>
      </c>
      <c r="F328" s="27">
        <v>7</v>
      </c>
      <c r="G328" s="27">
        <v>1</v>
      </c>
      <c r="H328" s="28"/>
      <c r="K328" s="27" t="s">
        <v>954</v>
      </c>
      <c r="L328" s="27">
        <f ca="1">VLOOKUP($A328, Stat!$A$1:$C$1000, 2,0)</f>
        <v>4</v>
      </c>
      <c r="M328" s="27">
        <f ca="1">VLOOKUP($A328, Stat!$A$1:$C$1000, 3,0)</f>
        <v>2</v>
      </c>
      <c r="N328" s="27">
        <v>1</v>
      </c>
      <c r="U328" s="30">
        <v>50</v>
      </c>
      <c r="V328" s="30">
        <v>0</v>
      </c>
      <c r="Y328" s="30" t="s">
        <v>871</v>
      </c>
      <c r="Z328" s="30" t="s">
        <v>788</v>
      </c>
    </row>
    <row r="329" spans="1:26" x14ac:dyDescent="0.2">
      <c r="A329" s="30">
        <v>492</v>
      </c>
      <c r="B329" s="30" t="s">
        <v>13</v>
      </c>
      <c r="C329" s="30" t="s">
        <v>41</v>
      </c>
      <c r="D329" s="30" t="s">
        <v>869</v>
      </c>
      <c r="E329" s="30" t="s">
        <v>783</v>
      </c>
      <c r="F329" s="27">
        <v>7</v>
      </c>
      <c r="G329" s="27">
        <v>1</v>
      </c>
      <c r="H329" s="28"/>
      <c r="K329" s="27" t="s">
        <v>954</v>
      </c>
      <c r="L329" s="27">
        <f ca="1">VLOOKUP($A329, Stat!$A$1:$C$1000, 2,0)</f>
        <v>43</v>
      </c>
      <c r="M329" s="27">
        <f ca="1">VLOOKUP($A329, Stat!$A$1:$C$1000, 3,0)</f>
        <v>12</v>
      </c>
      <c r="N329" s="27">
        <v>1</v>
      </c>
      <c r="R329" s="27">
        <v>488</v>
      </c>
      <c r="U329" s="30">
        <v>50</v>
      </c>
      <c r="V329" s="30">
        <v>0</v>
      </c>
      <c r="Y329" s="30" t="s">
        <v>871</v>
      </c>
      <c r="Z329" s="30" t="s">
        <v>786</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894</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894</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894</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894</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989</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990</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991</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798</v>
      </c>
      <c r="E343" s="30" t="s">
        <v>2</v>
      </c>
      <c r="F343" s="27">
        <v>5</v>
      </c>
      <c r="H343" s="28" t="s">
        <v>111</v>
      </c>
      <c r="N343" s="27">
        <v>1</v>
      </c>
      <c r="U343" s="30">
        <v>0</v>
      </c>
      <c r="V343" s="30">
        <v>1</v>
      </c>
      <c r="W343" s="30">
        <v>35</v>
      </c>
      <c r="Y343" s="30" t="s">
        <v>801</v>
      </c>
    </row>
    <row r="344" spans="1:26" x14ac:dyDescent="0.2">
      <c r="A344" s="30">
        <v>507</v>
      </c>
      <c r="B344" s="30" t="s">
        <v>28</v>
      </c>
      <c r="C344" s="30" t="s">
        <v>596</v>
      </c>
      <c r="D344" s="30" t="s">
        <v>798</v>
      </c>
      <c r="E344" s="30" t="s">
        <v>3</v>
      </c>
      <c r="F344" s="27">
        <v>5</v>
      </c>
      <c r="H344" s="28" t="s">
        <v>111</v>
      </c>
      <c r="N344" s="27">
        <v>1</v>
      </c>
      <c r="U344" s="30">
        <v>0</v>
      </c>
      <c r="V344" s="30">
        <v>1</v>
      </c>
      <c r="W344" s="30">
        <v>35</v>
      </c>
      <c r="Y344" s="30" t="s">
        <v>801</v>
      </c>
    </row>
    <row r="345" spans="1:26" x14ac:dyDescent="0.2">
      <c r="A345" s="30">
        <v>508</v>
      </c>
      <c r="B345" s="30" t="s">
        <v>28</v>
      </c>
      <c r="C345" s="30" t="s">
        <v>596</v>
      </c>
      <c r="D345" s="30" t="s">
        <v>798</v>
      </c>
      <c r="E345" s="30" t="s">
        <v>4</v>
      </c>
      <c r="F345" s="27">
        <v>5</v>
      </c>
      <c r="H345" s="28" t="s">
        <v>111</v>
      </c>
      <c r="N345" s="27">
        <v>1</v>
      </c>
      <c r="U345" s="30">
        <v>0</v>
      </c>
      <c r="V345" s="30">
        <v>1</v>
      </c>
      <c r="W345" s="30">
        <v>35</v>
      </c>
      <c r="Y345" s="30" t="s">
        <v>801</v>
      </c>
    </row>
    <row r="346" spans="1:26" x14ac:dyDescent="0.2">
      <c r="A346" s="30">
        <v>509</v>
      </c>
      <c r="B346" s="30" t="s">
        <v>28</v>
      </c>
      <c r="C346" s="30" t="s">
        <v>596</v>
      </c>
      <c r="D346" s="30" t="s">
        <v>798</v>
      </c>
      <c r="E346" s="30" t="s">
        <v>34</v>
      </c>
      <c r="F346" s="27">
        <v>5</v>
      </c>
      <c r="H346" s="28" t="s">
        <v>111</v>
      </c>
      <c r="N346" s="27">
        <v>1</v>
      </c>
      <c r="U346" s="30">
        <v>0</v>
      </c>
      <c r="V346" s="30">
        <v>1</v>
      </c>
      <c r="W346" s="30">
        <v>35</v>
      </c>
      <c r="Y346" s="30" t="s">
        <v>801</v>
      </c>
    </row>
    <row r="347" spans="1:26" x14ac:dyDescent="0.2">
      <c r="A347" s="30">
        <v>510</v>
      </c>
      <c r="B347" s="30" t="s">
        <v>28</v>
      </c>
      <c r="C347" s="30" t="s">
        <v>596</v>
      </c>
      <c r="D347" s="30" t="s">
        <v>797</v>
      </c>
      <c r="E347" s="30" t="s">
        <v>2</v>
      </c>
      <c r="F347" s="27">
        <v>5</v>
      </c>
      <c r="H347" s="28" t="s">
        <v>111</v>
      </c>
      <c r="N347" s="27">
        <v>1</v>
      </c>
      <c r="U347" s="30">
        <v>0</v>
      </c>
      <c r="V347" s="30">
        <v>1</v>
      </c>
      <c r="W347" s="30">
        <v>35</v>
      </c>
      <c r="Y347" s="30" t="s">
        <v>800</v>
      </c>
    </row>
    <row r="348" spans="1:26" x14ac:dyDescent="0.2">
      <c r="A348" s="30">
        <v>511</v>
      </c>
      <c r="B348" s="30" t="s">
        <v>28</v>
      </c>
      <c r="C348" s="30" t="s">
        <v>596</v>
      </c>
      <c r="D348" s="30" t="s">
        <v>797</v>
      </c>
      <c r="E348" s="30" t="s">
        <v>3</v>
      </c>
      <c r="F348" s="27">
        <v>5</v>
      </c>
      <c r="H348" s="28" t="s">
        <v>111</v>
      </c>
      <c r="N348" s="27">
        <v>1</v>
      </c>
      <c r="U348" s="30">
        <v>0</v>
      </c>
      <c r="V348" s="30">
        <v>1</v>
      </c>
      <c r="W348" s="30">
        <v>35</v>
      </c>
      <c r="Y348" s="30" t="s">
        <v>800</v>
      </c>
    </row>
    <row r="349" spans="1:26" x14ac:dyDescent="0.2">
      <c r="A349" s="30">
        <v>512</v>
      </c>
      <c r="B349" s="30" t="s">
        <v>28</v>
      </c>
      <c r="C349" s="30" t="s">
        <v>596</v>
      </c>
      <c r="D349" s="30" t="s">
        <v>797</v>
      </c>
      <c r="E349" s="30" t="s">
        <v>4</v>
      </c>
      <c r="F349" s="27">
        <v>5</v>
      </c>
      <c r="H349" s="28" t="s">
        <v>111</v>
      </c>
      <c r="N349" s="27">
        <v>1</v>
      </c>
      <c r="U349" s="30">
        <v>0</v>
      </c>
      <c r="V349" s="30">
        <v>1</v>
      </c>
      <c r="W349" s="30">
        <v>35</v>
      </c>
      <c r="Y349" s="30" t="s">
        <v>800</v>
      </c>
    </row>
    <row r="350" spans="1:26" x14ac:dyDescent="0.2">
      <c r="A350" s="30">
        <v>513</v>
      </c>
      <c r="B350" s="30" t="s">
        <v>28</v>
      </c>
      <c r="C350" s="30" t="s">
        <v>596</v>
      </c>
      <c r="D350" s="30" t="s">
        <v>797</v>
      </c>
      <c r="E350" s="30" t="s">
        <v>34</v>
      </c>
      <c r="F350" s="27">
        <v>5</v>
      </c>
      <c r="H350" s="28" t="s">
        <v>111</v>
      </c>
      <c r="N350" s="27">
        <v>1</v>
      </c>
      <c r="U350" s="30">
        <v>0</v>
      </c>
      <c r="V350" s="30">
        <v>1</v>
      </c>
      <c r="W350" s="30">
        <v>35</v>
      </c>
      <c r="Y350" s="30" t="s">
        <v>800</v>
      </c>
    </row>
    <row r="351" spans="1:26" x14ac:dyDescent="0.2">
      <c r="A351" s="30">
        <v>514</v>
      </c>
      <c r="B351" s="30" t="s">
        <v>95</v>
      </c>
      <c r="C351" s="30" t="s">
        <v>95</v>
      </c>
      <c r="D351" s="30" t="s">
        <v>478</v>
      </c>
      <c r="E351" s="30" t="s">
        <v>899</v>
      </c>
      <c r="H351" s="28" t="s">
        <v>111</v>
      </c>
      <c r="U351" s="30">
        <v>50</v>
      </c>
      <c r="V351" s="30">
        <v>0</v>
      </c>
      <c r="Y351" s="30" t="s">
        <v>179</v>
      </c>
    </row>
    <row r="352" spans="1:26" x14ac:dyDescent="0.2">
      <c r="A352" s="30">
        <v>515</v>
      </c>
      <c r="B352" s="30" t="s">
        <v>95</v>
      </c>
      <c r="C352" s="30" t="s">
        <v>95</v>
      </c>
      <c r="D352" s="30" t="s">
        <v>965</v>
      </c>
      <c r="E352" s="30" t="s">
        <v>901</v>
      </c>
      <c r="H352" s="28" t="s">
        <v>111</v>
      </c>
      <c r="U352" s="30">
        <v>50</v>
      </c>
      <c r="V352" s="30">
        <v>0</v>
      </c>
    </row>
    <row r="353" spans="1:26" x14ac:dyDescent="0.2">
      <c r="A353" s="30">
        <v>516</v>
      </c>
      <c r="B353" s="30" t="s">
        <v>95</v>
      </c>
      <c r="C353" s="30" t="s">
        <v>733</v>
      </c>
      <c r="D353" s="30" t="s">
        <v>643</v>
      </c>
      <c r="E353" s="30" t="s">
        <v>644</v>
      </c>
      <c r="H353" s="28" t="s">
        <v>111</v>
      </c>
      <c r="U353" s="30">
        <v>50</v>
      </c>
      <c r="V353" s="30">
        <v>0</v>
      </c>
    </row>
    <row r="354" spans="1:26" x14ac:dyDescent="0.2">
      <c r="A354" s="30">
        <v>517</v>
      </c>
      <c r="B354" s="30" t="s">
        <v>95</v>
      </c>
      <c r="C354" s="30" t="s">
        <v>95</v>
      </c>
      <c r="D354" s="30" t="s">
        <v>959</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5" t="s">
        <v>988</v>
      </c>
      <c r="U355" s="30">
        <v>0</v>
      </c>
      <c r="V355" s="30">
        <v>0</v>
      </c>
      <c r="X355" s="30" t="s">
        <v>696</v>
      </c>
    </row>
    <row r="356" spans="1:26" x14ac:dyDescent="0.2">
      <c r="A356" s="30">
        <v>519</v>
      </c>
      <c r="B356" s="30" t="s">
        <v>13</v>
      </c>
      <c r="C356" s="30" t="s">
        <v>503</v>
      </c>
      <c r="D356" s="30" t="s">
        <v>645</v>
      </c>
      <c r="E356" s="30" t="s">
        <v>647</v>
      </c>
      <c r="F356" s="27">
        <v>12</v>
      </c>
      <c r="H356" s="28" t="s">
        <v>111</v>
      </c>
      <c r="K356" s="155" t="s">
        <v>988</v>
      </c>
      <c r="U356" s="30">
        <v>50</v>
      </c>
      <c r="V356" s="30">
        <v>0</v>
      </c>
      <c r="X356" s="30" t="s">
        <v>696</v>
      </c>
    </row>
    <row r="357" spans="1:26" x14ac:dyDescent="0.2">
      <c r="A357" s="30">
        <v>520</v>
      </c>
      <c r="B357" s="30" t="s">
        <v>13</v>
      </c>
      <c r="C357" s="30" t="s">
        <v>503</v>
      </c>
      <c r="D357" s="30" t="s">
        <v>649</v>
      </c>
      <c r="E357" s="30" t="s">
        <v>917</v>
      </c>
      <c r="F357" s="27">
        <v>12</v>
      </c>
      <c r="H357" s="28" t="s">
        <v>111</v>
      </c>
      <c r="K357" s="155" t="s">
        <v>988</v>
      </c>
      <c r="U357" s="30">
        <v>100</v>
      </c>
      <c r="V357" s="30">
        <v>0</v>
      </c>
    </row>
    <row r="358" spans="1:26" x14ac:dyDescent="0.2">
      <c r="A358" s="30">
        <v>521</v>
      </c>
      <c r="B358" s="30" t="s">
        <v>28</v>
      </c>
      <c r="C358" s="30" t="s">
        <v>650</v>
      </c>
      <c r="D358" s="30" t="s">
        <v>679</v>
      </c>
      <c r="E358" s="30" t="s">
        <v>907</v>
      </c>
      <c r="H358" s="28" t="s">
        <v>111</v>
      </c>
      <c r="U358" s="30">
        <v>100</v>
      </c>
      <c r="V358" s="30">
        <v>0</v>
      </c>
      <c r="Z358" s="30" t="s">
        <v>651</v>
      </c>
    </row>
    <row r="359" spans="1:26" x14ac:dyDescent="0.2">
      <c r="A359" s="30">
        <v>522</v>
      </c>
      <c r="B359" s="30" t="s">
        <v>28</v>
      </c>
      <c r="C359" s="30" t="s">
        <v>12</v>
      </c>
      <c r="D359" s="30" t="s">
        <v>655</v>
      </c>
      <c r="E359" s="30" t="s">
        <v>905</v>
      </c>
      <c r="F359" s="27">
        <v>12</v>
      </c>
      <c r="H359" s="28" t="s">
        <v>111</v>
      </c>
      <c r="K359" s="155" t="s">
        <v>997</v>
      </c>
      <c r="U359" s="30">
        <v>50</v>
      </c>
      <c r="V359" s="30">
        <v>0</v>
      </c>
      <c r="Z359" s="30" t="s">
        <v>656</v>
      </c>
    </row>
    <row r="360" spans="1:26" x14ac:dyDescent="0.2">
      <c r="A360" s="30">
        <v>523</v>
      </c>
      <c r="B360" s="30" t="s">
        <v>28</v>
      </c>
      <c r="C360" s="30" t="s">
        <v>12</v>
      </c>
      <c r="D360" s="30" t="s">
        <v>967</v>
      </c>
      <c r="E360" s="30" t="s">
        <v>906</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5" t="s">
        <v>996</v>
      </c>
      <c r="U361" s="30">
        <v>50</v>
      </c>
      <c r="V361" s="30">
        <v>0</v>
      </c>
      <c r="Y361" s="30" t="s">
        <v>877</v>
      </c>
    </row>
    <row r="362" spans="1:26" x14ac:dyDescent="0.2">
      <c r="A362" s="30">
        <v>525</v>
      </c>
      <c r="B362" s="30" t="s">
        <v>95</v>
      </c>
      <c r="C362" s="30" t="s">
        <v>95</v>
      </c>
      <c r="D362" s="30" t="s">
        <v>964</v>
      </c>
      <c r="E362" s="30" t="s">
        <v>900</v>
      </c>
      <c r="H362" s="28" t="s">
        <v>111</v>
      </c>
      <c r="U362" s="30">
        <v>50</v>
      </c>
      <c r="V362" s="30">
        <v>0</v>
      </c>
    </row>
    <row r="363" spans="1:26" x14ac:dyDescent="0.2">
      <c r="A363" s="30">
        <v>526</v>
      </c>
      <c r="B363" s="30" t="s">
        <v>28</v>
      </c>
      <c r="C363" s="30" t="s">
        <v>12</v>
      </c>
      <c r="D363" s="30" t="s">
        <v>676</v>
      </c>
      <c r="E363" s="30" t="s">
        <v>677</v>
      </c>
      <c r="F363" s="27">
        <v>12</v>
      </c>
      <c r="H363" s="28" t="s">
        <v>111</v>
      </c>
      <c r="K363" s="155" t="s">
        <v>996</v>
      </c>
      <c r="U363" s="30">
        <v>100</v>
      </c>
      <c r="V363" s="30">
        <v>0</v>
      </c>
      <c r="Y363" s="30" t="s">
        <v>877</v>
      </c>
    </row>
    <row r="364" spans="1:26" x14ac:dyDescent="0.2">
      <c r="A364" s="30">
        <v>527</v>
      </c>
      <c r="B364" s="30" t="s">
        <v>95</v>
      </c>
      <c r="C364" s="30" t="s">
        <v>95</v>
      </c>
      <c r="D364" s="30" t="s">
        <v>959</v>
      </c>
      <c r="E364" s="30" t="s">
        <v>682</v>
      </c>
      <c r="H364" s="28" t="s">
        <v>111</v>
      </c>
      <c r="U364" s="30">
        <v>50</v>
      </c>
      <c r="V364" s="30">
        <v>0</v>
      </c>
      <c r="Z364" s="30" t="s">
        <v>684</v>
      </c>
    </row>
    <row r="365" spans="1:26" x14ac:dyDescent="0.2">
      <c r="A365" s="30">
        <v>530</v>
      </c>
      <c r="B365" s="30" t="s">
        <v>95</v>
      </c>
      <c r="C365" s="30" t="s">
        <v>95</v>
      </c>
      <c r="D365" s="30" t="s">
        <v>961</v>
      </c>
      <c r="E365" s="30" t="s">
        <v>897</v>
      </c>
      <c r="H365" s="28" t="s">
        <v>111</v>
      </c>
      <c r="U365" s="30">
        <v>50</v>
      </c>
      <c r="V365" s="30">
        <v>0</v>
      </c>
    </row>
    <row r="366" spans="1:26" x14ac:dyDescent="0.2">
      <c r="A366" s="30">
        <v>531</v>
      </c>
      <c r="B366" s="30" t="s">
        <v>13</v>
      </c>
      <c r="C366" s="30" t="s">
        <v>725</v>
      </c>
      <c r="D366" s="30" t="s">
        <v>686</v>
      </c>
      <c r="E366" s="30" t="s">
        <v>638</v>
      </c>
      <c r="F366" s="27">
        <v>1</v>
      </c>
      <c r="H366" s="28" t="s">
        <v>111</v>
      </c>
      <c r="U366" s="30">
        <v>50</v>
      </c>
      <c r="V366" s="30">
        <v>0</v>
      </c>
      <c r="Z366" s="30" t="s">
        <v>640</v>
      </c>
    </row>
    <row r="367" spans="1:26" x14ac:dyDescent="0.2">
      <c r="A367" s="30">
        <v>532</v>
      </c>
      <c r="B367" s="30" t="s">
        <v>13</v>
      </c>
      <c r="C367" s="30" t="s">
        <v>725</v>
      </c>
      <c r="D367" s="30" t="s">
        <v>687</v>
      </c>
      <c r="E367" s="30" t="s">
        <v>689</v>
      </c>
      <c r="H367" s="28" t="s">
        <v>111</v>
      </c>
      <c r="U367" s="30">
        <v>0</v>
      </c>
      <c r="V367" s="30">
        <v>-1</v>
      </c>
    </row>
    <row r="368" spans="1:26" x14ac:dyDescent="0.2">
      <c r="A368" s="30">
        <v>533</v>
      </c>
      <c r="B368" s="30" t="s">
        <v>13</v>
      </c>
      <c r="C368" s="30" t="s">
        <v>725</v>
      </c>
      <c r="D368" s="30" t="s">
        <v>687</v>
      </c>
      <c r="E368" s="30" t="s">
        <v>691</v>
      </c>
      <c r="H368" s="28" t="s">
        <v>111</v>
      </c>
      <c r="U368" s="30">
        <v>0</v>
      </c>
      <c r="V368" s="30">
        <v>-1</v>
      </c>
    </row>
    <row r="369" spans="1:26" x14ac:dyDescent="0.2">
      <c r="A369" s="30">
        <v>534</v>
      </c>
      <c r="B369" s="30" t="s">
        <v>13</v>
      </c>
      <c r="C369" s="30" t="s">
        <v>725</v>
      </c>
      <c r="D369" s="30" t="s">
        <v>687</v>
      </c>
      <c r="E369" s="30" t="s">
        <v>690</v>
      </c>
      <c r="H369" s="28" t="s">
        <v>111</v>
      </c>
      <c r="U369" s="30">
        <v>0</v>
      </c>
      <c r="V369" s="30">
        <v>0</v>
      </c>
    </row>
    <row r="370" spans="1:26" x14ac:dyDescent="0.2">
      <c r="A370" s="30">
        <v>535</v>
      </c>
      <c r="B370" s="30" t="s">
        <v>13</v>
      </c>
      <c r="C370" s="30" t="s">
        <v>725</v>
      </c>
      <c r="D370" s="30" t="s">
        <v>687</v>
      </c>
      <c r="E370" s="30" t="s">
        <v>125</v>
      </c>
      <c r="H370" s="28" t="s">
        <v>111</v>
      </c>
      <c r="U370" s="30">
        <v>0</v>
      </c>
      <c r="V370" s="30">
        <v>0</v>
      </c>
    </row>
    <row r="371" spans="1:26" x14ac:dyDescent="0.2">
      <c r="A371" s="30">
        <v>536</v>
      </c>
      <c r="B371" s="30" t="s">
        <v>13</v>
      </c>
      <c r="C371" s="30" t="s">
        <v>725</v>
      </c>
      <c r="D371" s="30" t="s">
        <v>688</v>
      </c>
      <c r="E371" s="30" t="s">
        <v>689</v>
      </c>
      <c r="H371" s="28" t="s">
        <v>111</v>
      </c>
      <c r="U371" s="30">
        <v>0</v>
      </c>
      <c r="V371" s="30">
        <v>-1</v>
      </c>
      <c r="X371" s="30" t="s">
        <v>635</v>
      </c>
      <c r="Y371" s="30" t="s">
        <v>958</v>
      </c>
    </row>
    <row r="372" spans="1:26" x14ac:dyDescent="0.2">
      <c r="A372" s="30">
        <v>537</v>
      </c>
      <c r="B372" s="30" t="s">
        <v>13</v>
      </c>
      <c r="C372" s="30" t="s">
        <v>725</v>
      </c>
      <c r="D372" s="30" t="s">
        <v>688</v>
      </c>
      <c r="E372" s="30" t="s">
        <v>690</v>
      </c>
      <c r="H372" s="28" t="s">
        <v>111</v>
      </c>
      <c r="U372" s="30">
        <v>0</v>
      </c>
      <c r="V372" s="30">
        <v>1</v>
      </c>
      <c r="X372" s="30" t="s">
        <v>635</v>
      </c>
      <c r="Y372" s="30" t="s">
        <v>958</v>
      </c>
    </row>
    <row r="373" spans="1:26" x14ac:dyDescent="0.2">
      <c r="A373" s="30">
        <v>538</v>
      </c>
      <c r="B373" s="30" t="s">
        <v>13</v>
      </c>
      <c r="C373" s="30" t="s">
        <v>725</v>
      </c>
      <c r="D373" s="30" t="s">
        <v>688</v>
      </c>
      <c r="E373" s="30" t="s">
        <v>125</v>
      </c>
      <c r="H373" s="28" t="s">
        <v>111</v>
      </c>
      <c r="U373" s="30">
        <v>0</v>
      </c>
      <c r="V373" s="30">
        <v>0</v>
      </c>
      <c r="X373" s="30" t="s">
        <v>635</v>
      </c>
      <c r="Y373" s="30" t="s">
        <v>958</v>
      </c>
    </row>
    <row r="374" spans="1:26" x14ac:dyDescent="0.2">
      <c r="A374" s="30">
        <v>541</v>
      </c>
      <c r="B374" s="30" t="s">
        <v>13</v>
      </c>
      <c r="C374" s="30" t="s">
        <v>503</v>
      </c>
      <c r="D374" s="30" t="s">
        <v>693</v>
      </c>
      <c r="E374" s="30" t="s">
        <v>694</v>
      </c>
      <c r="F374" s="27">
        <v>12</v>
      </c>
      <c r="H374" s="28" t="s">
        <v>111</v>
      </c>
      <c r="K374" s="155" t="s">
        <v>988</v>
      </c>
      <c r="U374" s="30">
        <v>0</v>
      </c>
      <c r="V374" s="30">
        <v>0</v>
      </c>
      <c r="X374" s="30" t="s">
        <v>696</v>
      </c>
    </row>
    <row r="375" spans="1:26" x14ac:dyDescent="0.2">
      <c r="A375" s="30">
        <v>542</v>
      </c>
      <c r="B375" s="30" t="s">
        <v>13</v>
      </c>
      <c r="C375" s="30" t="s">
        <v>503</v>
      </c>
      <c r="D375" s="30" t="s">
        <v>693</v>
      </c>
      <c r="E375" s="30" t="s">
        <v>695</v>
      </c>
      <c r="F375" s="27">
        <v>12</v>
      </c>
      <c r="H375" s="28" t="s">
        <v>111</v>
      </c>
      <c r="K375" s="155" t="s">
        <v>988</v>
      </c>
      <c r="U375" s="30">
        <v>0</v>
      </c>
      <c r="V375" s="30">
        <v>1</v>
      </c>
      <c r="X375" s="30" t="s">
        <v>696</v>
      </c>
    </row>
    <row r="376" spans="1:26" x14ac:dyDescent="0.2">
      <c r="A376" s="30">
        <v>543</v>
      </c>
      <c r="B376" s="30" t="s">
        <v>13</v>
      </c>
      <c r="C376" s="30" t="s">
        <v>503</v>
      </c>
      <c r="D376" s="30" t="s">
        <v>693</v>
      </c>
      <c r="E376" s="30" t="s">
        <v>130</v>
      </c>
      <c r="F376" s="27">
        <v>12</v>
      </c>
      <c r="H376" s="28" t="s">
        <v>111</v>
      </c>
      <c r="K376" s="155" t="s">
        <v>988</v>
      </c>
      <c r="U376" s="30">
        <v>100</v>
      </c>
      <c r="V376" s="30">
        <v>0</v>
      </c>
      <c r="X376" s="30" t="s">
        <v>692</v>
      </c>
    </row>
    <row r="377" spans="1:26" x14ac:dyDescent="0.2">
      <c r="A377" s="30">
        <v>544</v>
      </c>
      <c r="B377" s="30" t="s">
        <v>13</v>
      </c>
      <c r="C377" s="30" t="s">
        <v>503</v>
      </c>
      <c r="D377" s="30" t="s">
        <v>978</v>
      </c>
      <c r="E377" s="30" t="s">
        <v>697</v>
      </c>
      <c r="H377" s="28" t="s">
        <v>111</v>
      </c>
      <c r="K377" s="155"/>
      <c r="U377" s="30">
        <v>0</v>
      </c>
      <c r="V377" s="30">
        <v>0</v>
      </c>
      <c r="Z377" s="30" t="s">
        <v>699</v>
      </c>
    </row>
    <row r="378" spans="1:26" x14ac:dyDescent="0.2">
      <c r="A378" s="30">
        <v>545</v>
      </c>
      <c r="B378" s="30" t="s">
        <v>13</v>
      </c>
      <c r="C378" s="30" t="s">
        <v>503</v>
      </c>
      <c r="D378" s="30" t="s">
        <v>978</v>
      </c>
      <c r="E378" s="30" t="s">
        <v>977</v>
      </c>
      <c r="F378" s="27">
        <v>12</v>
      </c>
      <c r="H378" s="28" t="s">
        <v>111</v>
      </c>
      <c r="K378" s="155" t="s">
        <v>992</v>
      </c>
      <c r="U378" s="30">
        <v>50</v>
      </c>
      <c r="V378" s="30">
        <v>0</v>
      </c>
      <c r="Z378" s="30" t="s">
        <v>700</v>
      </c>
    </row>
    <row r="379" spans="1:26" x14ac:dyDescent="0.2">
      <c r="A379" s="30">
        <v>546</v>
      </c>
      <c r="B379" s="30" t="s">
        <v>13</v>
      </c>
      <c r="C379" s="30" t="s">
        <v>503</v>
      </c>
      <c r="D379" s="30" t="s">
        <v>978</v>
      </c>
      <c r="E379" s="30" t="s">
        <v>698</v>
      </c>
      <c r="F379" s="27">
        <v>12</v>
      </c>
      <c r="H379" s="28" t="s">
        <v>111</v>
      </c>
      <c r="K379" s="155" t="s">
        <v>993</v>
      </c>
      <c r="U379" s="30">
        <v>0</v>
      </c>
      <c r="V379" s="30">
        <v>0</v>
      </c>
      <c r="Z379" s="30" t="s">
        <v>701</v>
      </c>
    </row>
    <row r="380" spans="1:26" x14ac:dyDescent="0.2">
      <c r="A380" s="30">
        <v>547</v>
      </c>
      <c r="B380" s="30" t="s">
        <v>13</v>
      </c>
      <c r="C380" s="30" t="s">
        <v>503</v>
      </c>
      <c r="D380" s="30" t="s">
        <v>978</v>
      </c>
      <c r="E380" s="30" t="s">
        <v>976</v>
      </c>
      <c r="F380" s="27">
        <v>12</v>
      </c>
      <c r="H380" s="28" t="s">
        <v>111</v>
      </c>
      <c r="K380" s="155" t="s">
        <v>6</v>
      </c>
      <c r="U380" s="30">
        <v>50</v>
      </c>
      <c r="V380" s="30">
        <v>0</v>
      </c>
      <c r="Z380" s="30" t="s">
        <v>702</v>
      </c>
    </row>
    <row r="381" spans="1:26" x14ac:dyDescent="0.2">
      <c r="A381" s="30">
        <v>548</v>
      </c>
      <c r="B381" s="30" t="s">
        <v>13</v>
      </c>
      <c r="C381" s="30" t="s">
        <v>503</v>
      </c>
      <c r="D381" s="30" t="s">
        <v>803</v>
      </c>
      <c r="E381" s="30" t="s">
        <v>648</v>
      </c>
      <c r="F381" s="27">
        <v>10</v>
      </c>
      <c r="H381" s="28" t="s">
        <v>111</v>
      </c>
      <c r="K381" s="156" t="s">
        <v>983</v>
      </c>
      <c r="U381" s="30">
        <v>100</v>
      </c>
      <c r="V381" s="30">
        <v>0</v>
      </c>
      <c r="X381" s="30" t="s">
        <v>696</v>
      </c>
    </row>
    <row r="382" spans="1:26" x14ac:dyDescent="0.2">
      <c r="A382" s="30">
        <v>549</v>
      </c>
      <c r="B382" s="30" t="s">
        <v>95</v>
      </c>
      <c r="C382" s="30" t="s">
        <v>95</v>
      </c>
      <c r="D382" s="30" t="s">
        <v>963</v>
      </c>
      <c r="E382" s="30" t="s">
        <v>898</v>
      </c>
      <c r="F382" s="27">
        <v>12</v>
      </c>
      <c r="H382" s="28" t="s">
        <v>111</v>
      </c>
      <c r="K382" s="155" t="s">
        <v>727</v>
      </c>
      <c r="U382" s="30">
        <v>0</v>
      </c>
      <c r="V382" s="30">
        <v>1</v>
      </c>
      <c r="Z382" s="30" t="s">
        <v>726</v>
      </c>
    </row>
    <row r="383" spans="1:26" x14ac:dyDescent="0.2">
      <c r="A383" s="30">
        <v>550</v>
      </c>
      <c r="B383" s="30" t="s">
        <v>13</v>
      </c>
      <c r="C383" s="30" t="s">
        <v>503</v>
      </c>
      <c r="D383" s="30" t="s">
        <v>980</v>
      </c>
      <c r="E383" s="30" t="s">
        <v>732</v>
      </c>
      <c r="F383" s="27">
        <v>10</v>
      </c>
      <c r="H383" s="28"/>
      <c r="K383" s="155" t="s">
        <v>994</v>
      </c>
      <c r="U383" s="30">
        <v>50</v>
      </c>
      <c r="V383" s="30">
        <v>0</v>
      </c>
      <c r="X383" s="30" t="s">
        <v>35</v>
      </c>
    </row>
    <row r="384" spans="1:26" x14ac:dyDescent="0.2">
      <c r="A384" s="30">
        <v>551</v>
      </c>
      <c r="B384" s="30" t="s">
        <v>13</v>
      </c>
      <c r="C384" s="30" t="s">
        <v>496</v>
      </c>
      <c r="D384" s="30" t="s">
        <v>973</v>
      </c>
      <c r="E384" s="30" t="s">
        <v>729</v>
      </c>
      <c r="H384" s="28" t="s">
        <v>111</v>
      </c>
      <c r="U384" s="30">
        <v>100</v>
      </c>
      <c r="V384" s="30">
        <v>0</v>
      </c>
    </row>
    <row r="385" spans="1:26" x14ac:dyDescent="0.2">
      <c r="A385" s="30">
        <v>555</v>
      </c>
      <c r="B385" s="30" t="s">
        <v>13</v>
      </c>
      <c r="C385" s="30" t="s">
        <v>13</v>
      </c>
      <c r="D385" s="30" t="s">
        <v>731</v>
      </c>
      <c r="E385" s="30" t="s">
        <v>908</v>
      </c>
      <c r="F385" s="27">
        <v>1</v>
      </c>
      <c r="H385" s="28" t="s">
        <v>111</v>
      </c>
      <c r="U385" s="30">
        <v>100</v>
      </c>
      <c r="V385" s="30">
        <v>0</v>
      </c>
      <c r="Y385" s="30" t="s">
        <v>735</v>
      </c>
    </row>
    <row r="386" spans="1:26" x14ac:dyDescent="0.2">
      <c r="A386" s="30">
        <v>557</v>
      </c>
      <c r="B386" s="30" t="s">
        <v>95</v>
      </c>
      <c r="C386" s="30" t="s">
        <v>733</v>
      </c>
      <c r="D386" s="30" t="s">
        <v>966</v>
      </c>
      <c r="E386" s="30" t="s">
        <v>903</v>
      </c>
      <c r="H386" s="28" t="s">
        <v>111</v>
      </c>
      <c r="U386" s="30">
        <v>50</v>
      </c>
      <c r="V386" s="30">
        <v>0</v>
      </c>
    </row>
    <row r="387" spans="1:26" x14ac:dyDescent="0.2">
      <c r="A387" s="30">
        <v>558</v>
      </c>
      <c r="B387" s="30" t="s">
        <v>13</v>
      </c>
      <c r="C387" s="30" t="s">
        <v>13</v>
      </c>
      <c r="D387" s="30" t="s">
        <v>736</v>
      </c>
      <c r="E387" s="30" t="s">
        <v>909</v>
      </c>
      <c r="F387" s="27">
        <v>1</v>
      </c>
      <c r="H387" s="28" t="s">
        <v>111</v>
      </c>
      <c r="U387" s="30">
        <v>100</v>
      </c>
      <c r="V387" s="30">
        <v>0</v>
      </c>
      <c r="Y387" s="30" t="s">
        <v>794</v>
      </c>
    </row>
    <row r="388" spans="1:26" x14ac:dyDescent="0.2">
      <c r="A388" s="30">
        <v>559</v>
      </c>
      <c r="B388" s="30" t="s">
        <v>13</v>
      </c>
      <c r="C388" s="30" t="s">
        <v>13</v>
      </c>
      <c r="D388" s="30" t="s">
        <v>734</v>
      </c>
      <c r="E388" s="30" t="s">
        <v>943</v>
      </c>
      <c r="F388" s="27">
        <v>1</v>
      </c>
      <c r="H388" s="28" t="s">
        <v>111</v>
      </c>
      <c r="U388" s="30">
        <v>50</v>
      </c>
      <c r="V388" s="30">
        <v>0</v>
      </c>
      <c r="Z388" s="30" t="s">
        <v>947</v>
      </c>
    </row>
    <row r="389" spans="1:26" x14ac:dyDescent="0.2">
      <c r="A389" s="30">
        <v>139</v>
      </c>
      <c r="B389" s="30" t="s">
        <v>13</v>
      </c>
      <c r="C389" s="30" t="s">
        <v>13</v>
      </c>
      <c r="D389" s="30" t="s">
        <v>855</v>
      </c>
      <c r="E389" s="30" t="s">
        <v>853</v>
      </c>
      <c r="F389" s="27">
        <v>1</v>
      </c>
      <c r="H389" s="28" t="s">
        <v>111</v>
      </c>
      <c r="U389" s="30">
        <v>50</v>
      </c>
      <c r="V389" s="30">
        <v>0</v>
      </c>
      <c r="Z389" s="30" t="s">
        <v>859</v>
      </c>
    </row>
    <row r="390" spans="1:26" x14ac:dyDescent="0.2">
      <c r="A390" s="30">
        <v>161</v>
      </c>
      <c r="B390" s="30" t="s">
        <v>13</v>
      </c>
      <c r="C390" s="30" t="s">
        <v>496</v>
      </c>
      <c r="D390" s="30" t="s">
        <v>807</v>
      </c>
      <c r="E390" s="30" t="s">
        <v>739</v>
      </c>
      <c r="F390" s="27">
        <v>7</v>
      </c>
      <c r="G390" s="27">
        <v>3</v>
      </c>
      <c r="H390" s="28"/>
      <c r="K390" s="27" t="s">
        <v>954</v>
      </c>
      <c r="U390" s="30">
        <v>0</v>
      </c>
      <c r="V390" s="30">
        <v>0</v>
      </c>
      <c r="Z390" s="30" t="s">
        <v>806</v>
      </c>
    </row>
    <row r="391" spans="1:26" x14ac:dyDescent="0.2">
      <c r="A391" s="30">
        <v>162</v>
      </c>
      <c r="B391" s="30" t="s">
        <v>13</v>
      </c>
      <c r="C391" s="30" t="s">
        <v>496</v>
      </c>
      <c r="D391" s="30" t="s">
        <v>805</v>
      </c>
      <c r="E391" s="30" t="s">
        <v>40</v>
      </c>
      <c r="F391" s="27">
        <v>7</v>
      </c>
      <c r="G391" s="27">
        <v>1</v>
      </c>
      <c r="H391" s="28"/>
      <c r="K391" s="27" t="s">
        <v>954</v>
      </c>
      <c r="U391" s="30">
        <v>0</v>
      </c>
      <c r="V391" s="30">
        <v>0</v>
      </c>
    </row>
    <row r="392" spans="1:26" x14ac:dyDescent="0.2">
      <c r="A392" s="30">
        <v>163</v>
      </c>
      <c r="B392" s="30" t="s">
        <v>13</v>
      </c>
      <c r="C392" s="30" t="s">
        <v>496</v>
      </c>
      <c r="D392" s="30" t="s">
        <v>805</v>
      </c>
      <c r="E392" s="30" t="s">
        <v>175</v>
      </c>
      <c r="F392" s="27">
        <v>7</v>
      </c>
      <c r="G392" s="27">
        <v>1</v>
      </c>
      <c r="H392" s="28"/>
      <c r="K392" s="27" t="s">
        <v>954</v>
      </c>
      <c r="U392" s="30">
        <v>0</v>
      </c>
      <c r="V392" s="30">
        <v>0</v>
      </c>
      <c r="X392" s="30" t="s">
        <v>625</v>
      </c>
    </row>
    <row r="393" spans="1:26" x14ac:dyDescent="0.2">
      <c r="A393" s="30">
        <v>166</v>
      </c>
      <c r="B393" s="30" t="s">
        <v>13</v>
      </c>
      <c r="C393" s="30" t="s">
        <v>41</v>
      </c>
      <c r="D393" s="30" t="s">
        <v>860</v>
      </c>
      <c r="E393" s="30" t="s">
        <v>866</v>
      </c>
      <c r="F393" s="28" t="s">
        <v>216</v>
      </c>
      <c r="G393" s="28" t="s">
        <v>126</v>
      </c>
      <c r="K393" s="27" t="s">
        <v>954</v>
      </c>
      <c r="U393" s="30">
        <v>50</v>
      </c>
      <c r="V393" s="30">
        <v>0</v>
      </c>
      <c r="Z393" s="30" t="s">
        <v>863</v>
      </c>
    </row>
    <row r="394" spans="1:26" x14ac:dyDescent="0.2">
      <c r="A394" s="30">
        <v>167</v>
      </c>
      <c r="B394" s="30" t="s">
        <v>13</v>
      </c>
      <c r="C394" s="30" t="s">
        <v>41</v>
      </c>
      <c r="D394" s="30" t="s">
        <v>808</v>
      </c>
      <c r="E394" s="30" t="s">
        <v>866</v>
      </c>
      <c r="F394" s="28" t="s">
        <v>216</v>
      </c>
      <c r="G394" s="28" t="s">
        <v>126</v>
      </c>
      <c r="K394" s="27" t="s">
        <v>954</v>
      </c>
      <c r="U394" s="30">
        <v>50</v>
      </c>
      <c r="V394" s="30">
        <v>0</v>
      </c>
      <c r="Z394" s="30" t="s">
        <v>862</v>
      </c>
    </row>
    <row r="395" spans="1:26" x14ac:dyDescent="0.2">
      <c r="A395" s="30">
        <v>168</v>
      </c>
      <c r="B395" s="30" t="s">
        <v>13</v>
      </c>
      <c r="C395" s="30" t="s">
        <v>41</v>
      </c>
      <c r="D395" s="30" t="s">
        <v>861</v>
      </c>
      <c r="E395" s="30" t="s">
        <v>866</v>
      </c>
      <c r="F395" s="28" t="s">
        <v>216</v>
      </c>
      <c r="G395" s="28" t="s">
        <v>126</v>
      </c>
      <c r="K395" s="27" t="s">
        <v>954</v>
      </c>
      <c r="U395" s="30">
        <v>50</v>
      </c>
      <c r="V395" s="30">
        <v>0</v>
      </c>
      <c r="Z395" s="30" t="s">
        <v>864</v>
      </c>
    </row>
    <row r="396" spans="1:26" x14ac:dyDescent="0.2">
      <c r="A396" s="30">
        <v>194</v>
      </c>
      <c r="B396" s="30" t="s">
        <v>13</v>
      </c>
      <c r="C396" s="30" t="s">
        <v>13</v>
      </c>
      <c r="D396" s="30" t="s">
        <v>867</v>
      </c>
      <c r="E396" s="30" t="s">
        <v>910</v>
      </c>
      <c r="F396" s="27">
        <v>1</v>
      </c>
      <c r="U396" s="30">
        <v>50</v>
      </c>
      <c r="V396" s="30">
        <v>0</v>
      </c>
      <c r="X396" s="30" t="s">
        <v>35</v>
      </c>
    </row>
    <row r="397" spans="1:26" x14ac:dyDescent="0.2">
      <c r="A397" s="30">
        <v>237</v>
      </c>
      <c r="B397" s="30" t="s">
        <v>95</v>
      </c>
      <c r="C397" s="30" t="s">
        <v>95</v>
      </c>
      <c r="D397" s="30" t="s">
        <v>960</v>
      </c>
      <c r="E397" s="30" t="s">
        <v>922</v>
      </c>
      <c r="U397" s="30">
        <v>50</v>
      </c>
      <c r="V397" s="30">
        <v>0</v>
      </c>
      <c r="Z397" s="30" t="s">
        <v>921</v>
      </c>
    </row>
    <row r="398" spans="1:26" x14ac:dyDescent="0.2">
      <c r="A398" s="30">
        <v>195</v>
      </c>
      <c r="B398" s="30" t="s">
        <v>13</v>
      </c>
      <c r="C398" s="30" t="s">
        <v>496</v>
      </c>
      <c r="D398" s="30" t="s">
        <v>923</v>
      </c>
      <c r="E398" s="30" t="s">
        <v>924</v>
      </c>
      <c r="H398" s="27">
        <v>1</v>
      </c>
      <c r="U398" s="30">
        <v>50</v>
      </c>
      <c r="V398" s="30">
        <v>0</v>
      </c>
      <c r="Z398" s="30" t="s">
        <v>927</v>
      </c>
    </row>
    <row r="399" spans="1:26" x14ac:dyDescent="0.2">
      <c r="A399" s="30">
        <v>214</v>
      </c>
      <c r="B399" s="30" t="s">
        <v>13</v>
      </c>
      <c r="C399" s="30" t="s">
        <v>503</v>
      </c>
      <c r="D399" s="30" t="s">
        <v>979</v>
      </c>
      <c r="E399" s="30" t="s">
        <v>936</v>
      </c>
      <c r="F399" s="27">
        <v>10</v>
      </c>
      <c r="K399" s="155" t="s">
        <v>995</v>
      </c>
      <c r="U399" s="30">
        <v>50</v>
      </c>
      <c r="V399" s="30">
        <v>0</v>
      </c>
      <c r="X399" s="30" t="s">
        <v>35</v>
      </c>
    </row>
    <row r="400" spans="1:26" x14ac:dyDescent="0.2">
      <c r="A400" s="30">
        <v>215</v>
      </c>
      <c r="B400" s="30" t="s">
        <v>95</v>
      </c>
      <c r="C400" s="30" t="s">
        <v>95</v>
      </c>
      <c r="D400" s="30" t="s">
        <v>962</v>
      </c>
      <c r="E400" s="30" t="s">
        <v>898</v>
      </c>
      <c r="U400" s="30">
        <v>50</v>
      </c>
      <c r="V400" s="30">
        <v>0</v>
      </c>
      <c r="Y400" s="30" t="s">
        <v>937</v>
      </c>
      <c r="Z400" s="30" t="s">
        <v>938</v>
      </c>
    </row>
    <row r="401" spans="1:26" x14ac:dyDescent="0.2">
      <c r="A401" s="30">
        <v>238</v>
      </c>
      <c r="B401" s="30" t="s">
        <v>13</v>
      </c>
      <c r="C401" s="30" t="s">
        <v>941</v>
      </c>
      <c r="D401" s="30" t="s">
        <v>939</v>
      </c>
      <c r="E401" s="30" t="s">
        <v>414</v>
      </c>
      <c r="F401" s="27">
        <v>9</v>
      </c>
      <c r="G401" s="27">
        <v>1</v>
      </c>
      <c r="H401" s="27">
        <v>1</v>
      </c>
      <c r="K401" s="155" t="s">
        <v>942</v>
      </c>
      <c r="U401" s="30">
        <v>50</v>
      </c>
      <c r="V401" s="30">
        <v>0</v>
      </c>
      <c r="Y401" s="30" t="s">
        <v>940</v>
      </c>
    </row>
    <row r="402" spans="1:26" x14ac:dyDescent="0.2">
      <c r="A402" s="30">
        <v>251</v>
      </c>
      <c r="B402" s="30" t="s">
        <v>13</v>
      </c>
      <c r="C402" s="30" t="s">
        <v>13</v>
      </c>
      <c r="D402" s="30" t="s">
        <v>944</v>
      </c>
      <c r="E402" s="30" t="s">
        <v>945</v>
      </c>
      <c r="F402" s="27">
        <v>1</v>
      </c>
      <c r="H402" s="27">
        <v>1</v>
      </c>
      <c r="U402" s="30">
        <v>50</v>
      </c>
      <c r="V402" s="30">
        <v>0</v>
      </c>
      <c r="Z402" s="30" t="s">
        <v>948</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G24" sqref="G24"/>
    </sheetView>
  </sheetViews>
  <sheetFormatPr defaultRowHeight="12.75" x14ac:dyDescent="0.2"/>
  <cols>
    <col min="1" max="1" width="24.140625" bestFit="1" customWidth="1"/>
  </cols>
  <sheetData>
    <row r="1" spans="1:2" x14ac:dyDescent="0.2">
      <c r="B1" s="2" t="s">
        <v>956</v>
      </c>
    </row>
    <row r="2" spans="1:2" x14ac:dyDescent="0.2">
      <c r="A2" s="2" t="s">
        <v>951</v>
      </c>
      <c r="B2" s="2" t="s">
        <v>952</v>
      </c>
    </row>
    <row r="3" spans="1:2" x14ac:dyDescent="0.2">
      <c r="A3" s="2" t="s">
        <v>658</v>
      </c>
      <c r="B3" s="2" t="s">
        <v>953</v>
      </c>
    </row>
    <row r="4" spans="1:2" x14ac:dyDescent="0.2">
      <c r="A4" s="2" t="s">
        <v>659</v>
      </c>
      <c r="B4" s="2" t="s">
        <v>953</v>
      </c>
    </row>
    <row r="5" spans="1:2" x14ac:dyDescent="0.2">
      <c r="A5" s="2" t="s">
        <v>660</v>
      </c>
      <c r="B5" s="154" t="s">
        <v>953</v>
      </c>
    </row>
    <row r="6" spans="1:2" x14ac:dyDescent="0.2">
      <c r="A6" s="2" t="s">
        <v>661</v>
      </c>
      <c r="B6" t="s">
        <v>952</v>
      </c>
    </row>
    <row r="7" spans="1:2" x14ac:dyDescent="0.2">
      <c r="A7" s="2" t="s">
        <v>662</v>
      </c>
      <c r="B7" s="154" t="s">
        <v>953</v>
      </c>
    </row>
    <row r="8" spans="1:2" x14ac:dyDescent="0.2">
      <c r="A8" s="2" t="s">
        <v>663</v>
      </c>
      <c r="B8" s="154" t="s">
        <v>953</v>
      </c>
    </row>
    <row r="9" spans="1:2" x14ac:dyDescent="0.2">
      <c r="A9" s="2" t="s">
        <v>664</v>
      </c>
      <c r="B9" t="s">
        <v>955</v>
      </c>
    </row>
    <row r="10" spans="1:2" x14ac:dyDescent="0.2">
      <c r="A10" s="2" t="s">
        <v>665</v>
      </c>
      <c r="B10" t="s">
        <v>952</v>
      </c>
    </row>
    <row r="11" spans="1:2" x14ac:dyDescent="0.2">
      <c r="A11" s="2" t="s">
        <v>666</v>
      </c>
      <c r="B11" t="s">
        <v>952</v>
      </c>
    </row>
    <row r="12" spans="1:2" x14ac:dyDescent="0.2">
      <c r="A12" s="2" t="s">
        <v>667</v>
      </c>
      <c r="B12" t="s">
        <v>952</v>
      </c>
    </row>
    <row r="13" spans="1:2" x14ac:dyDescent="0.2">
      <c r="A13" s="2" t="s">
        <v>669</v>
      </c>
      <c r="B13" t="s">
        <v>952</v>
      </c>
    </row>
    <row r="14" spans="1:2" x14ac:dyDescent="0.2">
      <c r="A14" s="2" t="s">
        <v>668</v>
      </c>
      <c r="B14" t="s">
        <v>952</v>
      </c>
    </row>
    <row r="15" spans="1:2" x14ac:dyDescent="0.2">
      <c r="A15" s="2" t="s">
        <v>657</v>
      </c>
      <c r="B15" s="2" t="s">
        <v>953</v>
      </c>
    </row>
    <row r="16" spans="1:2" x14ac:dyDescent="0.2">
      <c r="A16" s="2" t="s">
        <v>670</v>
      </c>
    </row>
    <row r="17" spans="1:2" x14ac:dyDescent="0.2">
      <c r="A17" s="2" t="s">
        <v>671</v>
      </c>
    </row>
    <row r="18" spans="1:2" x14ac:dyDescent="0.2">
      <c r="A18" s="2" t="s">
        <v>672</v>
      </c>
      <c r="B18" t="s">
        <v>953</v>
      </c>
    </row>
    <row r="19" spans="1:2" x14ac:dyDescent="0.2">
      <c r="A19" s="2" t="s">
        <v>675</v>
      </c>
    </row>
    <row r="20" spans="1:2" x14ac:dyDescent="0.2">
      <c r="A20" s="2" t="s">
        <v>673</v>
      </c>
    </row>
    <row r="21" spans="1:2" x14ac:dyDescent="0.2">
      <c r="A21" s="2" t="s">
        <v>674</v>
      </c>
      <c r="B21"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633</v>
      </c>
      <c r="B1" s="86" t="s">
        <v>634</v>
      </c>
      <c r="C1" s="86"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723</v>
      </c>
      <c r="B1" s="146" t="s">
        <v>720</v>
      </c>
      <c r="C1" s="146"/>
      <c r="D1" s="146"/>
      <c r="E1" s="146"/>
      <c r="F1" s="146" t="s">
        <v>721</v>
      </c>
      <c r="G1" s="146"/>
      <c r="H1" s="146"/>
      <c r="I1" s="146"/>
      <c r="J1" s="146" t="s">
        <v>722</v>
      </c>
      <c r="K1" s="146"/>
      <c r="L1" s="146"/>
      <c r="M1" s="146"/>
    </row>
    <row r="2" spans="1:13" x14ac:dyDescent="0.2">
      <c r="A2" s="104"/>
      <c r="B2" s="105" t="s">
        <v>716</v>
      </c>
      <c r="C2" s="105" t="s">
        <v>717</v>
      </c>
      <c r="D2" s="105" t="s">
        <v>718</v>
      </c>
      <c r="E2" s="105" t="s">
        <v>719</v>
      </c>
      <c r="F2" s="105" t="s">
        <v>716</v>
      </c>
      <c r="G2" s="105" t="s">
        <v>717</v>
      </c>
      <c r="H2" s="105" t="s">
        <v>718</v>
      </c>
      <c r="I2" s="105" t="s">
        <v>719</v>
      </c>
      <c r="J2" s="105" t="s">
        <v>716</v>
      </c>
      <c r="K2" s="105" t="s">
        <v>717</v>
      </c>
      <c r="L2" s="105" t="s">
        <v>718</v>
      </c>
      <c r="M2" s="105" t="s">
        <v>719</v>
      </c>
    </row>
    <row r="3" spans="1:13" x14ac:dyDescent="0.2">
      <c r="A3" s="14" t="s">
        <v>706</v>
      </c>
      <c r="B3" s="90"/>
      <c r="C3" s="88"/>
      <c r="D3" s="88"/>
      <c r="E3" s="88"/>
      <c r="F3" s="90"/>
      <c r="G3" s="88"/>
      <c r="H3" s="88"/>
      <c r="I3" s="88"/>
      <c r="J3" s="106"/>
      <c r="K3" s="88"/>
      <c r="L3" s="88"/>
      <c r="M3" s="88"/>
    </row>
    <row r="4" spans="1:13" x14ac:dyDescent="0.2">
      <c r="A4" s="14" t="s">
        <v>707</v>
      </c>
      <c r="B4" s="90"/>
      <c r="C4" s="88"/>
      <c r="D4" s="88"/>
      <c r="E4" s="88"/>
      <c r="F4" s="90"/>
      <c r="G4" s="88"/>
      <c r="H4" s="88"/>
      <c r="I4" s="88"/>
      <c r="J4" s="106"/>
      <c r="K4" s="88"/>
      <c r="L4" s="88"/>
      <c r="M4" s="88"/>
    </row>
    <row r="5" spans="1:13" ht="13.5" thickBot="1" x14ac:dyDescent="0.25">
      <c r="A5" s="91" t="s">
        <v>708</v>
      </c>
      <c r="B5" s="90"/>
      <c r="C5" s="92"/>
      <c r="D5" s="92"/>
      <c r="E5" s="92"/>
      <c r="F5" s="93"/>
      <c r="G5" s="92"/>
      <c r="H5" s="92"/>
      <c r="I5" s="92"/>
      <c r="J5" s="107"/>
      <c r="K5" s="92"/>
      <c r="L5" s="92"/>
      <c r="M5" s="92"/>
    </row>
    <row r="6" spans="1:13" x14ac:dyDescent="0.2">
      <c r="A6" s="96" t="s">
        <v>709</v>
      </c>
      <c r="B6" s="89"/>
      <c r="C6" s="97"/>
      <c r="D6" s="97"/>
      <c r="E6" s="97"/>
      <c r="F6" s="89"/>
      <c r="G6" s="97"/>
      <c r="H6" s="97"/>
      <c r="I6" s="97"/>
      <c r="J6" s="89"/>
      <c r="K6" s="97"/>
      <c r="L6" s="97"/>
      <c r="M6" s="98"/>
    </row>
    <row r="7" spans="1:13" x14ac:dyDescent="0.2">
      <c r="A7" s="99" t="s">
        <v>710</v>
      </c>
      <c r="B7" s="89"/>
      <c r="C7" s="88"/>
      <c r="D7" s="88"/>
      <c r="E7" s="88"/>
      <c r="F7" s="89"/>
      <c r="G7" s="88"/>
      <c r="H7" s="88"/>
      <c r="I7" s="88"/>
      <c r="J7" s="89"/>
      <c r="K7" s="88"/>
      <c r="L7" s="88"/>
      <c r="M7" s="100"/>
    </row>
    <row r="8" spans="1:13" x14ac:dyDescent="0.2">
      <c r="A8" s="99" t="s">
        <v>711</v>
      </c>
      <c r="B8" s="89"/>
      <c r="C8" s="88"/>
      <c r="D8" s="88"/>
      <c r="E8" s="88"/>
      <c r="F8" s="89"/>
      <c r="G8" s="88"/>
      <c r="H8" s="88"/>
      <c r="I8" s="88"/>
      <c r="J8" s="89"/>
      <c r="K8" s="88"/>
      <c r="L8" s="88"/>
      <c r="M8" s="100"/>
    </row>
    <row r="9" spans="1:13" ht="13.5" thickBot="1" x14ac:dyDescent="0.25">
      <c r="A9" s="101" t="s">
        <v>712</v>
      </c>
      <c r="B9" s="89"/>
      <c r="C9" s="102"/>
      <c r="D9" s="102"/>
      <c r="E9" s="102"/>
      <c r="F9" s="89"/>
      <c r="G9" s="102"/>
      <c r="H9" s="102"/>
      <c r="I9" s="102"/>
      <c r="J9" s="89"/>
      <c r="K9" s="102"/>
      <c r="L9" s="102"/>
      <c r="M9" s="103"/>
    </row>
    <row r="10" spans="1:13" x14ac:dyDescent="0.2">
      <c r="A10" s="94" t="s">
        <v>713</v>
      </c>
      <c r="B10" s="89"/>
      <c r="C10" s="95"/>
      <c r="D10" s="95"/>
      <c r="E10" s="95"/>
      <c r="F10" s="89"/>
      <c r="G10" s="95"/>
      <c r="H10" s="95"/>
      <c r="I10" s="95"/>
      <c r="J10" s="89"/>
      <c r="K10" s="95"/>
      <c r="L10" s="95"/>
      <c r="M10" s="95"/>
    </row>
    <row r="11" spans="1:13" x14ac:dyDescent="0.2">
      <c r="A11" s="14" t="s">
        <v>714</v>
      </c>
      <c r="B11" s="89"/>
      <c r="C11" s="88"/>
      <c r="D11" s="88"/>
      <c r="E11" s="88"/>
      <c r="F11" s="89"/>
      <c r="G11" s="88"/>
      <c r="H11" s="88"/>
      <c r="I11" s="88"/>
      <c r="J11" s="89"/>
      <c r="K11" s="88"/>
      <c r="L11" s="88"/>
      <c r="M11" s="88"/>
    </row>
    <row r="12" spans="1:13" x14ac:dyDescent="0.2">
      <c r="A12" s="14" t="s">
        <v>715</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836</v>
      </c>
      <c r="B1" s="127" t="s">
        <v>837</v>
      </c>
      <c r="C1" s="127" t="s">
        <v>838</v>
      </c>
      <c r="D1" s="127">
        <v>9</v>
      </c>
      <c r="E1" s="127">
        <v>11</v>
      </c>
      <c r="F1" s="127">
        <v>0</v>
      </c>
      <c r="G1" s="127">
        <v>2</v>
      </c>
      <c r="H1" s="127">
        <v>4</v>
      </c>
      <c r="I1" s="127">
        <v>5</v>
      </c>
      <c r="J1" s="128">
        <v>6</v>
      </c>
      <c r="K1" s="127">
        <v>7</v>
      </c>
      <c r="L1" s="129">
        <v>8</v>
      </c>
    </row>
    <row r="2" spans="1:12" x14ac:dyDescent="0.2">
      <c r="A2" s="147" t="s">
        <v>821</v>
      </c>
      <c r="B2" s="147"/>
      <c r="C2" s="147"/>
      <c r="D2" s="147" t="s">
        <v>820</v>
      </c>
      <c r="E2" s="147"/>
      <c r="F2" s="147"/>
      <c r="G2" s="147"/>
      <c r="H2" s="147"/>
      <c r="I2" s="147"/>
      <c r="J2" s="147"/>
      <c r="K2" s="147"/>
      <c r="L2" s="147"/>
    </row>
    <row r="3" spans="1:12" x14ac:dyDescent="0.2">
      <c r="A3" s="148"/>
      <c r="B3" s="149"/>
      <c r="C3" s="150"/>
      <c r="D3" s="124" t="s">
        <v>815</v>
      </c>
      <c r="E3" s="124" t="s">
        <v>816</v>
      </c>
      <c r="F3" s="124" t="s">
        <v>690</v>
      </c>
      <c r="G3" s="124" t="s">
        <v>817</v>
      </c>
      <c r="H3" s="124" t="s">
        <v>689</v>
      </c>
      <c r="I3" s="124" t="s">
        <v>213</v>
      </c>
      <c r="J3" s="125" t="s">
        <v>442</v>
      </c>
      <c r="K3" s="124" t="s">
        <v>818</v>
      </c>
      <c r="L3" s="126" t="s">
        <v>819</v>
      </c>
    </row>
    <row r="4" spans="1:12" x14ac:dyDescent="0.2">
      <c r="A4" s="151"/>
      <c r="B4" s="152"/>
      <c r="C4" s="153"/>
      <c r="D4" s="124" t="s">
        <v>822</v>
      </c>
      <c r="E4" s="124" t="s">
        <v>634</v>
      </c>
      <c r="F4" s="124" t="s">
        <v>823</v>
      </c>
      <c r="G4" s="124" t="s">
        <v>824</v>
      </c>
      <c r="H4" s="124" t="s">
        <v>633</v>
      </c>
      <c r="I4" s="124" t="s">
        <v>825</v>
      </c>
      <c r="J4" s="125" t="s">
        <v>826</v>
      </c>
      <c r="K4" s="124" t="s">
        <v>827</v>
      </c>
      <c r="L4" s="126" t="s">
        <v>828</v>
      </c>
    </row>
    <row r="5" spans="1:12" x14ac:dyDescent="0.2">
      <c r="A5" s="127">
        <v>9</v>
      </c>
      <c r="B5" s="124" t="s">
        <v>815</v>
      </c>
      <c r="C5" s="124" t="s">
        <v>822</v>
      </c>
      <c r="D5" s="119" t="s">
        <v>844</v>
      </c>
      <c r="E5" s="119" t="s">
        <v>842</v>
      </c>
      <c r="F5" s="119" t="s">
        <v>829</v>
      </c>
      <c r="G5" s="119" t="s">
        <v>685</v>
      </c>
      <c r="H5" s="119" t="s">
        <v>127</v>
      </c>
      <c r="I5" s="119" t="s">
        <v>830</v>
      </c>
      <c r="J5" s="120" t="s">
        <v>831</v>
      </c>
      <c r="K5" s="119" t="s">
        <v>745</v>
      </c>
      <c r="L5" s="121" t="s">
        <v>746</v>
      </c>
    </row>
    <row r="6" spans="1:12" x14ac:dyDescent="0.2">
      <c r="A6" s="127">
        <v>11</v>
      </c>
      <c r="B6" s="124" t="s">
        <v>816</v>
      </c>
      <c r="C6" s="124" t="s">
        <v>634</v>
      </c>
      <c r="D6" s="119" t="s">
        <v>745</v>
      </c>
      <c r="E6" s="119" t="s">
        <v>844</v>
      </c>
      <c r="F6" s="119" t="s">
        <v>843</v>
      </c>
      <c r="G6" s="119" t="s">
        <v>829</v>
      </c>
      <c r="H6" s="119" t="s">
        <v>685</v>
      </c>
      <c r="I6" s="119" t="s">
        <v>833</v>
      </c>
      <c r="J6" s="120" t="s">
        <v>127</v>
      </c>
      <c r="K6" s="119" t="s">
        <v>830</v>
      </c>
      <c r="L6" s="121" t="s">
        <v>831</v>
      </c>
    </row>
    <row r="7" spans="1:12" x14ac:dyDescent="0.2">
      <c r="A7" s="127">
        <v>0</v>
      </c>
      <c r="B7" s="124" t="s">
        <v>690</v>
      </c>
      <c r="C7" s="124" t="s">
        <v>823</v>
      </c>
      <c r="D7" s="119" t="s">
        <v>831</v>
      </c>
      <c r="E7" s="119" t="s">
        <v>746</v>
      </c>
      <c r="F7" s="119" t="s">
        <v>844</v>
      </c>
      <c r="G7" s="119" t="s">
        <v>842</v>
      </c>
      <c r="H7" s="119" t="s">
        <v>829</v>
      </c>
      <c r="I7" s="119" t="s">
        <v>685</v>
      </c>
      <c r="J7" s="123" t="s">
        <v>835</v>
      </c>
      <c r="K7" s="119" t="s">
        <v>127</v>
      </c>
      <c r="L7" s="122" t="s">
        <v>832</v>
      </c>
    </row>
    <row r="8" spans="1:12" x14ac:dyDescent="0.2">
      <c r="A8" s="127">
        <v>2</v>
      </c>
      <c r="B8" s="124" t="s">
        <v>817</v>
      </c>
      <c r="C8" s="124" t="s">
        <v>824</v>
      </c>
      <c r="D8" s="119" t="s">
        <v>127</v>
      </c>
      <c r="E8" s="119" t="s">
        <v>831</v>
      </c>
      <c r="F8" s="119" t="s">
        <v>745</v>
      </c>
      <c r="G8" s="119" t="s">
        <v>844</v>
      </c>
      <c r="H8" s="119" t="s">
        <v>842</v>
      </c>
      <c r="I8" s="119" t="s">
        <v>829</v>
      </c>
      <c r="J8" s="123" t="s">
        <v>834</v>
      </c>
      <c r="K8" s="119" t="s">
        <v>685</v>
      </c>
      <c r="L8" s="122" t="s">
        <v>835</v>
      </c>
    </row>
    <row r="9" spans="1:12" x14ac:dyDescent="0.2">
      <c r="A9" s="127">
        <v>4</v>
      </c>
      <c r="B9" s="124" t="s">
        <v>689</v>
      </c>
      <c r="C9" s="124" t="s">
        <v>633</v>
      </c>
      <c r="D9" s="119" t="s">
        <v>685</v>
      </c>
      <c r="E9" s="119" t="s">
        <v>127</v>
      </c>
      <c r="F9" s="119" t="s">
        <v>830</v>
      </c>
      <c r="G9" s="119" t="s">
        <v>745</v>
      </c>
      <c r="H9" s="119" t="s">
        <v>844</v>
      </c>
      <c r="I9" s="119" t="s">
        <v>843</v>
      </c>
      <c r="J9" s="120" t="s">
        <v>842</v>
      </c>
      <c r="K9" s="119" t="s">
        <v>829</v>
      </c>
      <c r="L9" s="121" t="s">
        <v>834</v>
      </c>
    </row>
    <row r="10" spans="1:12" x14ac:dyDescent="0.2">
      <c r="A10" s="127">
        <v>5</v>
      </c>
      <c r="B10" s="124" t="s">
        <v>213</v>
      </c>
      <c r="C10" s="124" t="s">
        <v>825</v>
      </c>
      <c r="D10" s="119" t="s">
        <v>834</v>
      </c>
      <c r="E10" s="130" t="s">
        <v>835</v>
      </c>
      <c r="F10" s="119" t="s">
        <v>127</v>
      </c>
      <c r="G10" s="119" t="s">
        <v>831</v>
      </c>
      <c r="H10" s="119" t="s">
        <v>746</v>
      </c>
      <c r="I10" s="119" t="s">
        <v>844</v>
      </c>
      <c r="J10" s="123" t="s">
        <v>852</v>
      </c>
      <c r="K10" s="119" t="s">
        <v>842</v>
      </c>
      <c r="L10" s="122" t="s">
        <v>845</v>
      </c>
    </row>
    <row r="11" spans="1:12" x14ac:dyDescent="0.2">
      <c r="A11" s="128">
        <v>6</v>
      </c>
      <c r="B11" s="125" t="s">
        <v>442</v>
      </c>
      <c r="C11" s="125" t="s">
        <v>826</v>
      </c>
      <c r="D11" s="120" t="s">
        <v>829</v>
      </c>
      <c r="E11" s="120" t="s">
        <v>685</v>
      </c>
      <c r="F11" s="123" t="s">
        <v>833</v>
      </c>
      <c r="G11" s="120" t="s">
        <v>830</v>
      </c>
      <c r="H11" s="120" t="s">
        <v>745</v>
      </c>
      <c r="I11" s="120" t="s">
        <v>746</v>
      </c>
      <c r="J11" s="120" t="s">
        <v>844</v>
      </c>
      <c r="K11" s="120" t="s">
        <v>843</v>
      </c>
      <c r="L11" s="121" t="s">
        <v>842</v>
      </c>
    </row>
    <row r="12" spans="1:12" x14ac:dyDescent="0.2">
      <c r="A12" s="127">
        <v>7</v>
      </c>
      <c r="B12" s="124" t="s">
        <v>818</v>
      </c>
      <c r="C12" s="124" t="s">
        <v>827</v>
      </c>
      <c r="D12" s="119" t="s">
        <v>842</v>
      </c>
      <c r="E12" s="119" t="s">
        <v>834</v>
      </c>
      <c r="F12" s="119" t="s">
        <v>685</v>
      </c>
      <c r="G12" s="119" t="s">
        <v>127</v>
      </c>
      <c r="H12" s="119" t="s">
        <v>831</v>
      </c>
      <c r="I12" s="119" t="s">
        <v>745</v>
      </c>
      <c r="J12" s="120" t="s">
        <v>746</v>
      </c>
      <c r="K12" s="119" t="s">
        <v>844</v>
      </c>
      <c r="L12" s="122" t="s">
        <v>852</v>
      </c>
    </row>
    <row r="13" spans="1:12" x14ac:dyDescent="0.2">
      <c r="A13" s="129">
        <v>8</v>
      </c>
      <c r="B13" s="126" t="s">
        <v>819</v>
      </c>
      <c r="C13" s="126" t="s">
        <v>828</v>
      </c>
      <c r="D13" s="121" t="s">
        <v>843</v>
      </c>
      <c r="E13" s="121" t="s">
        <v>829</v>
      </c>
      <c r="F13" s="122" t="s">
        <v>839</v>
      </c>
      <c r="G13" s="121" t="s">
        <v>833</v>
      </c>
      <c r="H13" s="121" t="s">
        <v>830</v>
      </c>
      <c r="I13" s="122" t="s">
        <v>840</v>
      </c>
      <c r="J13" s="121" t="s">
        <v>745</v>
      </c>
      <c r="K13" s="122" t="s">
        <v>841</v>
      </c>
      <c r="L13" s="121" t="s">
        <v>844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2019-02-16T23:52:37Z</dcterms:modified>
</cp:coreProperties>
</file>