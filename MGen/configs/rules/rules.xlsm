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Data!$A$1:$T$336</definedName>
  </definedNames>
  <calcPr calcId="162913"/>
</workbook>
</file>

<file path=xl/calcChain.xml><?xml version="1.0" encoding="utf-8"?>
<calcChain xmlns="http://schemas.openxmlformats.org/spreadsheetml/2006/main">
  <c r="O355" i="4" l="1"/>
  <c r="O354" i="4"/>
  <c r="N348" i="4"/>
  <c r="N349" i="4"/>
  <c r="N350" i="4"/>
  <c r="N351" i="4"/>
  <c r="N352" i="4"/>
  <c r="N353" i="4"/>
  <c r="N354" i="4"/>
  <c r="O183" i="4" l="1"/>
  <c r="N183" i="4"/>
  <c r="O129" i="4"/>
  <c r="N129" i="4"/>
  <c r="O128" i="4"/>
  <c r="N128" i="4"/>
  <c r="O296" i="4"/>
  <c r="N296" i="4"/>
  <c r="O179" i="4"/>
  <c r="N179" i="4"/>
  <c r="O156" i="4"/>
  <c r="N156" i="4"/>
  <c r="O6" i="4"/>
  <c r="N6" i="4"/>
  <c r="O295" i="4"/>
  <c r="N295" i="4"/>
  <c r="O232" i="4"/>
  <c r="N232" i="4"/>
  <c r="O268" i="4"/>
  <c r="N268" i="4"/>
  <c r="O110" i="4"/>
  <c r="N110" i="4"/>
  <c r="O87" i="4"/>
  <c r="N87" i="4"/>
  <c r="O322" i="4"/>
  <c r="N322" i="4"/>
  <c r="O321" i="4"/>
  <c r="N321" i="4"/>
  <c r="O311" i="4"/>
  <c r="N311" i="4"/>
  <c r="O119" i="4"/>
  <c r="N119" i="4"/>
  <c r="O178" i="4"/>
  <c r="N178" i="4"/>
  <c r="O334" i="4"/>
  <c r="N334" i="4"/>
  <c r="O357" i="4"/>
  <c r="N357" i="4"/>
  <c r="O115" i="4"/>
  <c r="N115" i="4"/>
  <c r="O279" i="4"/>
  <c r="N279" i="4"/>
  <c r="O356" i="4"/>
  <c r="N356" i="4"/>
  <c r="O77" i="4"/>
  <c r="N77" i="4"/>
  <c r="O267" i="4"/>
  <c r="N267" i="4"/>
  <c r="O310" i="4"/>
  <c r="N310" i="4"/>
  <c r="O25" i="4"/>
  <c r="N25" i="4"/>
  <c r="O266" i="4"/>
  <c r="N266" i="4"/>
  <c r="O247" i="4"/>
  <c r="N247" i="4"/>
  <c r="O197" i="4"/>
  <c r="N197" i="4"/>
  <c r="N355" i="4"/>
  <c r="O294" i="4"/>
  <c r="N294" i="4"/>
  <c r="O134" i="4"/>
  <c r="N134" i="4"/>
  <c r="O293" i="4"/>
  <c r="N293" i="4"/>
  <c r="O320" i="4"/>
  <c r="N320" i="4"/>
  <c r="O151" i="4"/>
  <c r="N151" i="4"/>
  <c r="O164" i="4"/>
  <c r="N164" i="4"/>
  <c r="O177" i="4"/>
  <c r="N177" i="4"/>
  <c r="O292" i="4"/>
  <c r="N292" i="4"/>
  <c r="O291" i="4"/>
  <c r="N291" i="4"/>
  <c r="O265" i="4"/>
  <c r="N265" i="4"/>
  <c r="O155" i="4"/>
  <c r="N155" i="4"/>
  <c r="O173" i="4"/>
  <c r="N173" i="4"/>
  <c r="O163" i="4"/>
  <c r="N163" i="4"/>
  <c r="O85" i="4"/>
  <c r="N85" i="4"/>
  <c r="O202" i="4"/>
  <c r="N202" i="4"/>
  <c r="O207" i="4"/>
  <c r="N207" i="4"/>
  <c r="O290" i="4"/>
  <c r="N290" i="4"/>
  <c r="O196" i="4"/>
  <c r="N196" i="4"/>
  <c r="O289" i="4"/>
  <c r="N289" i="4"/>
  <c r="O221" i="4"/>
  <c r="N221" i="4"/>
  <c r="O319" i="4"/>
  <c r="N319" i="4"/>
  <c r="O333" i="4"/>
  <c r="N333" i="4"/>
  <c r="O28" i="4"/>
  <c r="N28" i="4"/>
  <c r="O45" i="4"/>
  <c r="N45" i="4"/>
  <c r="O103" i="4"/>
  <c r="N103" i="4"/>
  <c r="O332" i="4"/>
  <c r="N332" i="4"/>
  <c r="O278" i="4"/>
  <c r="N278" i="4"/>
  <c r="O220" i="4"/>
  <c r="N220" i="4"/>
  <c r="O172" i="4"/>
  <c r="N172" i="4"/>
  <c r="O288" i="4"/>
  <c r="N288" i="4"/>
  <c r="O264" i="4"/>
  <c r="N264" i="4"/>
  <c r="O195" i="4"/>
  <c r="N195" i="4"/>
  <c r="O263" i="4"/>
  <c r="N263" i="4"/>
  <c r="O236" i="4"/>
  <c r="N236" i="4"/>
  <c r="O318" i="4"/>
  <c r="N318" i="4"/>
  <c r="O309" i="4"/>
  <c r="N309" i="4"/>
  <c r="O194" i="4"/>
  <c r="N194" i="4"/>
  <c r="O331" i="4"/>
  <c r="N331" i="4"/>
  <c r="O287" i="4"/>
  <c r="N287" i="4"/>
  <c r="O99" i="4"/>
  <c r="N99" i="4"/>
  <c r="O189" i="4"/>
  <c r="N189" i="4"/>
  <c r="O308" i="4"/>
  <c r="N308" i="4"/>
  <c r="O59" i="4"/>
  <c r="N59" i="4"/>
  <c r="O188" i="4"/>
  <c r="N188" i="4"/>
  <c r="O353" i="4"/>
  <c r="O352" i="4"/>
  <c r="O351" i="4"/>
  <c r="O82" i="4"/>
  <c r="N82" i="4"/>
  <c r="O350" i="4"/>
  <c r="O317" i="4"/>
  <c r="N317" i="4"/>
  <c r="O187" i="4"/>
  <c r="N187" i="4"/>
  <c r="O277" i="4"/>
  <c r="N277" i="4"/>
  <c r="O330" i="4"/>
  <c r="N330" i="4"/>
  <c r="O276" i="4"/>
  <c r="N276" i="4"/>
  <c r="O227" i="4"/>
  <c r="N227" i="4"/>
  <c r="O262" i="4"/>
  <c r="N262" i="4"/>
  <c r="O81" i="4"/>
  <c r="N81" i="4"/>
  <c r="O95" i="4"/>
  <c r="N95" i="4"/>
  <c r="O226" i="4"/>
  <c r="N226" i="4"/>
  <c r="O171" i="4"/>
  <c r="N171" i="4"/>
  <c r="O84" i="4"/>
  <c r="N84" i="4"/>
  <c r="O10" i="4"/>
  <c r="N10" i="4"/>
  <c r="O76" i="4"/>
  <c r="N76" i="4"/>
  <c r="O275" i="4"/>
  <c r="N275" i="4"/>
  <c r="O225" i="4"/>
  <c r="N225" i="4"/>
  <c r="O349" i="4"/>
  <c r="O307" i="4"/>
  <c r="N307" i="4"/>
  <c r="O348" i="4"/>
  <c r="O219" i="4"/>
  <c r="N219" i="4"/>
  <c r="O316" i="4"/>
  <c r="N316" i="4"/>
  <c r="O261" i="4"/>
  <c r="N261" i="4"/>
  <c r="O150" i="4"/>
  <c r="N150" i="4"/>
  <c r="O246" i="4"/>
  <c r="N246" i="4"/>
  <c r="O146" i="4"/>
  <c r="N146" i="4"/>
  <c r="O218" i="4"/>
  <c r="N218" i="4"/>
  <c r="O170" i="4"/>
  <c r="N170" i="4"/>
  <c r="O329" i="4"/>
  <c r="N329" i="4"/>
  <c r="O133" i="4"/>
  <c r="N133" i="4"/>
  <c r="O315" i="4"/>
  <c r="N315" i="4"/>
  <c r="O54" i="4"/>
  <c r="N54" i="4"/>
  <c r="O37" i="4"/>
  <c r="N37" i="4"/>
  <c r="O347" i="4"/>
  <c r="N347" i="4"/>
  <c r="O127" i="4"/>
  <c r="N127" i="4"/>
  <c r="O245" i="4"/>
  <c r="N245" i="4"/>
  <c r="O154" i="4"/>
  <c r="N154" i="4"/>
  <c r="O306" i="4"/>
  <c r="N306" i="4"/>
  <c r="O186" i="4"/>
  <c r="N186" i="4"/>
  <c r="O124" i="4"/>
  <c r="N124" i="4"/>
  <c r="O57" i="4"/>
  <c r="N57" i="4"/>
  <c r="O244" i="4"/>
  <c r="N244" i="4"/>
  <c r="O61" i="4"/>
  <c r="N61" i="4"/>
  <c r="O176" i="4"/>
  <c r="N176" i="4"/>
  <c r="O153" i="4"/>
  <c r="N153" i="4"/>
  <c r="O217" i="4"/>
  <c r="N217" i="4"/>
  <c r="O162" i="4"/>
  <c r="N162" i="4"/>
  <c r="O235" i="4"/>
  <c r="N235" i="4"/>
  <c r="O161" i="4"/>
  <c r="N161" i="4"/>
  <c r="O305" i="4"/>
  <c r="N305" i="4"/>
  <c r="O286" i="4"/>
  <c r="N286" i="4"/>
  <c r="O216" i="4"/>
  <c r="N216" i="4"/>
  <c r="O102" i="4"/>
  <c r="N102" i="4"/>
  <c r="O175" i="4"/>
  <c r="N175" i="4"/>
  <c r="O92" i="4"/>
  <c r="N92" i="4"/>
  <c r="O260" i="4"/>
  <c r="N260" i="4"/>
  <c r="O7" i="4"/>
  <c r="N7" i="4"/>
  <c r="O234" i="4"/>
  <c r="N234" i="4"/>
  <c r="O181" i="4"/>
  <c r="N181" i="4"/>
  <c r="O304" i="4"/>
  <c r="N304" i="4"/>
  <c r="O206" i="4"/>
  <c r="N206" i="4"/>
  <c r="O193" i="4"/>
  <c r="N193" i="4"/>
  <c r="O139" i="4"/>
  <c r="N139" i="4"/>
  <c r="O328" i="4"/>
  <c r="N328" i="4"/>
  <c r="O303" i="4"/>
  <c r="N303" i="4"/>
  <c r="O346" i="4"/>
  <c r="N346" i="4"/>
  <c r="O233" i="4"/>
  <c r="N233" i="4"/>
  <c r="O185" i="4"/>
  <c r="N185" i="4"/>
  <c r="O160" i="4"/>
  <c r="N160" i="4"/>
  <c r="O285" i="4"/>
  <c r="N285" i="4"/>
  <c r="O243" i="4"/>
  <c r="N243" i="4"/>
  <c r="O159" i="4"/>
  <c r="N159" i="4"/>
  <c r="O152" i="4"/>
  <c r="N152" i="4"/>
  <c r="O327" i="4"/>
  <c r="N327" i="4"/>
  <c r="O180" i="4"/>
  <c r="N180" i="4"/>
  <c r="O114" i="4"/>
  <c r="N114" i="4"/>
  <c r="O201" i="4"/>
  <c r="N201" i="4"/>
  <c r="O50" i="4"/>
  <c r="N50" i="4"/>
  <c r="O231" i="4"/>
  <c r="N231" i="4"/>
  <c r="O259" i="4"/>
  <c r="N259" i="4"/>
  <c r="O258" i="4"/>
  <c r="N258" i="4"/>
  <c r="O169" i="4"/>
  <c r="N169" i="4"/>
  <c r="O80" i="4"/>
  <c r="N80" i="4"/>
  <c r="O257" i="4"/>
  <c r="N257" i="4"/>
  <c r="O284" i="4"/>
  <c r="N284" i="4"/>
  <c r="O242" i="4"/>
  <c r="N242" i="4"/>
  <c r="O345" i="4"/>
  <c r="N345" i="4"/>
  <c r="O344" i="4"/>
  <c r="N344" i="4"/>
  <c r="O17" i="4"/>
  <c r="N17" i="4"/>
  <c r="O343" i="4"/>
  <c r="N343" i="4"/>
  <c r="O342" i="4"/>
  <c r="N342" i="4"/>
  <c r="O302" i="4"/>
  <c r="N302" i="4"/>
  <c r="O241" i="4"/>
  <c r="N241" i="4"/>
  <c r="O215" i="4"/>
  <c r="N215" i="4"/>
  <c r="O29" i="4"/>
  <c r="N29" i="4"/>
  <c r="O274" i="4"/>
  <c r="N274" i="4"/>
  <c r="O109" i="4"/>
  <c r="N109" i="4"/>
  <c r="O301" i="4"/>
  <c r="N301" i="4"/>
  <c r="O256" i="4"/>
  <c r="N256" i="4"/>
  <c r="O106" i="4"/>
  <c r="N106" i="4"/>
  <c r="O72" i="4"/>
  <c r="N72" i="4"/>
  <c r="O255" i="4"/>
  <c r="N255" i="4"/>
  <c r="O108" i="4"/>
  <c r="N108" i="4"/>
  <c r="O254" i="4"/>
  <c r="N254" i="4"/>
  <c r="O253" i="4"/>
  <c r="N253" i="4"/>
  <c r="O52" i="4"/>
  <c r="N52" i="4"/>
  <c r="O60" i="4"/>
  <c r="N60" i="4"/>
  <c r="O252" i="4"/>
  <c r="N252" i="4"/>
  <c r="O240" i="4"/>
  <c r="N240" i="4"/>
  <c r="O251" i="4"/>
  <c r="N251" i="4"/>
  <c r="O250" i="4"/>
  <c r="N250" i="4"/>
  <c r="O283" i="4"/>
  <c r="N283" i="4"/>
  <c r="O2" i="4"/>
  <c r="N2" i="4"/>
  <c r="O75" i="4"/>
  <c r="N75" i="4"/>
  <c r="O138" i="4"/>
  <c r="N138" i="4"/>
  <c r="O168" i="4"/>
  <c r="N168" i="4"/>
  <c r="O214" i="4"/>
  <c r="N214" i="4"/>
  <c r="O230" i="4"/>
  <c r="N230" i="4"/>
  <c r="O192" i="4"/>
  <c r="N192" i="4"/>
  <c r="O249" i="4"/>
  <c r="N249" i="4"/>
  <c r="O167" i="4"/>
  <c r="N167" i="4"/>
  <c r="O184" i="4"/>
  <c r="N184" i="4"/>
  <c r="O300" i="4"/>
  <c r="N300" i="4"/>
  <c r="O239" i="4"/>
  <c r="N239" i="4"/>
  <c r="O326" i="4"/>
  <c r="N326" i="4"/>
  <c r="O282" i="4"/>
  <c r="N282" i="4"/>
  <c r="O314" i="4"/>
  <c r="N314" i="4"/>
  <c r="O205" i="4"/>
  <c r="N205" i="4"/>
  <c r="O299" i="4"/>
  <c r="N299" i="4"/>
  <c r="O325" i="4"/>
  <c r="N325" i="4"/>
  <c r="O313" i="4"/>
  <c r="N313" i="4"/>
  <c r="O204" i="4"/>
  <c r="N204" i="4"/>
  <c r="O281" i="4"/>
  <c r="N281" i="4"/>
  <c r="O94" i="4"/>
  <c r="N94" i="4"/>
  <c r="O224" i="4"/>
  <c r="N224" i="4"/>
  <c r="O112" i="4"/>
  <c r="N112" i="4"/>
  <c r="O71" i="4"/>
  <c r="N71" i="4"/>
  <c r="O341" i="4"/>
  <c r="N341" i="4"/>
  <c r="O273" i="4"/>
  <c r="N273" i="4"/>
  <c r="O200" i="4"/>
  <c r="N200" i="4"/>
  <c r="O123" i="4"/>
  <c r="N123" i="4"/>
  <c r="O49" i="4"/>
  <c r="N49" i="4"/>
  <c r="O229" i="4"/>
  <c r="N229" i="4"/>
  <c r="O238" i="4"/>
  <c r="N238" i="4"/>
  <c r="O213" i="4"/>
  <c r="N213" i="4"/>
  <c r="O237" i="4"/>
  <c r="N237" i="4"/>
  <c r="O212" i="4"/>
  <c r="N212" i="4"/>
  <c r="O105" i="4"/>
  <c r="N105" i="4"/>
  <c r="O63" i="4"/>
  <c r="N63" i="4"/>
  <c r="O16" i="4"/>
  <c r="N16" i="4"/>
  <c r="O113" i="4"/>
  <c r="N113" i="4"/>
  <c r="O91" i="4"/>
  <c r="N91" i="4"/>
  <c r="O56" i="4"/>
  <c r="N56" i="4"/>
  <c r="O24" i="4"/>
  <c r="N24" i="4"/>
  <c r="O32" i="4"/>
  <c r="N32" i="4"/>
  <c r="O36" i="4"/>
  <c r="N36" i="4"/>
  <c r="O145" i="4"/>
  <c r="N145" i="4"/>
  <c r="O118" i="4"/>
  <c r="N118" i="4"/>
  <c r="O340" i="4"/>
  <c r="N340" i="4"/>
  <c r="O211" i="4"/>
  <c r="N211" i="4"/>
  <c r="O69" i="4"/>
  <c r="N69" i="4"/>
  <c r="O40" i="4"/>
  <c r="N40" i="4"/>
  <c r="O149" i="4"/>
  <c r="N149" i="4"/>
  <c r="O122" i="4"/>
  <c r="N122" i="4"/>
  <c r="O79" i="4"/>
  <c r="N79" i="4"/>
  <c r="O90" i="4"/>
  <c r="N90" i="4"/>
  <c r="O148" i="4"/>
  <c r="N148" i="4"/>
  <c r="O191" i="4"/>
  <c r="N191" i="4"/>
  <c r="O166" i="4"/>
  <c r="N166" i="4"/>
  <c r="O23" i="4"/>
  <c r="N23" i="4"/>
  <c r="O312" i="4"/>
  <c r="N312" i="4"/>
  <c r="O228" i="4"/>
  <c r="N228" i="4"/>
  <c r="O223" i="4"/>
  <c r="N223" i="4"/>
  <c r="O46" i="4"/>
  <c r="N46" i="4"/>
  <c r="O339" i="4"/>
  <c r="N339" i="4"/>
  <c r="O338" i="4"/>
  <c r="N338" i="4"/>
  <c r="O132" i="4"/>
  <c r="N132" i="4"/>
  <c r="O337" i="4"/>
  <c r="N337" i="4"/>
  <c r="O101" i="4"/>
  <c r="N101" i="4"/>
  <c r="O51" i="4"/>
  <c r="N51" i="4"/>
  <c r="O41" i="4"/>
  <c r="N41" i="4"/>
  <c r="O336" i="4"/>
  <c r="N336" i="4"/>
  <c r="O22" i="4"/>
  <c r="N22" i="4"/>
  <c r="O199" i="4"/>
  <c r="N199" i="4"/>
  <c r="O280" i="4"/>
  <c r="N280" i="4"/>
  <c r="O203" i="4"/>
  <c r="N203" i="4"/>
  <c r="O144" i="4"/>
  <c r="N144" i="4"/>
  <c r="O298" i="4"/>
  <c r="N298" i="4"/>
  <c r="O98" i="4"/>
  <c r="N98" i="4"/>
  <c r="O44" i="4"/>
  <c r="N44" i="4"/>
  <c r="O272" i="4"/>
  <c r="N272" i="4"/>
  <c r="O297" i="4"/>
  <c r="N297" i="4"/>
  <c r="O104" i="4"/>
  <c r="N104" i="4"/>
  <c r="O131" i="4"/>
  <c r="N131" i="4"/>
  <c r="O27" i="4"/>
  <c r="N27" i="4"/>
  <c r="O210" i="4"/>
  <c r="N210" i="4"/>
  <c r="O31" i="4"/>
  <c r="N31" i="4"/>
  <c r="O11" i="4"/>
  <c r="N11" i="4"/>
  <c r="O78" i="4"/>
  <c r="N78" i="4"/>
  <c r="O66" i="4"/>
  <c r="N66" i="4"/>
  <c r="O8" i="4"/>
  <c r="N8" i="4"/>
  <c r="O43" i="4"/>
  <c r="N43" i="4"/>
  <c r="O53" i="4"/>
  <c r="N53" i="4"/>
  <c r="O3" i="4"/>
  <c r="N3" i="4"/>
  <c r="O74" i="4"/>
  <c r="N74" i="4"/>
  <c r="O107" i="4"/>
  <c r="N107" i="4"/>
  <c r="O137" i="4"/>
  <c r="N137" i="4"/>
  <c r="O143" i="4"/>
  <c r="N143" i="4"/>
  <c r="O142" i="4"/>
  <c r="N142" i="4"/>
  <c r="O222" i="4"/>
  <c r="N222" i="4"/>
  <c r="O93" i="4"/>
  <c r="N93" i="4"/>
  <c r="O48" i="4"/>
  <c r="N48" i="4"/>
  <c r="O174" i="4"/>
  <c r="N174" i="4"/>
  <c r="O19" i="4"/>
  <c r="N19" i="4"/>
  <c r="O271" i="4"/>
  <c r="N271" i="4"/>
  <c r="O248" i="4"/>
  <c r="N248" i="4"/>
  <c r="O270" i="4"/>
  <c r="N270" i="4"/>
  <c r="O141" i="4"/>
  <c r="N141" i="4"/>
  <c r="O111" i="4"/>
  <c r="N111" i="4"/>
  <c r="O86" i="4"/>
  <c r="N86" i="4"/>
  <c r="O65" i="4"/>
  <c r="N65" i="4"/>
  <c r="O14" i="4"/>
  <c r="N14" i="4"/>
  <c r="O18" i="4"/>
  <c r="N18" i="4"/>
  <c r="O5" i="4"/>
  <c r="N5" i="4"/>
  <c r="O140" i="4"/>
  <c r="N140" i="4"/>
  <c r="O89" i="4"/>
  <c r="N89" i="4"/>
  <c r="O136" i="4"/>
  <c r="N136" i="4"/>
  <c r="O83" i="4"/>
  <c r="N83" i="4"/>
  <c r="O158" i="4"/>
  <c r="N158" i="4"/>
  <c r="O130" i="4"/>
  <c r="N130" i="4"/>
  <c r="O269" i="4"/>
  <c r="N269" i="4"/>
  <c r="O324" i="4"/>
  <c r="N324" i="4"/>
  <c r="O33" i="4"/>
  <c r="N33" i="4"/>
  <c r="O62" i="4"/>
  <c r="N62" i="4"/>
  <c r="O190" i="4"/>
  <c r="N190" i="4"/>
  <c r="O47" i="4"/>
  <c r="N47" i="4"/>
  <c r="O42" i="4"/>
  <c r="N42" i="4"/>
  <c r="O13" i="4"/>
  <c r="N13" i="4"/>
  <c r="O147" i="4"/>
  <c r="N147" i="4"/>
  <c r="O20" i="4"/>
  <c r="N20" i="4"/>
  <c r="O117" i="4"/>
  <c r="N117" i="4"/>
  <c r="O73" i="4"/>
  <c r="N73" i="4"/>
  <c r="O21" i="4"/>
  <c r="N21" i="4"/>
  <c r="O88" i="4"/>
  <c r="N88" i="4"/>
  <c r="O68" i="4"/>
  <c r="N68" i="4"/>
  <c r="O64" i="4"/>
  <c r="N64" i="4"/>
  <c r="O67" i="4"/>
  <c r="N67" i="4"/>
  <c r="O335" i="4"/>
  <c r="N335" i="4"/>
  <c r="O9" i="4"/>
  <c r="N9" i="4"/>
  <c r="O209" i="4"/>
  <c r="N209" i="4"/>
  <c r="O55" i="4"/>
  <c r="N55" i="4"/>
  <c r="O121" i="4"/>
  <c r="N121" i="4"/>
  <c r="O126" i="4"/>
  <c r="N126" i="4"/>
  <c r="O70" i="4"/>
  <c r="N70" i="4"/>
  <c r="O198" i="4"/>
  <c r="N198" i="4"/>
  <c r="O135" i="4"/>
  <c r="N135" i="4"/>
  <c r="O15" i="4"/>
  <c r="N15" i="4"/>
  <c r="O34" i="4"/>
  <c r="N34" i="4"/>
  <c r="O116" i="4"/>
  <c r="N116" i="4"/>
  <c r="O165" i="4"/>
  <c r="N165" i="4"/>
  <c r="O120" i="4"/>
  <c r="N120" i="4"/>
  <c r="O97" i="4"/>
  <c r="N97" i="4"/>
  <c r="O38" i="4"/>
  <c r="N38" i="4"/>
  <c r="O12" i="4"/>
  <c r="N12" i="4"/>
  <c r="O58" i="4"/>
  <c r="N58" i="4"/>
  <c r="O30" i="4"/>
  <c r="N30" i="4"/>
  <c r="O35" i="4"/>
  <c r="N35" i="4"/>
  <c r="O96" i="4"/>
  <c r="N96" i="4"/>
  <c r="O26" i="4"/>
  <c r="N26" i="4"/>
  <c r="O4" i="4"/>
  <c r="N4" i="4"/>
  <c r="O323" i="4"/>
  <c r="N323" i="4"/>
  <c r="O39" i="4"/>
  <c r="N39" i="4"/>
  <c r="O100" i="4"/>
  <c r="N100" i="4"/>
  <c r="O157" i="4"/>
  <c r="N157" i="4"/>
  <c r="O208" i="4"/>
  <c r="N208" i="4"/>
  <c r="O125" i="4"/>
  <c r="N125" i="4"/>
  <c r="O182" i="4"/>
  <c r="N182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3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3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6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6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8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8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0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0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0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1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1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1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3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K3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82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4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5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N348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H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35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5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5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5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57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</commentList>
</comments>
</file>

<file path=xl/sharedStrings.xml><?xml version="1.0" encoding="utf-8"?>
<sst xmlns="http://schemas.openxmlformats.org/spreadsheetml/2006/main" count="2244" uniqueCount="565">
  <si>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</si>
  <si>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</si>
  <si>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</si>
  <si>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</si>
  <si>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</si>
  <si>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</si>
  <si>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</si>
  <si>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</si>
  <si>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</si>
  <si>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</si>
  <si>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</si>
  <si>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</si>
  <si>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</si>
  <si>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</si>
  <si>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</si>
  <si>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</si>
  <si>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</si>
  <si>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</si>
  <si>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</si>
  <si>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</si>
  <si>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</si>
  <si>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</si>
  <si>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</si>
  <si>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</si>
  <si>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</si>
  <si>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</si>
  <si>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</si>
  <si>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</si>
  <si>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</si>
  <si>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</si>
  <si>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</si>
  <si>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</si>
  <si>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</si>
  <si>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</si>
  <si>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</si>
  <si>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</si>
  <si>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</si>
  <si>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</si>
  <si>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</si>
  <si>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</si>
  <si>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</si>
  <si>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</si>
  <si>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</si>
  <si>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</si>
  <si>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</si>
  <si>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</si>
  <si>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</si>
  <si>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</si>
  <si>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</si>
  <si>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</si>
  <si>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</si>
  <si>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</si>
  <si>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</si>
  <si>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</si>
  <si>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</si>
  <si>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</si>
  <si>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</si>
  <si>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</si>
  <si>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</si>
  <si>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</si>
  <si>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</si>
  <si>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</si>
  <si>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</si>
  <si>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</si>
  <si>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</si>
  <si>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</si>
  <si>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</si>
  <si>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</si>
  <si>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</si>
  <si>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</si>
  <si>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</si>
  <si>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</si>
  <si>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</si>
  <si>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</si>
  <si>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</si>
  <si>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</si>
  <si>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</si>
  <si>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</si>
  <si>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</si>
  <si>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</si>
  <si>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</si>
  <si>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</si>
  <si>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</si>
  <si>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</si>
  <si>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</si>
  <si>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</si>
  <si>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</si>
  <si>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</si>
  <si>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</si>
  <si>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</si>
  <si>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</si>
  <si>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</si>
  <si>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</si>
  <si>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</si>
  <si>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</si>
  <si>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</si>
  <si>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</si>
  <si>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</si>
  <si>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</si>
  <si>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</si>
  <si>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</si>
  <si>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</si>
  <si>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</si>
  <si>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</si>
  <si>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</si>
  <si>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</si>
  <si>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</si>
  <si>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</si>
  <si>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</si>
  <si>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</si>
  <si>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</si>
  <si>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</si>
  <si>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</si>
  <si>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</si>
  <si>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</si>
  <si>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</si>
  <si>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cross rel.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</si>
  <si>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</si>
  <si>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</si>
  <si>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</si>
  <si>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</si>
  <si>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</si>
  <si>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</si>
  <si>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</si>
  <si>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</si>
  <si>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</si>
  <si>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</si>
  <si>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</si>
  <si>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</si>
  <si>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</si>
  <si>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</si>
  <si>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</si>
  <si>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</si>
  <si>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</si>
  <si>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</si>
  <si>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</si>
  <si>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</si>
  <si>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</si>
  <si>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</si>
  <si>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</si>
  <si>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</si>
  <si>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</si>
  <si>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</si>
  <si>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</si>
  <si>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</si>
  <si>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</si>
  <si>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</si>
  <si>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</si>
  <si>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</si>
  <si>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</si>
  <si>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</si>
  <si>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</si>
  <si>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</si>
  <si>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</si>
  <si>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</si>
  <si>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</si>
  <si>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</si>
  <si>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</si>
  <si>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</si>
  <si>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</si>
  <si>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</si>
  <si>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</si>
  <si>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</si>
  <si>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</si>
  <si>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</si>
  <si>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</si>
  <si>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</si>
  <si>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</si>
  <si>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</si>
  <si>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</si>
  <si>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</si>
  <si>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</si>
  <si>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</si>
  <si>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</si>
  <si>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</si>
  <si>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</si>
  <si>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</si>
  <si>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</si>
  <si>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</si>
  <si>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</si>
  <si>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</si>
  <si>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</si>
  <si>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</si>
  <si>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</si>
  <si>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</si>
  <si>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</si>
  <si>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</si>
  <si>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</si>
  <si>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</si>
  <si>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</si>
  <si>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</si>
  <si>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</si>
  <si>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</si>
  <si>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</si>
  <si>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</si>
  <si>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</si>
  <si>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</si>
  <si>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</si>
  <si>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</si>
  <si>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</si>
  <si>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</si>
  <si>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</si>
  <si>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</si>
  <si>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</si>
  <si>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</si>
  <si>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</si>
  <si>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</si>
  <si>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</si>
  <si>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</si>
  <si>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</si>
  <si>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</si>
  <si>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</si>
  <si>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</si>
  <si>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</si>
  <si>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</si>
  <si>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</si>
  <si>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</si>
  <si>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</si>
  <si>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</si>
  <si>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</si>
  <si>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</si>
  <si>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</si>
  <si>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</si>
  <si>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</si>
  <si>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</si>
  <si>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</si>
  <si>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</si>
  <si>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</si>
  <si>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</si>
  <si>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</si>
  <si>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</si>
  <si>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</si>
  <si>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</si>
  <si>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</si>
  <si>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</si>
  <si>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</si>
  <si>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</si>
  <si>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</si>
  <si>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</si>
  <si>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</si>
  <si>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</si>
  <si>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</si>
  <si>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</si>
  <si>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</si>
  <si>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</si>
  <si>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</si>
  <si>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</si>
  <si>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</si>
  <si>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</si>
  <si>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</si>
  <si>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</si>
  <si>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</si>
  <si>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</si>
  <si>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</si>
  <si>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</si>
  <si>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</si>
  <si>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</si>
  <si>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</si>
  <si>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</si>
  <si>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</si>
  <si>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</si>
  <si>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</si>
  <si>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</si>
  <si>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</si>
  <si>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</si>
  <si>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</si>
  <si>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</si>
  <si>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</si>
  <si>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</si>
  <si>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</si>
  <si>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</si>
  <si>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</si>
  <si>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</si>
  <si>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</si>
  <si>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</si>
  <si>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</si>
  <si>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</si>
  <si>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</si>
  <si>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</si>
  <si>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</si>
  <si>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</si>
  <si>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</si>
  <si>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</si>
  <si>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</si>
  <si>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</si>
  <si>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</si>
  <si>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</si>
  <si>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</si>
  <si>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</si>
  <si>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</si>
  <si>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</si>
  <si>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</si>
  <si>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</si>
  <si>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</si>
  <si>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</si>
  <si>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</si>
  <si>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</si>
  <si>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</si>
  <si>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</si>
  <si>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</si>
  <si>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</si>
  <si>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</si>
  <si>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</si>
  <si>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</si>
  <si>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</si>
  <si>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</si>
  <si>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</si>
  <si>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</si>
  <si>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</si>
  <si>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</si>
  <si>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</si>
  <si>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</si>
  <si>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</si>
  <si>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</si>
  <si>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</si>
  <si>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</si>
  <si>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</si>
  <si>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</si>
  <si>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</si>
  <si>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</si>
  <si>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</si>
  <si>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</si>
  <si>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</si>
  <si>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</si>
  <si>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</si>
  <si>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</si>
  <si>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</si>
  <si>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</si>
  <si>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</si>
  <si>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</si>
  <si>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</si>
  <si>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</si>
  <si>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</si>
  <si>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</si>
  <si>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</si>
  <si>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</si>
  <si>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</si>
  <si>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</si>
  <si>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</si>
  <si>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</si>
  <si>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</si>
  <si>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</si>
  <si>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</si>
  <si>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</si>
  <si>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</si>
  <si>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</si>
  <si>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</si>
  <si>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</si>
  <si>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</si>
  <si>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</si>
  <si>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</si>
  <si>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</si>
  <si>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</si>
  <si>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</si>
  <si>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</si>
  <si>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</si>
  <si>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</si>
  <si>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</si>
  <si>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</si>
  <si>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</si>
  <si>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</si>
  <si>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</si>
  <si>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</si>
  <si>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</si>
  <si>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</si>
  <si>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</si>
  <si>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</si>
  <si>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</si>
  <si>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</si>
  <si>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</si>
  <si>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</si>
  <si>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</si>
  <si>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</si>
  <si>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</si>
  <si>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</si>
  <si>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</si>
  <si>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</si>
  <si>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</si>
  <si>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</si>
  <si>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</si>
  <si>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</si>
  <si>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</si>
  <si>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</si>
  <si>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</si>
  <si>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</si>
  <si>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</si>
  <si>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</si>
  <si>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</si>
  <si>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</si>
  <si>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</si>
  <si>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</si>
  <si>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</si>
  <si>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</si>
  <si>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</si>
  <si>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</si>
  <si>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</si>
  <si>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</si>
  <si>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</si>
  <si>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</si>
  <si>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</si>
  <si>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</si>
  <si>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</si>
  <si>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</si>
  <si>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</si>
  <si>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</si>
  <si>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</si>
  <si>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</si>
  <si>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</si>
  <si>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</si>
  <si>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</si>
  <si>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</si>
  <si>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</si>
  <si>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</si>
  <si>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</si>
  <si>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</si>
  <si>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</si>
  <si>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</si>
  <si>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</si>
  <si>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</si>
  <si>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</si>
  <si>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</si>
  <si>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</si>
  <si>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</si>
  <si>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</si>
  <si>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</si>
  <si>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</si>
  <si>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</si>
  <si>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</si>
  <si>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</si>
  <si>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</si>
  <si>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</si>
  <si>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</si>
  <si>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</si>
  <si>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</si>
  <si>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</si>
  <si>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</si>
  <si>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</si>
  <si>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</si>
  <si>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</si>
  <si>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</si>
  <si>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</si>
  <si>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</si>
  <si>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</si>
  <si>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</si>
  <si>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species 3,5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</si>
  <si>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</si>
  <si>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</si>
  <si>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</si>
  <si>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</si>
  <si>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</si>
  <si>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</si>
  <si>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</si>
  <si>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</si>
  <si>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</si>
  <si>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</si>
  <si>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</si>
  <si>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</si>
  <si>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</si>
  <si>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</si>
  <si>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</si>
  <si>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</si>
  <si>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</si>
  <si>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</si>
  <si>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</si>
  <si>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</si>
  <si>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</si>
  <si>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</si>
  <si>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</si>
  <si>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</si>
  <si>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</si>
  <si>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</si>
  <si>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</si>
  <si>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</si>
  <si>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</si>
  <si>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</si>
  <si>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</si>
  <si>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</si>
  <si>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</si>
  <si>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</si>
  <si>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</si>
  <si>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</si>
  <si>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</si>
  <si>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</si>
  <si>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</si>
  <si>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</si>
  <si>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</si>
  <si>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</si>
  <si>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</si>
  <si>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</si>
  <si>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</si>
  <si>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</si>
  <si>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</si>
  <si>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</si>
  <si>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</si>
  <si>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</si>
  <si>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</si>
  <si>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</si>
  <si>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</si>
  <si>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</si>
  <si>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</si>
  <si>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</si>
  <si>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</si>
  <si>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</si>
  <si>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</si>
  <si>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Tritone with one intermediate note, framed by two melody direction changes</t>
  </si>
  <si>
    <t>Tritone with one intermediate note, last note is longer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</si>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</sst>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0" fillId="18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2" fillId="19" borderId="1" xfId="0" applyNumberFormat="1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zoomScale="85" zoomScaleNormal="85" workbookViewId="0">
      <pane ySplit="1" topLeftCell="A65" activePane="bottomLeft" state="frozen"/>
      <selection activeCell="C37" sqref="C37"/>
      <selection pane="bottomLeft" activeCell="F85" sqref="F85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130</v>
      </c>
      <c r="B1" s="120" t="s">
        <v>63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O1" s="2"/>
    </row>
    <row r="2" spans="1:23" ht="15.9" customHeight="1" x14ac:dyDescent="0.25">
      <c r="A2" s="95" t="s">
        <v>129</v>
      </c>
      <c r="B2" s="95" t="s">
        <v>0</v>
      </c>
      <c r="C2" s="95" t="s">
        <v>1</v>
      </c>
      <c r="D2" s="111" t="s">
        <v>40</v>
      </c>
      <c r="E2" s="112"/>
      <c r="F2" s="112"/>
      <c r="G2" s="112"/>
      <c r="H2" s="112"/>
      <c r="I2" s="96"/>
      <c r="J2" s="96"/>
      <c r="K2" s="96"/>
      <c r="L2" s="96"/>
      <c r="M2" s="97" t="s">
        <v>22</v>
      </c>
      <c r="N2" s="98"/>
      <c r="O2" s="97" t="s">
        <v>72</v>
      </c>
    </row>
    <row r="3" spans="1:23" ht="15.9" customHeight="1" x14ac:dyDescent="0.25">
      <c r="A3" s="109" t="s">
        <v>39</v>
      </c>
      <c r="B3" s="110" t="s">
        <v>87</v>
      </c>
      <c r="C3" s="3" t="s">
        <v>99</v>
      </c>
      <c r="D3" s="19" t="s">
        <v>3</v>
      </c>
      <c r="E3" s="19" t="s">
        <v>4</v>
      </c>
      <c r="F3" s="62" t="s">
        <v>5</v>
      </c>
      <c r="G3" s="20" t="s">
        <v>51</v>
      </c>
      <c r="H3" s="70" t="s">
        <v>147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09"/>
      <c r="B4" s="110"/>
      <c r="C4" s="3" t="s">
        <v>98</v>
      </c>
      <c r="D4" s="19" t="s">
        <v>3</v>
      </c>
      <c r="E4" s="19" t="s">
        <v>4</v>
      </c>
      <c r="F4" s="20" t="s">
        <v>5</v>
      </c>
      <c r="G4" s="77" t="s">
        <v>51</v>
      </c>
      <c r="H4" s="70" t="s">
        <v>147</v>
      </c>
      <c r="I4" s="3"/>
      <c r="J4" s="3"/>
      <c r="K4" s="3"/>
      <c r="L4" s="59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09"/>
      <c r="B5" s="110"/>
      <c r="C5" s="3" t="s">
        <v>85</v>
      </c>
      <c r="D5" s="19" t="s">
        <v>3</v>
      </c>
      <c r="E5" s="63" t="s">
        <v>4</v>
      </c>
      <c r="F5" s="62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9"/>
      <c r="B6" s="110"/>
      <c r="C6" s="3" t="s">
        <v>82</v>
      </c>
      <c r="D6" s="103" t="s">
        <v>91</v>
      </c>
      <c r="E6" s="19" t="s">
        <v>4</v>
      </c>
      <c r="F6" s="62" t="s">
        <v>5</v>
      </c>
      <c r="G6" s="20" t="s">
        <v>51</v>
      </c>
      <c r="H6" s="3"/>
      <c r="I6" s="3"/>
      <c r="J6" s="3"/>
      <c r="K6" s="3"/>
      <c r="L6" s="14"/>
      <c r="M6" s="58" t="s">
        <v>439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9"/>
      <c r="B7" s="110"/>
      <c r="C7" s="3" t="s">
        <v>81</v>
      </c>
      <c r="D7" s="103" t="s">
        <v>91</v>
      </c>
      <c r="E7" s="63" t="s">
        <v>4</v>
      </c>
      <c r="F7" s="78" t="s">
        <v>5</v>
      </c>
      <c r="G7" s="77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9"/>
      <c r="B8" s="110"/>
      <c r="C8" s="30" t="s">
        <v>397</v>
      </c>
      <c r="D8" s="19" t="s">
        <v>3</v>
      </c>
      <c r="E8" s="19" t="s">
        <v>4</v>
      </c>
      <c r="F8" s="62" t="s">
        <v>5</v>
      </c>
      <c r="G8" s="64" t="s">
        <v>51</v>
      </c>
      <c r="H8" s="24"/>
      <c r="I8" s="3"/>
      <c r="J8" s="3"/>
      <c r="K8" s="3"/>
      <c r="L8" s="59"/>
      <c r="M8" s="58" t="s">
        <v>440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9"/>
      <c r="B9" s="110" t="s">
        <v>86</v>
      </c>
      <c r="C9" s="3" t="s">
        <v>2</v>
      </c>
      <c r="D9" s="19" t="s">
        <v>3</v>
      </c>
      <c r="E9" s="19" t="s">
        <v>4</v>
      </c>
      <c r="F9" s="77" t="s">
        <v>5</v>
      </c>
      <c r="G9" s="79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9"/>
      <c r="B10" s="110"/>
      <c r="C10" s="30" t="s">
        <v>191</v>
      </c>
      <c r="D10" s="19" t="s">
        <v>3</v>
      </c>
      <c r="E10" s="19" t="s">
        <v>4</v>
      </c>
      <c r="F10" s="62" t="s">
        <v>5</v>
      </c>
      <c r="G10" s="64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9"/>
      <c r="B11" s="110"/>
      <c r="C11" s="3" t="s">
        <v>171</v>
      </c>
      <c r="D11" s="19" t="s">
        <v>3</v>
      </c>
      <c r="E11" s="19" t="s">
        <v>4</v>
      </c>
      <c r="F11" s="20" t="s">
        <v>5</v>
      </c>
      <c r="G11" s="64" t="s">
        <v>51</v>
      </c>
      <c r="H11" s="3"/>
      <c r="I11" s="3"/>
      <c r="J11" s="3"/>
      <c r="K11" s="3"/>
      <c r="L11" s="4"/>
      <c r="M11" s="22" t="s">
        <v>172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9"/>
      <c r="B12" s="110"/>
      <c r="C12" s="34" t="s">
        <v>86</v>
      </c>
      <c r="D12" s="19" t="s">
        <v>3</v>
      </c>
      <c r="E12" s="80" t="s">
        <v>4</v>
      </c>
      <c r="F12" s="77" t="s">
        <v>5</v>
      </c>
      <c r="G12" s="79" t="s">
        <v>51</v>
      </c>
      <c r="H12" s="19" t="s">
        <v>192</v>
      </c>
      <c r="I12" s="3"/>
      <c r="J12" s="3"/>
      <c r="K12" s="3"/>
      <c r="L12" s="59"/>
      <c r="M12" s="22" t="s">
        <v>173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09"/>
      <c r="B13" s="110" t="s">
        <v>83</v>
      </c>
      <c r="C13" s="34" t="s">
        <v>124</v>
      </c>
      <c r="D13" s="19" t="s">
        <v>3</v>
      </c>
      <c r="E13" s="19" t="s">
        <v>4</v>
      </c>
      <c r="F13" s="62" t="s">
        <v>5</v>
      </c>
      <c r="G13" s="79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09"/>
      <c r="B14" s="110"/>
      <c r="C14" s="34" t="s">
        <v>125</v>
      </c>
      <c r="D14" s="19" t="s">
        <v>3</v>
      </c>
      <c r="E14" s="19" t="s">
        <v>4</v>
      </c>
      <c r="F14" s="77" t="s">
        <v>5</v>
      </c>
      <c r="G14" s="79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9"/>
      <c r="B15" s="110"/>
      <c r="C15" s="34" t="s">
        <v>126</v>
      </c>
      <c r="D15" s="19" t="s">
        <v>3</v>
      </c>
      <c r="E15" s="80" t="s">
        <v>4</v>
      </c>
      <c r="F15" s="77" t="s">
        <v>5</v>
      </c>
      <c r="G15" s="79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9"/>
      <c r="B16" s="110"/>
      <c r="C16" s="34" t="s">
        <v>127</v>
      </c>
      <c r="D16" s="19" t="s">
        <v>3</v>
      </c>
      <c r="E16" s="4" t="s">
        <v>4</v>
      </c>
      <c r="F16" s="8" t="s">
        <v>5</v>
      </c>
      <c r="G16" s="79" t="s">
        <v>51</v>
      </c>
      <c r="H16" s="3"/>
      <c r="I16" s="3"/>
      <c r="J16" s="3"/>
      <c r="K16" s="3"/>
      <c r="L16" s="59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9"/>
      <c r="B17" s="110"/>
      <c r="C17" s="34" t="s">
        <v>128</v>
      </c>
      <c r="D17" s="4" t="s">
        <v>3</v>
      </c>
      <c r="E17" s="4" t="s">
        <v>4</v>
      </c>
      <c r="F17" s="8" t="s">
        <v>5</v>
      </c>
      <c r="G17" s="79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9"/>
      <c r="B18" s="110"/>
      <c r="C18" s="34" t="s">
        <v>259</v>
      </c>
      <c r="D18" s="80" t="s">
        <v>3</v>
      </c>
      <c r="E18" s="80" t="s">
        <v>4</v>
      </c>
      <c r="F18" s="77" t="s">
        <v>5</v>
      </c>
      <c r="G18" s="79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9"/>
      <c r="B19" s="110"/>
      <c r="C19" s="34" t="s">
        <v>279</v>
      </c>
      <c r="D19" s="80" t="s">
        <v>3</v>
      </c>
      <c r="E19" s="80" t="s">
        <v>4</v>
      </c>
      <c r="F19" s="77" t="s">
        <v>5</v>
      </c>
      <c r="G19" s="79" t="s">
        <v>51</v>
      </c>
      <c r="H19" s="3"/>
      <c r="I19" s="3"/>
      <c r="J19" s="3"/>
      <c r="K19" s="3"/>
      <c r="L19" s="4"/>
      <c r="M19" s="22" t="s">
        <v>280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09"/>
      <c r="B20" s="110"/>
      <c r="C20" s="34" t="s">
        <v>6</v>
      </c>
      <c r="D20" s="19" t="s">
        <v>90</v>
      </c>
      <c r="E20" s="21" t="s">
        <v>89</v>
      </c>
      <c r="F20" s="19" t="s">
        <v>25</v>
      </c>
      <c r="G20" s="81"/>
      <c r="H20" s="23"/>
      <c r="I20" s="3"/>
      <c r="J20" s="3"/>
      <c r="K20" s="3"/>
      <c r="L20" s="59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09"/>
      <c r="B21" s="110" t="s">
        <v>7</v>
      </c>
      <c r="C21" s="34" t="s">
        <v>118</v>
      </c>
      <c r="D21" s="19" t="s">
        <v>120</v>
      </c>
      <c r="E21" s="19" t="s">
        <v>121</v>
      </c>
      <c r="F21" s="82" t="s">
        <v>8</v>
      </c>
      <c r="G21" s="79" t="s">
        <v>9</v>
      </c>
      <c r="H21" s="19" t="s">
        <v>123</v>
      </c>
      <c r="I21" s="79" t="s">
        <v>122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09"/>
      <c r="B22" s="110"/>
      <c r="C22" s="34" t="s">
        <v>119</v>
      </c>
      <c r="D22" s="19" t="s">
        <v>120</v>
      </c>
      <c r="E22" s="19" t="s">
        <v>121</v>
      </c>
      <c r="F22" s="82" t="s">
        <v>8</v>
      </c>
      <c r="G22" s="79" t="s">
        <v>9</v>
      </c>
      <c r="H22" s="19" t="s">
        <v>123</v>
      </c>
      <c r="I22" s="79" t="s">
        <v>122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09"/>
      <c r="B23" s="110"/>
      <c r="C23" s="30" t="s">
        <v>169</v>
      </c>
      <c r="D23" s="70" t="s">
        <v>411</v>
      </c>
      <c r="E23" s="70" t="s">
        <v>413</v>
      </c>
      <c r="F23" s="71" t="s">
        <v>396</v>
      </c>
      <c r="G23" s="71" t="s">
        <v>369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09"/>
      <c r="B24" s="110"/>
      <c r="C24" s="30" t="s">
        <v>170</v>
      </c>
      <c r="D24" s="70" t="s">
        <v>412</v>
      </c>
      <c r="E24" s="70" t="s">
        <v>414</v>
      </c>
      <c r="F24" s="71" t="s">
        <v>368</v>
      </c>
      <c r="G24" s="71" t="s">
        <v>370</v>
      </c>
      <c r="H24" s="3"/>
      <c r="I24" s="3"/>
      <c r="J24" s="3"/>
      <c r="K24" s="3"/>
      <c r="L24" s="59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09"/>
      <c r="B25" s="110"/>
      <c r="C25" s="36" t="s">
        <v>226</v>
      </c>
      <c r="D25" s="70">
        <v>3</v>
      </c>
      <c r="E25" s="72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09"/>
      <c r="B26" s="110"/>
      <c r="C26" s="34" t="s">
        <v>10</v>
      </c>
      <c r="D26" s="79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09"/>
      <c r="B27" s="110"/>
      <c r="C27" s="3" t="s">
        <v>11</v>
      </c>
      <c r="D27" s="19" t="s">
        <v>13</v>
      </c>
      <c r="E27" s="83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09"/>
      <c r="B28" s="115" t="s">
        <v>14</v>
      </c>
      <c r="C28" s="34" t="s">
        <v>386</v>
      </c>
      <c r="D28" s="118" t="s">
        <v>141</v>
      </c>
      <c r="E28" s="119"/>
      <c r="F28" s="118" t="s">
        <v>174</v>
      </c>
      <c r="G28" s="119"/>
      <c r="H28" s="3"/>
      <c r="I28" s="3"/>
      <c r="J28" s="3"/>
      <c r="K28" s="3"/>
      <c r="L28" s="59"/>
      <c r="M28" s="22"/>
      <c r="O28" s="2">
        <v>4</v>
      </c>
      <c r="Q28" s="2">
        <v>5</v>
      </c>
    </row>
    <row r="29" spans="1:23" ht="15.9" customHeight="1" x14ac:dyDescent="0.25">
      <c r="A29" s="109"/>
      <c r="B29" s="117"/>
      <c r="C29" s="34" t="s">
        <v>409</v>
      </c>
      <c r="D29" s="113" t="s">
        <v>387</v>
      </c>
      <c r="E29" s="114"/>
      <c r="F29" s="113" t="s">
        <v>391</v>
      </c>
      <c r="G29" s="114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09"/>
      <c r="B30" s="110" t="s">
        <v>15</v>
      </c>
      <c r="C30" s="34" t="s">
        <v>429</v>
      </c>
      <c r="D30" s="4" t="s">
        <v>431</v>
      </c>
      <c r="E30" s="80" t="s">
        <v>430</v>
      </c>
      <c r="F30" s="77" t="s">
        <v>432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09"/>
      <c r="B31" s="110"/>
      <c r="C31" s="3" t="s">
        <v>56</v>
      </c>
      <c r="D31" s="94" t="s">
        <v>143</v>
      </c>
      <c r="E31" s="21" t="s">
        <v>146</v>
      </c>
      <c r="F31" s="32" t="s">
        <v>144</v>
      </c>
      <c r="G31" s="32" t="s">
        <v>145</v>
      </c>
      <c r="H31" s="84" t="s">
        <v>393</v>
      </c>
      <c r="I31" s="85" t="s">
        <v>392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09"/>
      <c r="B32" s="110"/>
      <c r="C32" s="3" t="s">
        <v>24</v>
      </c>
      <c r="D32" s="73" t="s">
        <v>381</v>
      </c>
      <c r="E32" s="70" t="s">
        <v>382</v>
      </c>
      <c r="F32" s="70" t="s">
        <v>383</v>
      </c>
      <c r="G32" s="70" t="s">
        <v>384</v>
      </c>
      <c r="H32" s="3"/>
      <c r="I32" s="3"/>
      <c r="J32" s="3"/>
      <c r="K32" s="3"/>
      <c r="L32" s="59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09"/>
      <c r="B33" s="110"/>
      <c r="C33" s="3" t="s">
        <v>148</v>
      </c>
      <c r="D33" s="73" t="s">
        <v>373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09"/>
      <c r="B34" s="110"/>
      <c r="C34" s="36" t="s">
        <v>168</v>
      </c>
      <c r="D34" s="19" t="s">
        <v>377</v>
      </c>
      <c r="E34" s="70" t="s">
        <v>376</v>
      </c>
      <c r="F34" s="73" t="s">
        <v>518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09"/>
      <c r="B35" s="110"/>
      <c r="C35" s="30" t="s">
        <v>507</v>
      </c>
      <c r="D35" s="71" t="s">
        <v>508</v>
      </c>
      <c r="E35" s="101" t="s">
        <v>509</v>
      </c>
      <c r="F35" s="71" t="s">
        <v>510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09"/>
      <c r="B36" s="115" t="s">
        <v>16</v>
      </c>
      <c r="C36" s="3" t="s">
        <v>16</v>
      </c>
      <c r="D36" s="19" t="s">
        <v>116</v>
      </c>
      <c r="E36" s="8" t="s">
        <v>49</v>
      </c>
      <c r="F36" s="79" t="s">
        <v>50</v>
      </c>
      <c r="G36" s="64" t="s">
        <v>23</v>
      </c>
      <c r="H36" s="3"/>
      <c r="I36" s="3"/>
      <c r="J36" s="3"/>
      <c r="K36" s="3"/>
      <c r="L36" s="4"/>
      <c r="M36" s="22"/>
      <c r="O36" s="2">
        <v>29</v>
      </c>
      <c r="P36" s="2">
        <v>2</v>
      </c>
      <c r="Q36" s="2">
        <v>31</v>
      </c>
      <c r="R36" s="2">
        <v>32</v>
      </c>
    </row>
    <row r="37" spans="1:19" ht="15.9" customHeight="1" x14ac:dyDescent="0.25">
      <c r="A37" s="109"/>
      <c r="B37" s="116"/>
      <c r="C37" s="3" t="s">
        <v>502</v>
      </c>
      <c r="D37" s="4" t="s">
        <v>49</v>
      </c>
      <c r="E37" s="77" t="s">
        <v>50</v>
      </c>
      <c r="F37" s="69"/>
      <c r="G37" s="69"/>
      <c r="H37" s="3"/>
      <c r="I37" s="3"/>
      <c r="J37" s="3"/>
      <c r="K37" s="3"/>
      <c r="L37" s="59"/>
      <c r="M37" s="22" t="s">
        <v>504</v>
      </c>
      <c r="O37" s="2">
        <v>18</v>
      </c>
      <c r="P37" s="2">
        <v>19</v>
      </c>
      <c r="Q37" s="2"/>
      <c r="R37" s="2"/>
    </row>
    <row r="38" spans="1:19" ht="15.9" customHeight="1" x14ac:dyDescent="0.25">
      <c r="A38" s="109"/>
      <c r="B38" s="117"/>
      <c r="C38" s="3" t="s">
        <v>503</v>
      </c>
      <c r="D38" s="4" t="s">
        <v>49</v>
      </c>
      <c r="E38" s="77" t="s">
        <v>50</v>
      </c>
      <c r="F38" s="69"/>
      <c r="G38" s="69"/>
      <c r="H38" s="3"/>
      <c r="I38" s="3"/>
      <c r="J38" s="3"/>
      <c r="K38" s="3"/>
      <c r="L38" s="59"/>
      <c r="M38" s="22" t="s">
        <v>505</v>
      </c>
      <c r="O38" s="2">
        <v>342</v>
      </c>
      <c r="P38" s="2">
        <v>343</v>
      </c>
      <c r="Q38" s="2"/>
      <c r="R38" s="2"/>
    </row>
    <row r="39" spans="1:19" ht="15.9" customHeight="1" x14ac:dyDescent="0.25">
      <c r="A39" s="109"/>
      <c r="B39" s="110" t="s">
        <v>17</v>
      </c>
      <c r="C39" s="34" t="s">
        <v>100</v>
      </c>
      <c r="D39" s="19">
        <v>1</v>
      </c>
      <c r="E39" s="65" t="s">
        <v>101</v>
      </c>
      <c r="F39" s="79" t="s">
        <v>102</v>
      </c>
      <c r="G39" s="3"/>
      <c r="H39" s="3"/>
      <c r="I39" s="3"/>
      <c r="J39" s="3"/>
      <c r="K39" s="3"/>
      <c r="L39" s="11"/>
      <c r="M39" s="22"/>
      <c r="O39" s="2">
        <v>67</v>
      </c>
      <c r="P39" s="2">
        <v>68</v>
      </c>
      <c r="Q39" s="2">
        <v>69</v>
      </c>
      <c r="R39" s="25"/>
    </row>
    <row r="40" spans="1:19" ht="15.9" customHeight="1" x14ac:dyDescent="0.25">
      <c r="A40" s="109"/>
      <c r="B40" s="110"/>
      <c r="C40" s="34" t="s">
        <v>17</v>
      </c>
      <c r="D40" s="74" t="s">
        <v>153</v>
      </c>
      <c r="E40" s="75" t="s">
        <v>390</v>
      </c>
      <c r="F40" s="75" t="s">
        <v>388</v>
      </c>
      <c r="G40" s="75" t="s">
        <v>189</v>
      </c>
      <c r="H40" s="75" t="s">
        <v>190</v>
      </c>
      <c r="I40" s="3"/>
      <c r="J40" s="3"/>
      <c r="K40" s="3"/>
      <c r="L40" s="14"/>
      <c r="M40" s="22"/>
      <c r="O40" s="2">
        <v>38</v>
      </c>
      <c r="P40" s="2">
        <v>304</v>
      </c>
      <c r="Q40" s="2">
        <v>37</v>
      </c>
      <c r="R40" s="2">
        <v>7</v>
      </c>
      <c r="S40" s="25">
        <v>11</v>
      </c>
    </row>
    <row r="41" spans="1:19" ht="15.9" customHeight="1" x14ac:dyDescent="0.25">
      <c r="A41" s="109"/>
      <c r="B41" s="110"/>
      <c r="C41" s="3" t="s">
        <v>526</v>
      </c>
      <c r="D41" s="71" t="s">
        <v>378</v>
      </c>
      <c r="E41" s="101" t="s">
        <v>477</v>
      </c>
      <c r="F41" s="71" t="s">
        <v>527</v>
      </c>
      <c r="G41" s="3"/>
      <c r="H41" s="3"/>
      <c r="I41" s="3"/>
      <c r="J41" s="3"/>
      <c r="K41" s="3"/>
      <c r="L41" s="4"/>
      <c r="M41" s="22"/>
      <c r="O41" s="2">
        <v>351</v>
      </c>
      <c r="P41" s="2">
        <v>352</v>
      </c>
      <c r="Q41" s="2">
        <v>353</v>
      </c>
      <c r="R41" s="25"/>
    </row>
    <row r="42" spans="1:19" ht="15.9" customHeight="1" x14ac:dyDescent="0.25">
      <c r="A42" s="109"/>
      <c r="B42" s="110"/>
      <c r="C42" s="34" t="s">
        <v>158</v>
      </c>
      <c r="D42" s="71" t="s">
        <v>378</v>
      </c>
      <c r="E42" s="101" t="s">
        <v>515</v>
      </c>
      <c r="F42" s="71" t="s">
        <v>389</v>
      </c>
      <c r="G42" s="3"/>
      <c r="H42" s="3"/>
      <c r="I42" s="3"/>
      <c r="J42" s="3"/>
      <c r="K42" s="3"/>
      <c r="L42" s="4"/>
      <c r="M42" s="22"/>
      <c r="O42" s="2">
        <v>300</v>
      </c>
      <c r="P42" s="2">
        <v>98</v>
      </c>
      <c r="Q42" s="2">
        <v>198</v>
      </c>
      <c r="R42" s="25"/>
    </row>
    <row r="43" spans="1:19" ht="15.9" customHeight="1" x14ac:dyDescent="0.25">
      <c r="A43" s="109"/>
      <c r="B43" s="110"/>
      <c r="C43" s="34" t="s">
        <v>364</v>
      </c>
      <c r="D43" s="71" t="s">
        <v>160</v>
      </c>
      <c r="E43" s="71" t="s">
        <v>159</v>
      </c>
      <c r="F43" s="3"/>
      <c r="G43" s="3"/>
      <c r="H43" s="3"/>
      <c r="I43" s="3"/>
      <c r="J43" s="3"/>
      <c r="K43" s="3"/>
      <c r="L43" s="59"/>
      <c r="M43" s="22"/>
      <c r="O43" s="2">
        <v>15</v>
      </c>
      <c r="P43" s="2">
        <v>16</v>
      </c>
      <c r="Q43" s="2"/>
      <c r="R43" s="2"/>
      <c r="S43" s="25"/>
    </row>
    <row r="44" spans="1:19" x14ac:dyDescent="0.25">
      <c r="A44" s="109" t="s">
        <v>41</v>
      </c>
      <c r="B44" s="110" t="s">
        <v>18</v>
      </c>
      <c r="C44" s="34" t="s">
        <v>19</v>
      </c>
      <c r="D44" s="76" t="s">
        <v>53</v>
      </c>
      <c r="E44" s="3"/>
      <c r="F44" s="3"/>
      <c r="G44" s="3"/>
      <c r="H44" s="3"/>
      <c r="I44" s="3"/>
      <c r="J44" s="3"/>
      <c r="K44" s="3"/>
      <c r="L44" s="11"/>
      <c r="M44" s="22"/>
      <c r="O44" s="2">
        <v>17</v>
      </c>
      <c r="P44" s="2"/>
    </row>
    <row r="45" spans="1:19" x14ac:dyDescent="0.25">
      <c r="A45" s="109"/>
      <c r="B45" s="110"/>
      <c r="C45" s="34" t="s">
        <v>20</v>
      </c>
      <c r="D45" s="76" t="s">
        <v>421</v>
      </c>
      <c r="E45" s="3"/>
      <c r="F45" s="3"/>
      <c r="G45" s="3"/>
      <c r="H45" s="3"/>
      <c r="I45" s="3"/>
      <c r="J45" s="3"/>
      <c r="K45" s="3"/>
      <c r="L45" s="14"/>
      <c r="M45" s="22"/>
      <c r="O45" s="2">
        <v>20</v>
      </c>
      <c r="P45" s="2"/>
    </row>
    <row r="46" spans="1:19" x14ac:dyDescent="0.25">
      <c r="A46" s="109"/>
      <c r="B46" s="110"/>
      <c r="C46" s="3" t="s">
        <v>450</v>
      </c>
      <c r="D46" s="19" t="s">
        <v>151</v>
      </c>
      <c r="E46" s="19" t="s">
        <v>66</v>
      </c>
      <c r="F46" s="3"/>
      <c r="G46" s="3"/>
      <c r="H46" s="3"/>
      <c r="I46" s="3"/>
      <c r="J46" s="3"/>
      <c r="K46" s="3"/>
      <c r="L46" s="4"/>
      <c r="M46" s="22" t="s">
        <v>403</v>
      </c>
      <c r="O46" s="2">
        <v>194</v>
      </c>
      <c r="P46" s="2">
        <v>195</v>
      </c>
      <c r="Q46" s="2"/>
    </row>
    <row r="47" spans="1:19" x14ac:dyDescent="0.25">
      <c r="A47" s="109"/>
      <c r="B47" s="110"/>
      <c r="C47" s="34" t="s">
        <v>402</v>
      </c>
      <c r="D47" s="4" t="s">
        <v>556</v>
      </c>
      <c r="E47" s="7" t="s">
        <v>469</v>
      </c>
      <c r="F47" s="82" t="s">
        <v>77</v>
      </c>
      <c r="G47" s="89" t="s">
        <v>52</v>
      </c>
      <c r="H47" s="3"/>
      <c r="I47" s="3"/>
      <c r="J47" s="3"/>
      <c r="K47" s="3"/>
      <c r="L47" s="59"/>
      <c r="M47" s="22"/>
      <c r="O47" s="2">
        <v>306</v>
      </c>
      <c r="P47" s="2">
        <v>329</v>
      </c>
      <c r="Q47" s="2">
        <v>307</v>
      </c>
      <c r="R47" s="25">
        <v>40</v>
      </c>
    </row>
    <row r="48" spans="1:19" ht="15.9" customHeight="1" x14ac:dyDescent="0.25">
      <c r="A48" s="109"/>
      <c r="B48" s="110"/>
      <c r="C48" s="3" t="s">
        <v>407</v>
      </c>
      <c r="D48" s="73" t="s">
        <v>447</v>
      </c>
      <c r="E48" s="3"/>
      <c r="F48" s="3"/>
      <c r="G48" s="3"/>
      <c r="H48" s="3"/>
      <c r="I48" s="3"/>
      <c r="J48" s="3"/>
      <c r="K48" s="3"/>
      <c r="L48" s="11"/>
      <c r="M48" s="22"/>
      <c r="O48" s="2">
        <v>310</v>
      </c>
      <c r="P48" s="2"/>
      <c r="Q48" s="2"/>
      <c r="R48" s="2"/>
    </row>
    <row r="49" spans="1:21" x14ac:dyDescent="0.25">
      <c r="A49" s="109"/>
      <c r="B49" s="110"/>
      <c r="C49" s="3" t="s">
        <v>404</v>
      </c>
      <c r="D49" s="104" t="s">
        <v>536</v>
      </c>
      <c r="E49" s="105" t="s">
        <v>470</v>
      </c>
      <c r="F49" s="105" t="s">
        <v>471</v>
      </c>
      <c r="G49" s="3"/>
      <c r="H49" s="3"/>
      <c r="I49" s="3"/>
      <c r="J49" s="3"/>
      <c r="K49" s="3"/>
      <c r="L49" s="14"/>
      <c r="M49" s="22"/>
      <c r="O49" s="2">
        <v>48</v>
      </c>
      <c r="P49" s="2">
        <v>308</v>
      </c>
      <c r="Q49" s="2">
        <v>309</v>
      </c>
    </row>
    <row r="50" spans="1:21" x14ac:dyDescent="0.25">
      <c r="A50" s="109"/>
      <c r="B50" s="110"/>
      <c r="C50" s="3" t="s">
        <v>97</v>
      </c>
      <c r="D50" s="19">
        <v>1</v>
      </c>
      <c r="E50" s="67">
        <v>2</v>
      </c>
      <c r="F50" s="67" t="s">
        <v>96</v>
      </c>
      <c r="G50" s="86" t="s">
        <v>115</v>
      </c>
      <c r="H50" s="87" t="s">
        <v>212</v>
      </c>
      <c r="I50" s="88" t="s">
        <v>435</v>
      </c>
      <c r="J50" s="3"/>
      <c r="K50" s="3"/>
      <c r="L50" s="4"/>
      <c r="M50" s="22"/>
      <c r="O50" s="2">
        <v>77</v>
      </c>
      <c r="P50" s="26">
        <v>57</v>
      </c>
      <c r="Q50" s="26">
        <v>92</v>
      </c>
      <c r="R50" s="26">
        <v>23</v>
      </c>
      <c r="S50" s="26">
        <v>99</v>
      </c>
      <c r="T50" s="26">
        <v>321</v>
      </c>
    </row>
    <row r="51" spans="1:21" x14ac:dyDescent="0.25">
      <c r="A51" s="109"/>
      <c r="B51" s="110" t="s">
        <v>531</v>
      </c>
      <c r="C51" s="34" t="s">
        <v>538</v>
      </c>
      <c r="D51" s="4" t="s">
        <v>537</v>
      </c>
      <c r="E51" s="77" t="s">
        <v>540</v>
      </c>
      <c r="F51" s="79" t="s">
        <v>297</v>
      </c>
      <c r="G51" s="3"/>
      <c r="H51" s="3"/>
      <c r="I51" s="3"/>
      <c r="J51" s="3"/>
      <c r="K51" s="3"/>
      <c r="L51" s="11"/>
      <c r="M51" s="22"/>
      <c r="O51" s="2">
        <v>49</v>
      </c>
      <c r="P51" s="2">
        <v>90</v>
      </c>
      <c r="Q51" s="2">
        <v>33</v>
      </c>
    </row>
    <row r="52" spans="1:21" x14ac:dyDescent="0.25">
      <c r="A52" s="109"/>
      <c r="B52" s="110"/>
      <c r="C52" s="34" t="s">
        <v>73</v>
      </c>
      <c r="D52" s="19" t="s">
        <v>543</v>
      </c>
      <c r="E52" s="19" t="s">
        <v>544</v>
      </c>
      <c r="F52" s="3"/>
      <c r="G52" s="3"/>
      <c r="H52" s="3"/>
      <c r="I52" s="3"/>
      <c r="J52" s="3"/>
      <c r="K52" s="3"/>
      <c r="L52" s="4"/>
      <c r="M52" s="22"/>
      <c r="O52" s="2">
        <v>14</v>
      </c>
      <c r="P52" s="2">
        <v>34</v>
      </c>
    </row>
    <row r="53" spans="1:21" x14ac:dyDescent="0.25">
      <c r="A53" s="109"/>
      <c r="B53" s="110"/>
      <c r="C53" s="34" t="s">
        <v>74</v>
      </c>
      <c r="D53" s="21" t="s">
        <v>542</v>
      </c>
      <c r="E53" s="82" t="s">
        <v>541</v>
      </c>
      <c r="F53" s="3"/>
      <c r="G53" s="3"/>
      <c r="H53" s="3"/>
      <c r="I53" s="3"/>
      <c r="J53" s="3"/>
      <c r="K53" s="3"/>
      <c r="L53" s="59"/>
      <c r="M53" s="22"/>
      <c r="O53" s="2">
        <v>51</v>
      </c>
      <c r="P53" s="2">
        <v>13</v>
      </c>
    </row>
    <row r="54" spans="1:21" x14ac:dyDescent="0.25">
      <c r="A54" s="109"/>
      <c r="B54" s="110"/>
      <c r="C54" s="34" t="s">
        <v>75</v>
      </c>
      <c r="D54" s="79" t="s">
        <v>539</v>
      </c>
      <c r="E54" s="3"/>
      <c r="F54" s="3"/>
      <c r="G54" s="3"/>
      <c r="H54" s="3"/>
      <c r="I54" s="3"/>
      <c r="J54" s="3"/>
      <c r="K54" s="3"/>
      <c r="L54" s="14"/>
      <c r="M54" s="22"/>
      <c r="O54" s="26">
        <v>50</v>
      </c>
      <c r="P54" s="2"/>
      <c r="Q54" s="26"/>
    </row>
    <row r="55" spans="1:21" x14ac:dyDescent="0.25">
      <c r="A55" s="27"/>
      <c r="B55" s="110" t="s">
        <v>60</v>
      </c>
      <c r="C55" s="34" t="s">
        <v>58</v>
      </c>
      <c r="D55" s="77" t="s">
        <v>59</v>
      </c>
      <c r="E55" s="70" t="s">
        <v>150</v>
      </c>
      <c r="F55" s="3"/>
      <c r="G55" s="3"/>
      <c r="H55" s="3"/>
      <c r="I55" s="3"/>
      <c r="J55" s="3"/>
      <c r="K55" s="3"/>
      <c r="L55" s="11"/>
      <c r="M55" s="22"/>
      <c r="O55" s="2">
        <v>74</v>
      </c>
      <c r="P55" s="2">
        <v>200</v>
      </c>
    </row>
    <row r="56" spans="1:21" x14ac:dyDescent="0.25">
      <c r="A56" s="106"/>
      <c r="B56" s="110"/>
      <c r="C56" s="3" t="s">
        <v>521</v>
      </c>
      <c r="D56" s="70" t="s">
        <v>523</v>
      </c>
      <c r="E56" s="70" t="s">
        <v>522</v>
      </c>
      <c r="F56" s="3"/>
      <c r="G56" s="3"/>
      <c r="H56" s="3"/>
      <c r="I56" s="3"/>
      <c r="J56" s="3"/>
      <c r="K56" s="3"/>
      <c r="L56" s="14"/>
      <c r="M56" s="22"/>
      <c r="O56" s="2">
        <v>349</v>
      </c>
      <c r="P56" s="2">
        <v>350</v>
      </c>
    </row>
    <row r="57" spans="1:21" x14ac:dyDescent="0.25">
      <c r="A57" s="33"/>
      <c r="B57" s="110"/>
      <c r="C57" s="34" t="s">
        <v>161</v>
      </c>
      <c r="D57" s="70" t="s">
        <v>520</v>
      </c>
      <c r="E57" s="3"/>
      <c r="F57" s="3"/>
      <c r="G57" s="3"/>
      <c r="H57" s="3"/>
      <c r="I57" s="3"/>
      <c r="J57" s="3"/>
      <c r="K57" s="3"/>
      <c r="L57" s="14"/>
      <c r="M57" s="22"/>
      <c r="O57" s="2">
        <v>199</v>
      </c>
      <c r="P57" s="2"/>
    </row>
    <row r="58" spans="1:21" x14ac:dyDescent="0.25">
      <c r="A58" s="31"/>
      <c r="B58" s="110"/>
      <c r="C58" s="37" t="s">
        <v>152</v>
      </c>
      <c r="D58" s="70" t="s">
        <v>149</v>
      </c>
      <c r="E58" s="3"/>
      <c r="F58" s="3"/>
      <c r="G58" s="3"/>
      <c r="H58" s="3"/>
      <c r="I58" s="3"/>
      <c r="J58" s="3"/>
      <c r="K58" s="3"/>
      <c r="L58" s="4"/>
      <c r="M58" s="22"/>
      <c r="O58" s="2">
        <v>201</v>
      </c>
    </row>
    <row r="59" spans="1:21" x14ac:dyDescent="0.25">
      <c r="A59" s="27"/>
      <c r="B59" s="110"/>
      <c r="C59" s="34" t="s">
        <v>104</v>
      </c>
      <c r="D59" s="82" t="s">
        <v>105</v>
      </c>
      <c r="E59" s="82" t="s">
        <v>106</v>
      </c>
      <c r="F59" s="82" t="s">
        <v>107</v>
      </c>
      <c r="G59" s="82" t="s">
        <v>108</v>
      </c>
      <c r="H59" s="82" t="s">
        <v>109</v>
      </c>
      <c r="I59" s="82" t="s">
        <v>110</v>
      </c>
      <c r="J59" s="3"/>
      <c r="K59" s="3"/>
      <c r="L59" s="59"/>
      <c r="M59" s="22"/>
      <c r="O59" s="2">
        <v>152</v>
      </c>
      <c r="P59" s="2">
        <v>153</v>
      </c>
      <c r="Q59" s="26">
        <v>154</v>
      </c>
      <c r="R59" s="26">
        <v>155</v>
      </c>
      <c r="S59" s="26">
        <v>156</v>
      </c>
      <c r="T59" s="26">
        <v>157</v>
      </c>
    </row>
    <row r="60" spans="1:21" x14ac:dyDescent="0.25">
      <c r="A60" s="27"/>
      <c r="B60" s="110"/>
      <c r="C60" s="34" t="s">
        <v>111</v>
      </c>
      <c r="D60" s="82" t="s">
        <v>105</v>
      </c>
      <c r="E60" s="82" t="s">
        <v>106</v>
      </c>
      <c r="F60" s="19" t="s">
        <v>107</v>
      </c>
      <c r="G60" s="19" t="s">
        <v>108</v>
      </c>
      <c r="H60" s="19" t="s">
        <v>109</v>
      </c>
      <c r="I60" s="19" t="s">
        <v>110</v>
      </c>
      <c r="J60" s="3"/>
      <c r="K60" s="3"/>
      <c r="L60" s="11"/>
      <c r="M60" s="22"/>
      <c r="O60" s="2">
        <v>158</v>
      </c>
      <c r="P60" s="2">
        <v>159</v>
      </c>
      <c r="Q60" s="26">
        <v>160</v>
      </c>
      <c r="R60" s="26">
        <v>161</v>
      </c>
      <c r="S60" s="26">
        <v>162</v>
      </c>
      <c r="T60" s="26">
        <v>163</v>
      </c>
    </row>
    <row r="61" spans="1:21" x14ac:dyDescent="0.25">
      <c r="A61" s="27"/>
      <c r="B61" s="110"/>
      <c r="C61" s="34" t="s">
        <v>112</v>
      </c>
      <c r="D61" s="82" t="s">
        <v>105</v>
      </c>
      <c r="E61" s="82" t="s">
        <v>106</v>
      </c>
      <c r="F61" s="19" t="s">
        <v>107</v>
      </c>
      <c r="G61" s="19" t="s">
        <v>108</v>
      </c>
      <c r="H61" s="19" t="s">
        <v>114</v>
      </c>
      <c r="I61" s="43"/>
      <c r="J61" s="3"/>
      <c r="K61" s="3"/>
      <c r="L61" s="14"/>
      <c r="M61" s="22"/>
      <c r="O61" s="2">
        <v>164</v>
      </c>
      <c r="P61" s="2">
        <v>165</v>
      </c>
      <c r="Q61" s="26">
        <v>166</v>
      </c>
      <c r="R61" s="26">
        <v>167</v>
      </c>
      <c r="S61" s="26">
        <v>168</v>
      </c>
      <c r="T61" s="26"/>
    </row>
    <row r="62" spans="1:21" x14ac:dyDescent="0.25">
      <c r="A62" s="27"/>
      <c r="B62" s="110"/>
      <c r="C62" s="34" t="s">
        <v>103</v>
      </c>
      <c r="D62" s="82" t="s">
        <v>105</v>
      </c>
      <c r="E62" s="82" t="s">
        <v>106</v>
      </c>
      <c r="F62" s="82" t="s">
        <v>107</v>
      </c>
      <c r="G62" s="82" t="s">
        <v>108</v>
      </c>
      <c r="H62" s="82" t="s">
        <v>114</v>
      </c>
      <c r="I62" s="3"/>
      <c r="J62" s="3"/>
      <c r="K62" s="3"/>
      <c r="L62" s="4"/>
      <c r="M62" s="22" t="s">
        <v>113</v>
      </c>
      <c r="O62" s="2">
        <v>170</v>
      </c>
      <c r="P62" s="2">
        <v>171</v>
      </c>
      <c r="Q62" s="26">
        <v>172</v>
      </c>
      <c r="R62" s="26">
        <v>173</v>
      </c>
      <c r="S62" s="26">
        <v>174</v>
      </c>
      <c r="T62" s="26"/>
    </row>
    <row r="63" spans="1:21" x14ac:dyDescent="0.25">
      <c r="A63" s="27"/>
      <c r="B63" s="110" t="s">
        <v>64</v>
      </c>
      <c r="C63" s="34" t="s">
        <v>70</v>
      </c>
      <c r="D63" s="19" t="s">
        <v>65</v>
      </c>
      <c r="E63" s="10" t="s">
        <v>66</v>
      </c>
      <c r="F63" s="20" t="s">
        <v>67</v>
      </c>
      <c r="G63" s="77" t="s">
        <v>457</v>
      </c>
      <c r="H63" s="77" t="s">
        <v>458</v>
      </c>
      <c r="I63" s="77" t="s">
        <v>459</v>
      </c>
      <c r="J63" s="3"/>
      <c r="K63" s="3"/>
      <c r="L63" s="59"/>
      <c r="M63" s="22"/>
      <c r="O63" s="2">
        <v>80</v>
      </c>
      <c r="P63" s="2">
        <v>81</v>
      </c>
      <c r="Q63" s="2">
        <v>82</v>
      </c>
      <c r="R63" s="25">
        <v>324</v>
      </c>
      <c r="S63" s="25">
        <v>326</v>
      </c>
      <c r="T63" s="25">
        <v>325</v>
      </c>
    </row>
    <row r="64" spans="1:21" x14ac:dyDescent="0.25">
      <c r="A64" s="27"/>
      <c r="B64" s="110"/>
      <c r="C64" s="34" t="s">
        <v>214</v>
      </c>
      <c r="D64" s="4" t="s">
        <v>462</v>
      </c>
      <c r="E64" s="77" t="s">
        <v>69</v>
      </c>
      <c r="F64" s="77" t="s">
        <v>449</v>
      </c>
      <c r="G64" s="20" t="s">
        <v>71</v>
      </c>
      <c r="H64" s="3"/>
      <c r="I64" s="3"/>
      <c r="J64" s="3"/>
      <c r="K64" s="3"/>
      <c r="L64" s="11"/>
      <c r="M64" s="22"/>
      <c r="O64" s="2">
        <v>330</v>
      </c>
      <c r="P64" s="2">
        <v>84</v>
      </c>
      <c r="Q64" s="2">
        <v>85</v>
      </c>
      <c r="R64" s="2">
        <v>86</v>
      </c>
      <c r="S64" s="2"/>
      <c r="T64" s="2"/>
      <c r="U64" s="2"/>
    </row>
    <row r="65" spans="1:22" x14ac:dyDescent="0.25">
      <c r="A65" s="42"/>
      <c r="B65" s="110"/>
      <c r="C65" s="36" t="s">
        <v>216</v>
      </c>
      <c r="D65" s="4" t="s">
        <v>213</v>
      </c>
      <c r="E65" s="4" t="s">
        <v>132</v>
      </c>
      <c r="F65" s="82" t="s">
        <v>513</v>
      </c>
      <c r="G65" s="77" t="s">
        <v>423</v>
      </c>
      <c r="H65" s="77" t="s">
        <v>65</v>
      </c>
      <c r="I65" s="77" t="s">
        <v>215</v>
      </c>
      <c r="J65" s="3"/>
      <c r="K65" s="3"/>
      <c r="L65" s="14"/>
      <c r="M65" s="22" t="s">
        <v>456</v>
      </c>
      <c r="O65" s="2">
        <v>248</v>
      </c>
      <c r="P65" s="2">
        <v>249</v>
      </c>
      <c r="Q65" s="26">
        <v>347</v>
      </c>
      <c r="R65" s="2">
        <v>315</v>
      </c>
      <c r="S65" s="2">
        <v>316</v>
      </c>
      <c r="T65" s="2">
        <v>250</v>
      </c>
      <c r="U65" s="2"/>
    </row>
    <row r="66" spans="1:22" x14ac:dyDescent="0.25">
      <c r="A66" s="38"/>
      <c r="B66" s="110"/>
      <c r="C66" s="34" t="s">
        <v>175</v>
      </c>
      <c r="D66" s="4" t="s">
        <v>177</v>
      </c>
      <c r="E66" s="8" t="s">
        <v>178</v>
      </c>
      <c r="F66" s="78">
        <v>5</v>
      </c>
      <c r="G66" s="10">
        <v>8</v>
      </c>
      <c r="H66" s="3"/>
      <c r="I66" s="3"/>
      <c r="J66" s="3"/>
      <c r="K66" s="3"/>
      <c r="L66" s="4"/>
      <c r="M66" s="22" t="s">
        <v>179</v>
      </c>
      <c r="O66" s="2">
        <v>208</v>
      </c>
      <c r="P66" s="2">
        <v>209</v>
      </c>
      <c r="Q66" s="2">
        <v>210</v>
      </c>
      <c r="R66" s="2">
        <v>211</v>
      </c>
      <c r="S66" s="2"/>
      <c r="T66" s="2"/>
      <c r="U66" s="2"/>
    </row>
    <row r="67" spans="1:22" x14ac:dyDescent="0.25">
      <c r="A67" s="38"/>
      <c r="B67" s="110"/>
      <c r="C67" s="34" t="s">
        <v>176</v>
      </c>
      <c r="D67" s="80" t="s">
        <v>177</v>
      </c>
      <c r="E67" s="78" t="s">
        <v>178</v>
      </c>
      <c r="F67" s="78">
        <v>5</v>
      </c>
      <c r="G67" s="77">
        <v>8</v>
      </c>
      <c r="H67" s="3"/>
      <c r="I67" s="3"/>
      <c r="J67" s="3"/>
      <c r="K67" s="3"/>
      <c r="L67" s="59"/>
      <c r="M67" s="22" t="s">
        <v>180</v>
      </c>
      <c r="O67" s="2">
        <v>212</v>
      </c>
      <c r="P67" s="2">
        <v>213</v>
      </c>
      <c r="Q67" s="2">
        <v>214</v>
      </c>
      <c r="R67" s="2">
        <v>215</v>
      </c>
      <c r="S67" s="2"/>
      <c r="T67" s="2"/>
      <c r="U67" s="2"/>
    </row>
    <row r="68" spans="1:22" x14ac:dyDescent="0.25">
      <c r="A68" s="102"/>
      <c r="B68" s="110"/>
      <c r="C68" s="34" t="s">
        <v>181</v>
      </c>
      <c r="D68" s="77" t="s">
        <v>186</v>
      </c>
      <c r="E68" s="80" t="s">
        <v>185</v>
      </c>
      <c r="F68" s="77" t="s">
        <v>184</v>
      </c>
      <c r="G68" s="3"/>
      <c r="H68" s="3"/>
      <c r="I68" s="3"/>
      <c r="J68" s="3"/>
      <c r="K68" s="3"/>
      <c r="L68" s="11"/>
      <c r="M68" s="22"/>
      <c r="O68" s="2">
        <v>216</v>
      </c>
      <c r="P68" s="2">
        <v>217</v>
      </c>
      <c r="Q68" s="2">
        <v>218</v>
      </c>
      <c r="T68" s="2"/>
      <c r="U68" s="2"/>
      <c r="V68" s="2"/>
    </row>
    <row r="69" spans="1:22" x14ac:dyDescent="0.25">
      <c r="A69" s="39"/>
      <c r="B69" s="110"/>
      <c r="C69" s="34" t="s">
        <v>181</v>
      </c>
      <c r="D69" s="40" t="s">
        <v>187</v>
      </c>
      <c r="E69" s="77" t="s">
        <v>183</v>
      </c>
      <c r="F69" s="79" t="s">
        <v>50</v>
      </c>
      <c r="G69" s="79" t="s">
        <v>182</v>
      </c>
      <c r="H69" s="79" t="s">
        <v>339</v>
      </c>
      <c r="I69" s="77" t="s">
        <v>337</v>
      </c>
      <c r="J69" s="3"/>
      <c r="L69" s="11"/>
      <c r="M69" s="22"/>
      <c r="O69" s="2">
        <v>222</v>
      </c>
      <c r="P69" s="2">
        <v>219</v>
      </c>
      <c r="Q69" s="2">
        <v>220</v>
      </c>
      <c r="R69" s="2">
        <v>221</v>
      </c>
      <c r="S69" s="2">
        <v>291</v>
      </c>
      <c r="T69" s="2">
        <v>286</v>
      </c>
    </row>
    <row r="70" spans="1:22" x14ac:dyDescent="0.25">
      <c r="A70" s="56"/>
      <c r="B70" s="110"/>
      <c r="C70" s="34" t="s">
        <v>334</v>
      </c>
      <c r="D70" s="40" t="s">
        <v>534</v>
      </c>
      <c r="E70" s="40" t="s">
        <v>535</v>
      </c>
      <c r="F70" s="40" t="s">
        <v>352</v>
      </c>
      <c r="G70" s="40" t="s">
        <v>353</v>
      </c>
      <c r="H70" s="77" t="s">
        <v>351</v>
      </c>
      <c r="I70" s="79" t="s">
        <v>350</v>
      </c>
      <c r="J70" s="3"/>
      <c r="K70" s="3"/>
      <c r="L70" s="14"/>
      <c r="M70" s="22"/>
      <c r="O70" s="2">
        <v>296</v>
      </c>
      <c r="P70" s="2">
        <v>136</v>
      </c>
      <c r="Q70" s="2">
        <v>137</v>
      </c>
      <c r="R70" s="2">
        <v>138</v>
      </c>
      <c r="S70" s="2">
        <v>292</v>
      </c>
      <c r="T70" s="2">
        <v>295</v>
      </c>
    </row>
    <row r="71" spans="1:22" x14ac:dyDescent="0.25">
      <c r="A71" s="29"/>
      <c r="B71" s="110"/>
      <c r="C71" s="34" t="s">
        <v>68</v>
      </c>
      <c r="D71" s="79" t="s">
        <v>65</v>
      </c>
      <c r="E71" s="77" t="s">
        <v>475</v>
      </c>
      <c r="F71" s="79" t="s">
        <v>341</v>
      </c>
      <c r="G71" s="40" t="s">
        <v>465</v>
      </c>
      <c r="H71" s="3"/>
      <c r="I71" s="3"/>
      <c r="J71" s="3"/>
      <c r="K71" s="3"/>
      <c r="L71" s="4"/>
      <c r="M71" s="22"/>
      <c r="O71" s="2">
        <v>83</v>
      </c>
      <c r="P71" s="2">
        <v>223</v>
      </c>
      <c r="Q71" s="2">
        <v>224</v>
      </c>
      <c r="R71" s="2">
        <v>331</v>
      </c>
    </row>
    <row r="72" spans="1:22" x14ac:dyDescent="0.25">
      <c r="A72" s="27"/>
      <c r="B72" s="110"/>
      <c r="C72" s="34" t="s">
        <v>131</v>
      </c>
      <c r="D72" s="19" t="s">
        <v>132</v>
      </c>
      <c r="E72" s="77" t="s">
        <v>182</v>
      </c>
      <c r="F72" s="77" t="s">
        <v>301</v>
      </c>
      <c r="H72" s="3"/>
      <c r="I72" s="3"/>
      <c r="J72" s="3"/>
      <c r="K72" s="3"/>
      <c r="L72" s="59"/>
      <c r="M72" s="22"/>
      <c r="O72" s="2">
        <v>169</v>
      </c>
      <c r="P72" s="2">
        <v>187</v>
      </c>
      <c r="Q72" s="2">
        <v>276</v>
      </c>
    </row>
    <row r="73" spans="1:22" x14ac:dyDescent="0.25">
      <c r="A73" s="27"/>
      <c r="B73" s="110"/>
      <c r="C73" s="3" t="s">
        <v>79</v>
      </c>
      <c r="D73" s="94">
        <v>3</v>
      </c>
      <c r="E73" s="71" t="s">
        <v>53</v>
      </c>
      <c r="F73" s="3"/>
      <c r="G73" s="3"/>
      <c r="H73" s="3"/>
      <c r="I73" s="3"/>
      <c r="J73" s="3"/>
      <c r="K73" s="3"/>
      <c r="L73" s="11"/>
      <c r="M73" s="22" t="s">
        <v>80</v>
      </c>
      <c r="O73" s="2">
        <v>89</v>
      </c>
      <c r="P73" s="2">
        <v>96</v>
      </c>
    </row>
    <row r="74" spans="1:22" x14ac:dyDescent="0.25">
      <c r="A74" s="27"/>
      <c r="B74" s="110"/>
      <c r="C74" s="34" t="s">
        <v>529</v>
      </c>
      <c r="D74" s="19" t="s">
        <v>545</v>
      </c>
      <c r="E74" s="19" t="s">
        <v>546</v>
      </c>
      <c r="F74" s="82" t="s">
        <v>547</v>
      </c>
      <c r="G74" s="78" t="s">
        <v>548</v>
      </c>
      <c r="H74" s="79" t="s">
        <v>297</v>
      </c>
      <c r="I74" s="3"/>
      <c r="J74" s="3"/>
      <c r="K74" s="3"/>
      <c r="L74" s="14"/>
      <c r="M74" s="22"/>
      <c r="O74" s="2">
        <v>268</v>
      </c>
      <c r="P74" s="2">
        <v>269</v>
      </c>
      <c r="Q74" s="2">
        <v>270</v>
      </c>
      <c r="R74" s="25">
        <v>271</v>
      </c>
      <c r="S74" s="25">
        <v>272</v>
      </c>
      <c r="T74" s="25"/>
      <c r="U74" s="25"/>
    </row>
    <row r="75" spans="1:22" x14ac:dyDescent="0.25">
      <c r="A75" s="106"/>
      <c r="B75" s="110"/>
      <c r="C75" s="34" t="s">
        <v>530</v>
      </c>
      <c r="D75" s="19" t="s">
        <v>545</v>
      </c>
      <c r="E75" s="19" t="s">
        <v>546</v>
      </c>
      <c r="F75" s="7" t="s">
        <v>547</v>
      </c>
      <c r="G75" s="78" t="s">
        <v>548</v>
      </c>
      <c r="H75" s="79" t="s">
        <v>297</v>
      </c>
      <c r="I75" s="3"/>
      <c r="J75" s="3"/>
      <c r="K75" s="3"/>
      <c r="L75" s="14"/>
      <c r="M75" s="22"/>
      <c r="O75" s="2">
        <v>354</v>
      </c>
      <c r="P75" s="2">
        <v>355</v>
      </c>
      <c r="Q75" s="2">
        <v>356</v>
      </c>
      <c r="R75" s="25">
        <v>357</v>
      </c>
      <c r="S75" s="25">
        <v>358</v>
      </c>
      <c r="T75" s="25"/>
      <c r="U75" s="25"/>
    </row>
    <row r="76" spans="1:22" x14ac:dyDescent="0.25">
      <c r="A76" s="47"/>
      <c r="B76" s="110"/>
      <c r="C76" s="34" t="s">
        <v>298</v>
      </c>
      <c r="D76" s="80" t="s">
        <v>300</v>
      </c>
      <c r="E76" s="3"/>
      <c r="F76" s="3"/>
      <c r="G76" s="3"/>
      <c r="H76" s="3"/>
      <c r="I76" s="3"/>
      <c r="J76" s="3"/>
      <c r="K76" s="3"/>
      <c r="L76" s="4"/>
      <c r="M76" s="22"/>
      <c r="O76" s="2">
        <v>273</v>
      </c>
      <c r="P76" s="2"/>
      <c r="Q76" s="2"/>
      <c r="R76" s="25"/>
      <c r="S76" s="25"/>
      <c r="T76" s="25"/>
      <c r="U76" s="25"/>
    </row>
    <row r="77" spans="1:22" x14ac:dyDescent="0.25">
      <c r="A77" s="27"/>
      <c r="B77" s="110"/>
      <c r="C77" s="34" t="s">
        <v>76</v>
      </c>
      <c r="D77" s="77" t="s">
        <v>307</v>
      </c>
      <c r="E77" s="77" t="s">
        <v>305</v>
      </c>
      <c r="F77" s="77" t="s">
        <v>306</v>
      </c>
      <c r="G77" s="3"/>
      <c r="H77" s="3"/>
      <c r="I77" s="3"/>
      <c r="J77" s="3"/>
      <c r="K77" s="3"/>
      <c r="L77" s="59"/>
      <c r="M77" s="22"/>
      <c r="O77" s="2">
        <v>91</v>
      </c>
      <c r="P77" s="2">
        <v>275</v>
      </c>
      <c r="Q77" s="2">
        <v>277</v>
      </c>
    </row>
    <row r="78" spans="1:22" x14ac:dyDescent="0.25">
      <c r="A78" s="27"/>
      <c r="B78" s="110"/>
      <c r="C78" s="34" t="s">
        <v>428</v>
      </c>
      <c r="D78" s="82" t="s">
        <v>550</v>
      </c>
      <c r="E78" s="82" t="s">
        <v>549</v>
      </c>
      <c r="F78" s="82" t="s">
        <v>427</v>
      </c>
      <c r="G78" s="82" t="s">
        <v>528</v>
      </c>
      <c r="H78" s="82" t="s">
        <v>451</v>
      </c>
      <c r="I78" s="82" t="s">
        <v>485</v>
      </c>
      <c r="J78" s="3"/>
      <c r="K78" s="3"/>
      <c r="L78" s="11"/>
      <c r="M78" s="22"/>
      <c r="O78" s="2">
        <v>47</v>
      </c>
      <c r="P78" s="2">
        <v>75</v>
      </c>
      <c r="Q78" s="2">
        <v>317</v>
      </c>
      <c r="R78" s="25">
        <v>318</v>
      </c>
      <c r="S78" s="25">
        <v>322</v>
      </c>
      <c r="T78" s="25">
        <v>335</v>
      </c>
    </row>
    <row r="79" spans="1:22" x14ac:dyDescent="0.25">
      <c r="A79" s="27"/>
      <c r="B79" s="110"/>
      <c r="C79" s="3" t="s">
        <v>139</v>
      </c>
      <c r="D79" s="60" t="s">
        <v>188</v>
      </c>
      <c r="E79" s="79" t="s">
        <v>117</v>
      </c>
      <c r="F79" s="3"/>
      <c r="H79" s="3"/>
      <c r="I79" s="3"/>
      <c r="J79" s="3"/>
      <c r="K79" s="3"/>
      <c r="L79" s="14"/>
      <c r="M79" s="22"/>
      <c r="O79" s="2">
        <v>225</v>
      </c>
      <c r="P79" s="2">
        <v>30</v>
      </c>
      <c r="Q79" s="2"/>
    </row>
    <row r="80" spans="1:22" x14ac:dyDescent="0.25">
      <c r="A80" s="29"/>
      <c r="B80" s="110"/>
      <c r="C80" s="30" t="s">
        <v>164</v>
      </c>
      <c r="D80" s="80">
        <v>1</v>
      </c>
      <c r="E80" s="78">
        <v>2</v>
      </c>
      <c r="F80" s="77" t="s">
        <v>52</v>
      </c>
      <c r="G80" s="3"/>
      <c r="H80" s="3"/>
      <c r="I80" s="3"/>
      <c r="J80" s="3"/>
      <c r="K80" s="3"/>
      <c r="L80" s="4"/>
      <c r="M80" s="22" t="s">
        <v>137</v>
      </c>
      <c r="O80" s="2">
        <v>93</v>
      </c>
      <c r="P80" s="2">
        <v>94</v>
      </c>
      <c r="Q80" s="2">
        <v>95</v>
      </c>
      <c r="T80" s="2"/>
    </row>
    <row r="81" spans="1:22" x14ac:dyDescent="0.25">
      <c r="A81" s="29"/>
      <c r="B81" s="110"/>
      <c r="C81" s="30" t="s">
        <v>140</v>
      </c>
      <c r="D81" s="60">
        <v>1</v>
      </c>
      <c r="E81" s="8">
        <v>2</v>
      </c>
      <c r="F81" s="77" t="s">
        <v>52</v>
      </c>
      <c r="G81" s="3"/>
      <c r="H81" s="3"/>
      <c r="I81" s="3"/>
      <c r="J81" s="3"/>
      <c r="K81" s="3"/>
      <c r="L81" s="59"/>
      <c r="M81" s="22" t="s">
        <v>138</v>
      </c>
      <c r="O81" s="2">
        <v>188</v>
      </c>
      <c r="P81" s="2">
        <v>189</v>
      </c>
      <c r="Q81" s="2">
        <v>190</v>
      </c>
      <c r="R81" s="2"/>
      <c r="S81" s="2"/>
      <c r="T81" s="2"/>
    </row>
    <row r="82" spans="1:22" x14ac:dyDescent="0.25">
      <c r="A82" s="27"/>
      <c r="B82" s="110"/>
      <c r="C82" s="34" t="s">
        <v>92</v>
      </c>
      <c r="D82" s="77" t="s">
        <v>93</v>
      </c>
      <c r="E82" s="3"/>
      <c r="F82" s="3"/>
      <c r="G82" s="3"/>
      <c r="H82" s="3"/>
      <c r="I82" s="3"/>
      <c r="J82" s="3"/>
      <c r="K82" s="3"/>
      <c r="L82" s="11"/>
      <c r="M82" s="22"/>
      <c r="O82" s="2">
        <v>24</v>
      </c>
    </row>
    <row r="83" spans="1:22" x14ac:dyDescent="0.25">
      <c r="A83" s="27"/>
      <c r="B83" s="110"/>
      <c r="C83" s="3" t="s">
        <v>95</v>
      </c>
      <c r="D83" s="66" t="s">
        <v>136</v>
      </c>
      <c r="E83" s="68" t="s">
        <v>135</v>
      </c>
      <c r="F83" s="28"/>
      <c r="G83" s="28"/>
      <c r="H83" s="28"/>
      <c r="I83" s="3"/>
      <c r="J83" s="3"/>
      <c r="K83" s="3"/>
      <c r="L83" s="14"/>
      <c r="M83" s="22"/>
      <c r="O83" s="2">
        <v>35</v>
      </c>
      <c r="P83" s="2">
        <v>46</v>
      </c>
    </row>
    <row r="84" spans="1:22" x14ac:dyDescent="0.25">
      <c r="A84" s="44"/>
      <c r="B84" s="115" t="s">
        <v>251</v>
      </c>
      <c r="C84" s="3" t="s">
        <v>252</v>
      </c>
      <c r="D84" s="4" t="s">
        <v>321</v>
      </c>
      <c r="E84" s="10" t="s">
        <v>253</v>
      </c>
      <c r="F84" s="77" t="s">
        <v>461</v>
      </c>
      <c r="G84" s="77" t="s">
        <v>254</v>
      </c>
      <c r="H84" s="8" t="s">
        <v>255</v>
      </c>
      <c r="I84" s="3"/>
      <c r="J84" s="3"/>
      <c r="K84" s="3"/>
      <c r="L84" s="4"/>
      <c r="M84" s="22"/>
      <c r="O84" s="2">
        <v>256</v>
      </c>
      <c r="P84" s="2">
        <v>257</v>
      </c>
      <c r="Q84" s="25">
        <v>327</v>
      </c>
      <c r="R84" s="25">
        <v>259</v>
      </c>
      <c r="S84" s="25">
        <v>261</v>
      </c>
      <c r="T84" s="25"/>
    </row>
    <row r="85" spans="1:22" x14ac:dyDescent="0.25">
      <c r="A85" s="56"/>
      <c r="B85" s="116"/>
      <c r="C85" s="3" t="s">
        <v>252</v>
      </c>
      <c r="D85" s="8" t="s">
        <v>441</v>
      </c>
      <c r="E85" s="77" t="s">
        <v>256</v>
      </c>
      <c r="F85" s="10" t="s">
        <v>257</v>
      </c>
      <c r="G85" s="8" t="s">
        <v>258</v>
      </c>
      <c r="H85" s="8" t="s">
        <v>316</v>
      </c>
      <c r="I85" s="8" t="s">
        <v>315</v>
      </c>
      <c r="J85" s="3"/>
      <c r="K85" s="3"/>
      <c r="L85" s="59"/>
      <c r="M85" s="22"/>
      <c r="O85" s="2">
        <v>323</v>
      </c>
      <c r="P85" s="2">
        <v>263</v>
      </c>
      <c r="Q85" s="2">
        <v>264</v>
      </c>
      <c r="R85" s="25">
        <v>265</v>
      </c>
      <c r="S85" s="25">
        <v>266</v>
      </c>
      <c r="T85" s="25">
        <v>279</v>
      </c>
    </row>
    <row r="86" spans="1:22" x14ac:dyDescent="0.25">
      <c r="A86" s="56"/>
      <c r="B86" s="116"/>
      <c r="C86" s="3" t="s">
        <v>319</v>
      </c>
      <c r="D86" s="4" t="s">
        <v>321</v>
      </c>
      <c r="E86" s="10" t="s">
        <v>253</v>
      </c>
      <c r="F86" s="77" t="s">
        <v>461</v>
      </c>
      <c r="G86" s="77" t="s">
        <v>254</v>
      </c>
      <c r="H86" s="70" t="s">
        <v>323</v>
      </c>
      <c r="I86" s="78" t="s">
        <v>500</v>
      </c>
      <c r="J86" s="3"/>
      <c r="K86" s="3"/>
      <c r="L86" s="11"/>
      <c r="M86" s="22"/>
      <c r="O86" s="2">
        <v>258</v>
      </c>
      <c r="P86" s="2">
        <v>280</v>
      </c>
      <c r="Q86" s="2">
        <v>328</v>
      </c>
      <c r="R86" s="2">
        <v>281</v>
      </c>
      <c r="S86" s="25">
        <v>260</v>
      </c>
      <c r="T86" s="25">
        <v>97</v>
      </c>
    </row>
    <row r="87" spans="1:22" x14ac:dyDescent="0.25">
      <c r="A87" s="56"/>
      <c r="B87" s="116"/>
      <c r="C87" s="3" t="s">
        <v>332</v>
      </c>
      <c r="D87" s="4" t="s">
        <v>333</v>
      </c>
      <c r="E87" s="78" t="s">
        <v>355</v>
      </c>
      <c r="F87" s="78" t="s">
        <v>69</v>
      </c>
      <c r="G87" s="3"/>
      <c r="H87" s="3"/>
      <c r="I87" s="3"/>
      <c r="J87" s="3"/>
      <c r="K87" s="3"/>
      <c r="L87" s="14"/>
      <c r="M87" s="22" t="s">
        <v>371</v>
      </c>
      <c r="O87" s="2">
        <v>282</v>
      </c>
      <c r="P87" s="2">
        <v>297</v>
      </c>
      <c r="Q87" s="2">
        <v>298</v>
      </c>
      <c r="R87" s="25"/>
      <c r="S87" s="25"/>
    </row>
    <row r="88" spans="1:22" x14ac:dyDescent="0.25">
      <c r="A88" s="56"/>
      <c r="B88" s="116"/>
      <c r="C88" s="34" t="s">
        <v>340</v>
      </c>
      <c r="D88" s="4" t="s">
        <v>321</v>
      </c>
      <c r="E88" s="78" t="s">
        <v>349</v>
      </c>
      <c r="F88" s="8" t="s">
        <v>347</v>
      </c>
      <c r="G88" s="78" t="s">
        <v>348</v>
      </c>
      <c r="H88" s="77" t="s">
        <v>77</v>
      </c>
      <c r="I88" s="77" t="s">
        <v>478</v>
      </c>
      <c r="J88" s="77" t="s">
        <v>481</v>
      </c>
      <c r="K88" s="8" t="s">
        <v>182</v>
      </c>
      <c r="L88" s="4"/>
      <c r="M88" s="15"/>
      <c r="O88" s="2">
        <v>287</v>
      </c>
      <c r="P88" s="2">
        <v>294</v>
      </c>
      <c r="Q88" s="2">
        <v>293</v>
      </c>
      <c r="R88" s="2">
        <v>288</v>
      </c>
      <c r="S88" s="25">
        <v>290</v>
      </c>
      <c r="T88" s="25">
        <v>333</v>
      </c>
      <c r="U88" s="25">
        <v>334</v>
      </c>
      <c r="V88" s="2">
        <v>289</v>
      </c>
    </row>
    <row r="89" spans="1:22" x14ac:dyDescent="0.25">
      <c r="A89" s="44"/>
      <c r="B89" s="117"/>
      <c r="C89" s="45" t="s">
        <v>324</v>
      </c>
      <c r="D89" s="90" t="s">
        <v>321</v>
      </c>
      <c r="E89" s="91" t="s">
        <v>132</v>
      </c>
      <c r="F89" s="91" t="s">
        <v>326</v>
      </c>
      <c r="G89" s="91" t="s">
        <v>325</v>
      </c>
      <c r="H89" s="3"/>
      <c r="I89" s="3"/>
      <c r="J89" s="3"/>
      <c r="K89" s="3"/>
      <c r="L89" s="59"/>
      <c r="M89" s="15"/>
      <c r="O89" s="2">
        <v>262</v>
      </c>
      <c r="P89" s="2">
        <v>283</v>
      </c>
      <c r="Q89" s="2">
        <v>284</v>
      </c>
      <c r="R89" s="25">
        <v>285</v>
      </c>
      <c r="S89" s="25"/>
      <c r="T89" s="25"/>
      <c r="U89" s="25"/>
    </row>
    <row r="90" spans="1:22" x14ac:dyDescent="0.25">
      <c r="A90" s="41"/>
      <c r="B90" s="110" t="s">
        <v>208</v>
      </c>
      <c r="C90" s="34" t="s">
        <v>208</v>
      </c>
      <c r="D90" s="4" t="s">
        <v>218</v>
      </c>
      <c r="E90" s="77" t="s">
        <v>217</v>
      </c>
      <c r="F90" s="77" t="s">
        <v>209</v>
      </c>
      <c r="G90" s="77" t="s">
        <v>207</v>
      </c>
      <c r="H90" s="77" t="s">
        <v>221</v>
      </c>
      <c r="I90" s="77" t="s">
        <v>225</v>
      </c>
      <c r="J90" s="77" t="s">
        <v>224</v>
      </c>
      <c r="K90" s="77" t="s">
        <v>212</v>
      </c>
      <c r="L90" s="11"/>
      <c r="M90" s="15"/>
      <c r="O90" s="2">
        <v>233</v>
      </c>
      <c r="P90" s="2">
        <v>234</v>
      </c>
      <c r="Q90" s="2">
        <v>235</v>
      </c>
      <c r="R90" s="25">
        <v>236</v>
      </c>
      <c r="S90" s="25">
        <v>237</v>
      </c>
      <c r="T90" s="25">
        <v>254</v>
      </c>
      <c r="U90" s="25">
        <v>197</v>
      </c>
      <c r="V90" s="25">
        <v>247</v>
      </c>
    </row>
    <row r="91" spans="1:22" x14ac:dyDescent="0.25">
      <c r="A91" s="41"/>
      <c r="B91" s="110"/>
      <c r="C91" s="34" t="s">
        <v>197</v>
      </c>
      <c r="D91" s="77" t="s">
        <v>199</v>
      </c>
      <c r="E91" s="4" t="s">
        <v>200</v>
      </c>
      <c r="F91" s="77" t="s">
        <v>201</v>
      </c>
      <c r="G91" s="4" t="s">
        <v>202</v>
      </c>
      <c r="H91" s="77" t="s">
        <v>210</v>
      </c>
      <c r="I91" s="77" t="s">
        <v>193</v>
      </c>
      <c r="J91" s="77" t="s">
        <v>211</v>
      </c>
      <c r="K91" s="77" t="s">
        <v>182</v>
      </c>
      <c r="L91" s="14"/>
      <c r="M91" s="15"/>
      <c r="O91" s="2">
        <v>226</v>
      </c>
      <c r="P91" s="2">
        <v>227</v>
      </c>
      <c r="Q91" s="2">
        <v>228</v>
      </c>
      <c r="R91" s="25">
        <v>229</v>
      </c>
      <c r="S91" s="25">
        <v>230</v>
      </c>
      <c r="T91" s="25">
        <v>231</v>
      </c>
      <c r="U91" s="25">
        <v>232</v>
      </c>
      <c r="V91" s="25">
        <v>88</v>
      </c>
    </row>
    <row r="92" spans="1:22" x14ac:dyDescent="0.25">
      <c r="A92" s="41"/>
      <c r="B92" s="110"/>
      <c r="C92" s="34" t="s">
        <v>219</v>
      </c>
      <c r="D92" s="4" t="s">
        <v>206</v>
      </c>
      <c r="E92" s="4" t="s">
        <v>309</v>
      </c>
      <c r="F92" s="4" t="s">
        <v>310</v>
      </c>
      <c r="G92" s="77" t="s">
        <v>77</v>
      </c>
      <c r="H92" s="45"/>
      <c r="I92" s="45"/>
      <c r="J92" s="45"/>
      <c r="K92" s="45"/>
      <c r="L92" s="4"/>
      <c r="M92" s="15"/>
      <c r="O92" s="2">
        <v>238</v>
      </c>
      <c r="P92" s="2">
        <v>239</v>
      </c>
      <c r="Q92" s="2">
        <v>278</v>
      </c>
      <c r="R92" s="2">
        <v>240</v>
      </c>
    </row>
    <row r="93" spans="1:22" x14ac:dyDescent="0.25">
      <c r="A93" s="102"/>
      <c r="B93" s="110"/>
      <c r="C93" s="3" t="s">
        <v>487</v>
      </c>
      <c r="D93" s="70" t="s">
        <v>490</v>
      </c>
      <c r="E93" s="70" t="s">
        <v>488</v>
      </c>
      <c r="F93" s="70" t="s">
        <v>555</v>
      </c>
      <c r="G93" s="70" t="s">
        <v>489</v>
      </c>
      <c r="H93" s="70" t="s">
        <v>491</v>
      </c>
      <c r="I93" s="3"/>
      <c r="J93" s="3"/>
      <c r="K93" s="3"/>
      <c r="L93" s="14"/>
      <c r="M93" s="22" t="s">
        <v>492</v>
      </c>
      <c r="O93" s="2">
        <v>336</v>
      </c>
      <c r="P93" s="2">
        <v>337</v>
      </c>
      <c r="Q93" s="2">
        <v>338</v>
      </c>
      <c r="R93" s="25">
        <v>339</v>
      </c>
      <c r="S93" s="25">
        <v>340</v>
      </c>
    </row>
    <row r="94" spans="1:22" x14ac:dyDescent="0.25">
      <c r="A94" s="106"/>
      <c r="B94" s="110"/>
      <c r="C94" s="3" t="s">
        <v>558</v>
      </c>
      <c r="D94" s="77" t="s">
        <v>52</v>
      </c>
      <c r="E94" s="3"/>
      <c r="F94" s="3"/>
      <c r="G94" s="3"/>
      <c r="H94" s="3"/>
      <c r="I94" s="3"/>
      <c r="J94" s="3"/>
      <c r="K94" s="3"/>
      <c r="L94" s="14"/>
      <c r="M94" s="22"/>
      <c r="O94" s="2">
        <v>41</v>
      </c>
      <c r="P94" s="2"/>
      <c r="Q94" s="2"/>
      <c r="R94" s="25"/>
      <c r="S94" s="25"/>
    </row>
    <row r="95" spans="1:22" x14ac:dyDescent="0.25">
      <c r="A95" s="106"/>
      <c r="B95" s="110"/>
      <c r="C95" s="34" t="s">
        <v>75</v>
      </c>
      <c r="D95" s="80" t="s">
        <v>296</v>
      </c>
      <c r="E95" s="77" t="s">
        <v>222</v>
      </c>
      <c r="F95" s="77" t="s">
        <v>223</v>
      </c>
      <c r="G95" s="45"/>
      <c r="H95" s="45"/>
      <c r="I95" s="45"/>
      <c r="J95" s="45"/>
      <c r="K95" s="45"/>
      <c r="L95" s="59"/>
      <c r="M95" s="15"/>
      <c r="O95" s="2">
        <v>267</v>
      </c>
      <c r="P95" s="2">
        <v>252</v>
      </c>
      <c r="Q95" s="2">
        <v>253</v>
      </c>
    </row>
    <row r="96" spans="1:22" x14ac:dyDescent="0.25">
      <c r="A96" s="41"/>
      <c r="B96" s="110"/>
      <c r="C96" s="34" t="s">
        <v>374</v>
      </c>
      <c r="D96" s="4" t="s">
        <v>198</v>
      </c>
      <c r="E96" s="4" t="s">
        <v>203</v>
      </c>
      <c r="F96" s="77" t="s">
        <v>220</v>
      </c>
      <c r="G96" s="10" t="s">
        <v>205</v>
      </c>
      <c r="H96" s="77" t="s">
        <v>204</v>
      </c>
      <c r="I96" s="77" t="s">
        <v>478</v>
      </c>
      <c r="J96" s="77" t="s">
        <v>482</v>
      </c>
      <c r="K96" s="45"/>
      <c r="L96" s="11"/>
      <c r="M96" s="15"/>
      <c r="O96" s="2">
        <v>241</v>
      </c>
      <c r="P96" s="2">
        <v>242</v>
      </c>
      <c r="Q96" s="2">
        <v>251</v>
      </c>
      <c r="R96" s="2">
        <v>243</v>
      </c>
      <c r="S96" s="25">
        <v>244</v>
      </c>
      <c r="T96" s="25">
        <v>274</v>
      </c>
      <c r="U96" s="25">
        <v>332</v>
      </c>
    </row>
    <row r="97" spans="1:21" x14ac:dyDescent="0.25">
      <c r="A97" s="56"/>
      <c r="B97" s="110"/>
      <c r="C97" s="3" t="s">
        <v>196</v>
      </c>
      <c r="D97" s="71" t="s">
        <v>365</v>
      </c>
      <c r="E97" s="80" t="s">
        <v>375</v>
      </c>
      <c r="F97" s="71" t="s">
        <v>498</v>
      </c>
      <c r="G97" s="45"/>
      <c r="H97" s="45"/>
      <c r="I97" s="45"/>
      <c r="J97" s="45"/>
      <c r="K97" s="45"/>
      <c r="L97" s="14"/>
      <c r="M97" s="15"/>
      <c r="O97" s="25">
        <v>139</v>
      </c>
      <c r="P97" s="2">
        <v>299</v>
      </c>
      <c r="Q97" s="2">
        <v>341</v>
      </c>
      <c r="R97" s="2"/>
      <c r="S97" s="25"/>
      <c r="T97" s="25"/>
      <c r="U97" s="25"/>
    </row>
    <row r="98" spans="1:21" x14ac:dyDescent="0.25">
      <c r="A98" s="41"/>
      <c r="B98" s="110"/>
      <c r="C98" s="34" t="s">
        <v>195</v>
      </c>
      <c r="D98" s="4" t="s">
        <v>379</v>
      </c>
      <c r="E98" s="80">
        <v>5</v>
      </c>
      <c r="F98" s="77" t="s">
        <v>194</v>
      </c>
      <c r="G98" s="77" t="s">
        <v>227</v>
      </c>
      <c r="H98" s="45"/>
      <c r="I98" s="45"/>
      <c r="J98" s="45"/>
      <c r="K98" s="45"/>
      <c r="L98" s="4"/>
      <c r="M98" s="15"/>
      <c r="O98" s="2">
        <v>301</v>
      </c>
      <c r="P98" s="2">
        <v>245</v>
      </c>
      <c r="Q98" s="2">
        <v>246</v>
      </c>
      <c r="R98" s="2">
        <v>255</v>
      </c>
    </row>
    <row r="100" spans="1:21" x14ac:dyDescent="0.25">
      <c r="B100" s="1" t="s">
        <v>29</v>
      </c>
    </row>
    <row r="101" spans="1:21" x14ac:dyDescent="0.25">
      <c r="B101" s="1"/>
    </row>
    <row r="102" spans="1:21" x14ac:dyDescent="0.25">
      <c r="B102" s="1" t="s">
        <v>30</v>
      </c>
      <c r="C102" s="2" t="s">
        <v>37</v>
      </c>
    </row>
    <row r="103" spans="1:21" x14ac:dyDescent="0.25">
      <c r="B103" s="100" t="s">
        <v>133</v>
      </c>
      <c r="C103" s="2" t="s">
        <v>134</v>
      </c>
    </row>
    <row r="104" spans="1:21" x14ac:dyDescent="0.25">
      <c r="B104" s="35" t="s">
        <v>162</v>
      </c>
      <c r="C104" s="2" t="s">
        <v>163</v>
      </c>
    </row>
    <row r="105" spans="1:21" x14ac:dyDescent="0.25">
      <c r="B105" s="99" t="s">
        <v>34</v>
      </c>
      <c r="C105" s="2" t="s">
        <v>32</v>
      </c>
    </row>
    <row r="106" spans="1:21" ht="15" x14ac:dyDescent="0.25">
      <c r="B106" s="92" t="s">
        <v>36</v>
      </c>
      <c r="C106" s="2" t="s">
        <v>35</v>
      </c>
    </row>
    <row r="107" spans="1:21" x14ac:dyDescent="0.25">
      <c r="B107" s="16" t="s">
        <v>31</v>
      </c>
      <c r="C107" s="2" t="s">
        <v>33</v>
      </c>
    </row>
    <row r="108" spans="1:21" x14ac:dyDescent="0.25">
      <c r="B108" s="8" t="s">
        <v>38</v>
      </c>
      <c r="C108" s="2" t="s">
        <v>476</v>
      </c>
    </row>
    <row r="109" spans="1:21" x14ac:dyDescent="0.25">
      <c r="B109" s="18">
        <v>63</v>
      </c>
      <c r="C109" s="2" t="s">
        <v>61</v>
      </c>
    </row>
    <row r="111" spans="1:21" x14ac:dyDescent="0.25">
      <c r="B111" s="93" t="s">
        <v>42</v>
      </c>
    </row>
    <row r="113" spans="2:3" x14ac:dyDescent="0.25">
      <c r="B113" t="s">
        <v>43</v>
      </c>
      <c r="C113" t="s">
        <v>44</v>
      </c>
    </row>
    <row r="114" spans="2:3" x14ac:dyDescent="0.25">
      <c r="B114" t="s">
        <v>45</v>
      </c>
      <c r="C114" t="s">
        <v>46</v>
      </c>
    </row>
    <row r="116" spans="2:3" x14ac:dyDescent="0.25">
      <c r="B116" s="2" t="s">
        <v>47</v>
      </c>
    </row>
    <row r="118" spans="2:3" x14ac:dyDescent="0.25">
      <c r="B118" t="s">
        <v>57</v>
      </c>
    </row>
    <row r="119" spans="2:3" x14ac:dyDescent="0.25">
      <c r="B119" s="2" t="s">
        <v>48</v>
      </c>
    </row>
    <row r="120" spans="2:3" x14ac:dyDescent="0.25">
      <c r="B120" s="2" t="s">
        <v>62</v>
      </c>
    </row>
    <row r="122" spans="2:3" x14ac:dyDescent="0.25">
      <c r="B122" s="2" t="s">
        <v>154</v>
      </c>
    </row>
    <row r="123" spans="2:3" x14ac:dyDescent="0.25">
      <c r="B123" s="2" t="s">
        <v>60</v>
      </c>
      <c r="C123" s="2" t="s">
        <v>165</v>
      </c>
    </row>
    <row r="124" spans="2:3" x14ac:dyDescent="0.25">
      <c r="B124" s="2" t="s">
        <v>155</v>
      </c>
      <c r="C124" s="2" t="s">
        <v>167</v>
      </c>
    </row>
    <row r="125" spans="2:3" x14ac:dyDescent="0.25">
      <c r="B125" s="2" t="s">
        <v>156</v>
      </c>
      <c r="C125" s="2" t="s">
        <v>166</v>
      </c>
    </row>
    <row r="126" spans="2:3" x14ac:dyDescent="0.25">
      <c r="B126" s="2" t="s">
        <v>16</v>
      </c>
      <c r="C126" s="2" t="s">
        <v>157</v>
      </c>
    </row>
  </sheetData>
  <mergeCells count="22">
    <mergeCell ref="B90:B98"/>
    <mergeCell ref="B55:B62"/>
    <mergeCell ref="B51:B54"/>
    <mergeCell ref="B63:B83"/>
    <mergeCell ref="B1:M1"/>
    <mergeCell ref="B84:B89"/>
    <mergeCell ref="A3:A43"/>
    <mergeCell ref="A44:A54"/>
    <mergeCell ref="B30:B35"/>
    <mergeCell ref="D2:H2"/>
    <mergeCell ref="B13:B20"/>
    <mergeCell ref="B21:B27"/>
    <mergeCell ref="B44:B50"/>
    <mergeCell ref="B39:B43"/>
    <mergeCell ref="B3:B8"/>
    <mergeCell ref="B9:B12"/>
    <mergeCell ref="F29:G29"/>
    <mergeCell ref="D29:E29"/>
    <mergeCell ref="B36:B38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58"/>
  <sheetViews>
    <sheetView tabSelected="1" zoomScale="130" zoomScaleNormal="130" workbookViewId="0">
      <pane ySplit="1" topLeftCell="A339" activePane="bottomLeft" state="frozen"/>
      <selection pane="bottomLeft" activeCell="M347" sqref="M347"/>
    </sheetView>
  </sheetViews>
  <sheetFormatPr defaultColWidth="8.88671875" defaultRowHeight="13.2" x14ac:dyDescent="0.25"/>
  <cols>
    <col min="1" max="1" width="4" style="53" bestFit="1" customWidth="1"/>
    <col min="2" max="2" width="6.77734375" style="53" bestFit="1" customWidth="1"/>
    <col min="3" max="3" width="16.5546875" style="53" customWidth="1"/>
    <col min="4" max="4" width="29.33203125" style="53" bestFit="1" customWidth="1"/>
    <col min="5" max="5" width="14.33203125" style="53" bestFit="1" customWidth="1"/>
    <col min="6" max="6" width="4.88671875" style="49" bestFit="1" customWidth="1"/>
    <col min="7" max="7" width="3.77734375" style="49" bestFit="1" customWidth="1"/>
    <col min="8" max="8" width="4.77734375" style="49" bestFit="1" customWidth="1"/>
    <col min="9" max="9" width="4" style="49" bestFit="1" customWidth="1"/>
    <col min="10" max="10" width="4.109375" style="49" bestFit="1" customWidth="1"/>
    <col min="11" max="11" width="7" style="49" customWidth="1"/>
    <col min="12" max="13" width="4.88671875" style="49" bestFit="1" customWidth="1"/>
    <col min="14" max="14" width="5.5546875" style="49" customWidth="1"/>
    <col min="15" max="15" width="4.88671875" style="49" customWidth="1"/>
    <col min="16" max="16" width="5" style="53" customWidth="1"/>
    <col min="17" max="17" width="4.6640625" style="53" bestFit="1" customWidth="1"/>
    <col min="18" max="18" width="56.6640625" style="53" bestFit="1" customWidth="1"/>
    <col min="19" max="19" width="111.88671875" style="53" bestFit="1" customWidth="1"/>
    <col min="20" max="20" width="3.88671875" style="53" bestFit="1" customWidth="1"/>
    <col min="21" max="16384" width="8.88671875" style="53"/>
  </cols>
  <sheetData>
    <row r="1" spans="1:20" x14ac:dyDescent="0.25">
      <c r="A1" s="46" t="s">
        <v>55</v>
      </c>
      <c r="B1" s="46" t="s">
        <v>21</v>
      </c>
      <c r="C1" s="46" t="s">
        <v>0</v>
      </c>
      <c r="D1" s="46" t="s">
        <v>1</v>
      </c>
      <c r="E1" s="46" t="s">
        <v>142</v>
      </c>
      <c r="F1" s="48" t="s">
        <v>452</v>
      </c>
      <c r="G1" s="48" t="s">
        <v>289</v>
      </c>
      <c r="H1" s="48" t="s">
        <v>290</v>
      </c>
      <c r="I1" s="48" t="s">
        <v>291</v>
      </c>
      <c r="J1" s="48" t="s">
        <v>292</v>
      </c>
      <c r="K1" s="48" t="s">
        <v>271</v>
      </c>
      <c r="L1" s="48" t="s">
        <v>293</v>
      </c>
      <c r="M1" s="48" t="s">
        <v>294</v>
      </c>
      <c r="N1" s="48" t="s">
        <v>563</v>
      </c>
      <c r="O1" s="48" t="s">
        <v>564</v>
      </c>
      <c r="P1" s="46" t="s">
        <v>26</v>
      </c>
      <c r="Q1" s="46" t="s">
        <v>28</v>
      </c>
      <c r="R1" s="46" t="s">
        <v>84</v>
      </c>
      <c r="S1" s="46" t="s">
        <v>22</v>
      </c>
      <c r="T1" s="46" t="s">
        <v>27</v>
      </c>
    </row>
    <row r="2" spans="1:20" ht="13.2" customHeight="1" x14ac:dyDescent="0.25">
      <c r="A2" s="53">
        <v>169</v>
      </c>
      <c r="B2" s="53" t="s">
        <v>41</v>
      </c>
      <c r="C2" s="53" t="s">
        <v>64</v>
      </c>
      <c r="D2" s="53" t="s">
        <v>131</v>
      </c>
      <c r="E2" s="57" t="s">
        <v>132</v>
      </c>
      <c r="F2" s="51"/>
      <c r="H2" s="61"/>
      <c r="K2" s="51"/>
      <c r="L2" s="51"/>
      <c r="M2" s="51"/>
      <c r="N2" s="108">
        <f>VLOOKUP($A2, Stat!$A$1:$C$501, 2,0)</f>
        <v>694</v>
      </c>
      <c r="O2" s="108">
        <f>VLOOKUP($A2, Stat!$A$1:$C$501, 3,0)</f>
        <v>3</v>
      </c>
      <c r="P2" s="53">
        <v>0</v>
      </c>
      <c r="Q2" s="53">
        <v>-1</v>
      </c>
      <c r="T2" s="53">
        <v>1</v>
      </c>
    </row>
    <row r="3" spans="1:20" ht="13.2" customHeight="1" x14ac:dyDescent="0.25">
      <c r="A3" s="53">
        <v>77</v>
      </c>
      <c r="B3" s="53" t="s">
        <v>41</v>
      </c>
      <c r="C3" s="53" t="s">
        <v>18</v>
      </c>
      <c r="D3" s="53" t="s">
        <v>97</v>
      </c>
      <c r="E3" s="57" t="s">
        <v>272</v>
      </c>
      <c r="F3" s="50" t="s">
        <v>272</v>
      </c>
      <c r="H3" s="61"/>
      <c r="K3" s="50"/>
      <c r="L3" s="51"/>
      <c r="M3" s="50" t="s">
        <v>270</v>
      </c>
      <c r="N3" s="108">
        <f>VLOOKUP($A3, Stat!$A$1:$C$501, 2,0)</f>
        <v>536</v>
      </c>
      <c r="O3" s="108">
        <f>VLOOKUP($A3, Stat!$A$1:$C$501, 3,0)</f>
        <v>0</v>
      </c>
      <c r="P3" s="53">
        <v>0</v>
      </c>
      <c r="Q3" s="53">
        <v>-1</v>
      </c>
      <c r="T3" s="53">
        <v>1</v>
      </c>
    </row>
    <row r="4" spans="1:20" ht="13.2" customHeight="1" x14ac:dyDescent="0.25">
      <c r="A4" s="53">
        <v>8</v>
      </c>
      <c r="B4" s="53" t="s">
        <v>39</v>
      </c>
      <c r="C4" s="53" t="s">
        <v>83</v>
      </c>
      <c r="D4" s="53" t="s">
        <v>6</v>
      </c>
      <c r="E4" s="57" t="s">
        <v>90</v>
      </c>
      <c r="F4" s="51"/>
      <c r="H4" s="61"/>
      <c r="K4" s="51"/>
      <c r="L4" s="51"/>
      <c r="M4" s="51"/>
      <c r="N4" s="108">
        <f>VLOOKUP($A4, Stat!$A$1:$C$501, 2,0)</f>
        <v>438</v>
      </c>
      <c r="O4" s="108">
        <f>VLOOKUP($A4, Stat!$A$1:$C$501, 3,0)</f>
        <v>1</v>
      </c>
      <c r="P4" s="53">
        <v>0</v>
      </c>
      <c r="Q4" s="53">
        <v>-1</v>
      </c>
      <c r="T4" s="53">
        <v>1</v>
      </c>
    </row>
    <row r="5" spans="1:20" ht="13.2" customHeight="1" x14ac:dyDescent="0.25">
      <c r="A5" s="53">
        <v>57</v>
      </c>
      <c r="B5" s="53" t="s">
        <v>41</v>
      </c>
      <c r="C5" s="53" t="s">
        <v>18</v>
      </c>
      <c r="D5" s="53" t="s">
        <v>97</v>
      </c>
      <c r="E5" s="57" t="s">
        <v>314</v>
      </c>
      <c r="F5" s="50" t="s">
        <v>272</v>
      </c>
      <c r="H5" s="61"/>
      <c r="K5" s="50"/>
      <c r="L5" s="51"/>
      <c r="M5" s="50" t="s">
        <v>270</v>
      </c>
      <c r="N5" s="108">
        <f>VLOOKUP($A5, Stat!$A$1:$C$501, 2,0)</f>
        <v>448</v>
      </c>
      <c r="O5" s="108">
        <f>VLOOKUP($A5, Stat!$A$1:$C$501, 3,0)</f>
        <v>1</v>
      </c>
      <c r="P5" s="53">
        <v>0</v>
      </c>
      <c r="Q5" s="53">
        <v>-1</v>
      </c>
      <c r="T5" s="53">
        <v>1</v>
      </c>
    </row>
    <row r="6" spans="1:20" ht="13.2" customHeight="1" x14ac:dyDescent="0.25">
      <c r="A6" s="53">
        <v>354</v>
      </c>
      <c r="B6" s="53" t="s">
        <v>41</v>
      </c>
      <c r="C6" s="53" t="s">
        <v>64</v>
      </c>
      <c r="D6" s="53" t="s">
        <v>530</v>
      </c>
      <c r="E6" s="53" t="s">
        <v>545</v>
      </c>
      <c r="H6" s="61"/>
      <c r="N6" s="108">
        <f>VLOOKUP($A6, Stat!$A$1:$C$501, 2,0)</f>
        <v>320</v>
      </c>
      <c r="O6" s="108">
        <f>VLOOKUP($A6, Stat!$A$1:$C$501, 3,0)</f>
        <v>1</v>
      </c>
      <c r="P6" s="53">
        <v>0</v>
      </c>
      <c r="Q6" s="53">
        <v>-1</v>
      </c>
      <c r="T6" s="53">
        <v>1</v>
      </c>
    </row>
    <row r="7" spans="1:20" ht="13.2" customHeight="1" x14ac:dyDescent="0.25">
      <c r="A7" s="53">
        <v>225</v>
      </c>
      <c r="B7" s="53" t="s">
        <v>41</v>
      </c>
      <c r="C7" s="53" t="s">
        <v>64</v>
      </c>
      <c r="D7" s="53" t="s">
        <v>139</v>
      </c>
      <c r="E7" s="57" t="s">
        <v>188</v>
      </c>
      <c r="F7" s="51"/>
      <c r="H7" s="61"/>
      <c r="K7" s="51"/>
      <c r="L7" s="51"/>
      <c r="M7" s="51"/>
      <c r="N7" s="108">
        <f>VLOOKUP($A7, Stat!$A$1:$C$501, 2,0)</f>
        <v>393</v>
      </c>
      <c r="O7" s="108">
        <f>VLOOKUP($A7, Stat!$A$1:$C$501, 3,0)</f>
        <v>2</v>
      </c>
      <c r="P7" s="53">
        <v>0</v>
      </c>
      <c r="Q7" s="53">
        <v>1</v>
      </c>
      <c r="T7" s="53">
        <v>1</v>
      </c>
    </row>
    <row r="8" spans="1:20" ht="13.2" customHeight="1" x14ac:dyDescent="0.25">
      <c r="A8" s="53">
        <v>80</v>
      </c>
      <c r="B8" s="53" t="s">
        <v>41</v>
      </c>
      <c r="C8" s="53" t="s">
        <v>64</v>
      </c>
      <c r="D8" s="53" t="s">
        <v>70</v>
      </c>
      <c r="E8" s="57" t="s">
        <v>65</v>
      </c>
      <c r="F8" s="51"/>
      <c r="H8" s="61"/>
      <c r="K8" s="51"/>
      <c r="L8" s="51"/>
      <c r="M8" s="51"/>
      <c r="N8" s="108">
        <f>VLOOKUP($A8, Stat!$A$1:$C$501, 2,0)</f>
        <v>304</v>
      </c>
      <c r="O8" s="108">
        <f>VLOOKUP($A8, Stat!$A$1:$C$501, 3,0)</f>
        <v>2</v>
      </c>
      <c r="P8" s="53">
        <v>0</v>
      </c>
      <c r="Q8" s="53">
        <v>-1</v>
      </c>
      <c r="T8" s="53">
        <v>1</v>
      </c>
    </row>
    <row r="9" spans="1:20" ht="13.2" customHeight="1" x14ac:dyDescent="0.25">
      <c r="A9" s="53">
        <v>29</v>
      </c>
      <c r="B9" s="53" t="s">
        <v>39</v>
      </c>
      <c r="C9" s="53" t="s">
        <v>16</v>
      </c>
      <c r="D9" s="53" t="s">
        <v>16</v>
      </c>
      <c r="E9" s="57" t="s">
        <v>116</v>
      </c>
      <c r="F9" s="51"/>
      <c r="H9" s="61"/>
      <c r="K9" s="51"/>
      <c r="L9" s="51"/>
      <c r="M9" s="51"/>
      <c r="N9" s="108">
        <f>VLOOKUP($A9, Stat!$A$1:$C$501, 2,0)</f>
        <v>302</v>
      </c>
      <c r="O9" s="108">
        <f>VLOOKUP($A9, Stat!$A$1:$C$501, 3,0)</f>
        <v>0</v>
      </c>
      <c r="P9" s="53">
        <v>0</v>
      </c>
      <c r="Q9" s="53">
        <v>-1</v>
      </c>
      <c r="T9" s="53">
        <v>1</v>
      </c>
    </row>
    <row r="10" spans="1:20" ht="13.2" customHeight="1" x14ac:dyDescent="0.25">
      <c r="A10" s="53">
        <v>268</v>
      </c>
      <c r="B10" s="53" t="s">
        <v>41</v>
      </c>
      <c r="C10" s="53" t="s">
        <v>64</v>
      </c>
      <c r="D10" s="53" t="s">
        <v>529</v>
      </c>
      <c r="E10" s="57" t="s">
        <v>545</v>
      </c>
      <c r="H10" s="61"/>
      <c r="N10" s="108">
        <f>VLOOKUP($A10, Stat!$A$1:$C$501, 2,0)</f>
        <v>270</v>
      </c>
      <c r="O10" s="108">
        <f>VLOOKUP($A10, Stat!$A$1:$C$501, 3,0)</f>
        <v>3</v>
      </c>
      <c r="P10" s="53">
        <v>0</v>
      </c>
      <c r="Q10" s="53">
        <v>-1</v>
      </c>
      <c r="T10" s="53">
        <v>1</v>
      </c>
    </row>
    <row r="11" spans="1:20" ht="13.2" customHeight="1" x14ac:dyDescent="0.25">
      <c r="A11" s="53">
        <v>83</v>
      </c>
      <c r="B11" s="53" t="s">
        <v>41</v>
      </c>
      <c r="C11" s="53" t="s">
        <v>64</v>
      </c>
      <c r="D11" s="53" t="s">
        <v>68</v>
      </c>
      <c r="E11" s="57" t="s">
        <v>65</v>
      </c>
      <c r="F11" s="51"/>
      <c r="H11" s="61"/>
      <c r="K11" s="50" t="s">
        <v>336</v>
      </c>
      <c r="L11" s="51"/>
      <c r="M11" s="51"/>
      <c r="N11" s="108">
        <f>VLOOKUP($A11, Stat!$A$1:$C$501, 2,0)</f>
        <v>187</v>
      </c>
      <c r="O11" s="108">
        <f>VLOOKUP($A11, Stat!$A$1:$C$501, 3,0)</f>
        <v>5</v>
      </c>
      <c r="P11" s="53">
        <v>100</v>
      </c>
      <c r="Q11" s="53">
        <v>0</v>
      </c>
      <c r="T11" s="53">
        <v>1</v>
      </c>
    </row>
    <row r="12" spans="1:20" ht="13.2" customHeight="1" x14ac:dyDescent="0.25">
      <c r="A12" s="53">
        <v>14</v>
      </c>
      <c r="B12" s="53" t="s">
        <v>41</v>
      </c>
      <c r="C12" s="53" t="s">
        <v>531</v>
      </c>
      <c r="D12" s="53" t="s">
        <v>73</v>
      </c>
      <c r="E12" s="57" t="s">
        <v>543</v>
      </c>
      <c r="F12" s="51"/>
      <c r="H12" s="49">
        <v>1</v>
      </c>
      <c r="K12" s="51"/>
      <c r="L12" s="51"/>
      <c r="M12" s="51"/>
      <c r="N12" s="108">
        <f>VLOOKUP($A12, Stat!$A$1:$C$501, 2,0)</f>
        <v>177</v>
      </c>
      <c r="O12" s="108">
        <f>VLOOKUP($A12, Stat!$A$1:$C$501, 3,0)</f>
        <v>25</v>
      </c>
      <c r="P12" s="53">
        <v>0</v>
      </c>
      <c r="Q12" s="53">
        <v>-1</v>
      </c>
      <c r="T12" s="53">
        <v>1</v>
      </c>
    </row>
    <row r="13" spans="1:20" ht="13.2" customHeight="1" x14ac:dyDescent="0.25">
      <c r="A13" s="53">
        <v>42</v>
      </c>
      <c r="B13" s="53" t="s">
        <v>39</v>
      </c>
      <c r="C13" s="53" t="s">
        <v>87</v>
      </c>
      <c r="D13" s="53" t="s">
        <v>99</v>
      </c>
      <c r="E13" s="57" t="s">
        <v>3</v>
      </c>
      <c r="F13" s="51"/>
      <c r="H13" s="61"/>
      <c r="I13" s="49">
        <v>999</v>
      </c>
      <c r="K13" s="51"/>
      <c r="L13" s="51"/>
      <c r="M13" s="51"/>
      <c r="N13" s="108">
        <f>VLOOKUP($A13, Stat!$A$1:$C$501, 2,0)</f>
        <v>186</v>
      </c>
      <c r="O13" s="108">
        <f>VLOOKUP($A13, Stat!$A$1:$C$501, 3,0)</f>
        <v>0</v>
      </c>
      <c r="P13" s="53">
        <v>0</v>
      </c>
      <c r="Q13" s="53">
        <v>-1</v>
      </c>
      <c r="R13" s="53" t="s">
        <v>88</v>
      </c>
      <c r="T13" s="53">
        <v>1</v>
      </c>
    </row>
    <row r="14" spans="1:20" ht="13.2" customHeight="1" x14ac:dyDescent="0.25">
      <c r="A14" s="53">
        <v>59</v>
      </c>
      <c r="B14" s="53" t="s">
        <v>39</v>
      </c>
      <c r="C14" s="53" t="s">
        <v>83</v>
      </c>
      <c r="D14" s="53" t="s">
        <v>128</v>
      </c>
      <c r="E14" s="57" t="s">
        <v>3</v>
      </c>
      <c r="F14" s="51"/>
      <c r="H14" s="61"/>
      <c r="K14" s="51"/>
      <c r="L14" s="51"/>
      <c r="M14" s="51"/>
      <c r="N14" s="108">
        <f>VLOOKUP($A14, Stat!$A$1:$C$501, 2,0)</f>
        <v>185</v>
      </c>
      <c r="O14" s="108">
        <f>VLOOKUP($A14, Stat!$A$1:$C$501, 3,0)</f>
        <v>0</v>
      </c>
      <c r="P14" s="53">
        <v>0</v>
      </c>
      <c r="Q14" s="53">
        <v>1</v>
      </c>
      <c r="T14" s="53">
        <v>1</v>
      </c>
    </row>
    <row r="15" spans="1:20" ht="13.2" customHeight="1" x14ac:dyDescent="0.25">
      <c r="A15" s="53">
        <v>21</v>
      </c>
      <c r="B15" s="53" t="s">
        <v>39</v>
      </c>
      <c r="C15" s="53" t="s">
        <v>15</v>
      </c>
      <c r="D15" s="53" t="s">
        <v>56</v>
      </c>
      <c r="E15" s="57" t="s">
        <v>145</v>
      </c>
      <c r="F15" s="51"/>
      <c r="H15" s="61"/>
      <c r="J15" s="49">
        <v>1</v>
      </c>
      <c r="K15" s="51"/>
      <c r="L15" s="51"/>
      <c r="M15" s="51"/>
      <c r="N15" s="108">
        <f>VLOOKUP($A15, Stat!$A$1:$C$501, 2,0)</f>
        <v>176</v>
      </c>
      <c r="O15" s="108">
        <f>VLOOKUP($A15, Stat!$A$1:$C$501, 3,0)</f>
        <v>1</v>
      </c>
      <c r="P15" s="53">
        <v>60</v>
      </c>
      <c r="Q15" s="53">
        <v>-1</v>
      </c>
      <c r="S15" s="53" t="s">
        <v>385</v>
      </c>
      <c r="T15" s="53">
        <v>1</v>
      </c>
    </row>
    <row r="16" spans="1:20" ht="13.2" customHeight="1" x14ac:dyDescent="0.25">
      <c r="A16" s="53">
        <v>132</v>
      </c>
      <c r="B16" s="53" t="s">
        <v>39</v>
      </c>
      <c r="C16" s="53" t="s">
        <v>83</v>
      </c>
      <c r="D16" s="53" t="s">
        <v>127</v>
      </c>
      <c r="E16" s="57" t="s">
        <v>3</v>
      </c>
      <c r="F16" s="51"/>
      <c r="H16" s="61"/>
      <c r="K16" s="51"/>
      <c r="L16" s="51"/>
      <c r="M16" s="51"/>
      <c r="N16" s="108">
        <f>VLOOKUP($A16, Stat!$A$1:$C$501, 2,0)</f>
        <v>168</v>
      </c>
      <c r="O16" s="108">
        <f>VLOOKUP($A16, Stat!$A$1:$C$501, 3,0)</f>
        <v>0</v>
      </c>
      <c r="P16" s="53">
        <v>0</v>
      </c>
      <c r="Q16" s="53">
        <v>-1</v>
      </c>
      <c r="T16" s="53">
        <v>1</v>
      </c>
    </row>
    <row r="17" spans="1:20" ht="13.2" customHeight="1" x14ac:dyDescent="0.25">
      <c r="A17" s="53">
        <v>193</v>
      </c>
      <c r="B17" s="53" t="s">
        <v>39</v>
      </c>
      <c r="C17" s="53" t="s">
        <v>15</v>
      </c>
      <c r="D17" s="53" t="s">
        <v>56</v>
      </c>
      <c r="E17" s="57" t="s">
        <v>143</v>
      </c>
      <c r="F17" s="51"/>
      <c r="H17" s="61"/>
      <c r="J17" s="49">
        <v>1</v>
      </c>
      <c r="K17" s="51"/>
      <c r="L17" s="51"/>
      <c r="M17" s="51"/>
      <c r="N17" s="108">
        <f>VLOOKUP($A17, Stat!$A$1:$C$501, 2,0)</f>
        <v>172</v>
      </c>
      <c r="O17" s="108">
        <f>VLOOKUP($A17, Stat!$A$1:$C$501, 3,0)</f>
        <v>0</v>
      </c>
      <c r="P17" s="53">
        <v>0</v>
      </c>
      <c r="Q17" s="53">
        <v>1</v>
      </c>
      <c r="S17" s="53" t="s">
        <v>385</v>
      </c>
      <c r="T17" s="53">
        <v>1</v>
      </c>
    </row>
    <row r="18" spans="1:20" ht="13.2" customHeight="1" x14ac:dyDescent="0.25">
      <c r="A18" s="53">
        <v>58</v>
      </c>
      <c r="B18" s="53" t="s">
        <v>39</v>
      </c>
      <c r="C18" s="53" t="s">
        <v>83</v>
      </c>
      <c r="D18" s="53" t="s">
        <v>6</v>
      </c>
      <c r="E18" s="57" t="s">
        <v>25</v>
      </c>
      <c r="F18" s="51"/>
      <c r="H18" s="49">
        <v>1</v>
      </c>
      <c r="K18" s="51"/>
      <c r="L18" s="51"/>
      <c r="M18" s="51"/>
      <c r="N18" s="108">
        <f>VLOOKUP($A18, Stat!$A$1:$C$501, 2,0)</f>
        <v>155</v>
      </c>
      <c r="O18" s="108">
        <f>VLOOKUP($A18, Stat!$A$1:$C$501, 3,0)</f>
        <v>13</v>
      </c>
      <c r="P18" s="53">
        <v>0</v>
      </c>
      <c r="Q18" s="53">
        <v>-1</v>
      </c>
      <c r="T18" s="53">
        <v>1</v>
      </c>
    </row>
    <row r="19" spans="1:20" ht="13.2" customHeight="1" x14ac:dyDescent="0.25">
      <c r="A19" s="53">
        <v>67</v>
      </c>
      <c r="B19" s="53" t="s">
        <v>39</v>
      </c>
      <c r="C19" s="53" t="s">
        <v>17</v>
      </c>
      <c r="D19" s="53" t="s">
        <v>100</v>
      </c>
      <c r="E19" s="57" t="s">
        <v>272</v>
      </c>
      <c r="F19" s="51"/>
      <c r="H19" s="49">
        <v>1</v>
      </c>
      <c r="K19" s="51"/>
      <c r="L19" s="51"/>
      <c r="M19" s="51"/>
      <c r="N19" s="108">
        <f>VLOOKUP($A19, Stat!$A$1:$C$501, 2,0)</f>
        <v>162</v>
      </c>
      <c r="O19" s="108">
        <f>VLOOKUP($A19, Stat!$A$1:$C$501, 3,0)</f>
        <v>29</v>
      </c>
      <c r="P19" s="53">
        <v>0</v>
      </c>
      <c r="Q19" s="53">
        <v>-1</v>
      </c>
      <c r="T19" s="53">
        <v>1</v>
      </c>
    </row>
    <row r="20" spans="1:20" ht="13.2" customHeight="1" x14ac:dyDescent="0.25">
      <c r="A20" s="53">
        <v>38</v>
      </c>
      <c r="B20" s="53" t="s">
        <v>39</v>
      </c>
      <c r="C20" s="53" t="s">
        <v>17</v>
      </c>
      <c r="D20" s="53" t="s">
        <v>17</v>
      </c>
      <c r="E20" s="57" t="s">
        <v>153</v>
      </c>
      <c r="F20" s="51"/>
      <c r="H20" s="61"/>
      <c r="K20" s="51"/>
      <c r="L20" s="51"/>
      <c r="M20" s="51"/>
      <c r="N20" s="108">
        <f>VLOOKUP($A20, Stat!$A$1:$C$501, 2,0)</f>
        <v>147</v>
      </c>
      <c r="O20" s="108">
        <f>VLOOKUP($A20, Stat!$A$1:$C$501, 3,0)</f>
        <v>3</v>
      </c>
      <c r="P20" s="53">
        <v>0</v>
      </c>
      <c r="Q20" s="53">
        <v>0</v>
      </c>
      <c r="S20" s="53" t="s">
        <v>422</v>
      </c>
      <c r="T20" s="53">
        <v>1</v>
      </c>
    </row>
    <row r="21" spans="1:20" ht="13.2" customHeight="1" x14ac:dyDescent="0.25">
      <c r="A21" s="53">
        <v>35</v>
      </c>
      <c r="B21" s="53" t="s">
        <v>41</v>
      </c>
      <c r="C21" s="53" t="s">
        <v>64</v>
      </c>
      <c r="D21" s="53" t="s">
        <v>95</v>
      </c>
      <c r="E21" s="57" t="s">
        <v>136</v>
      </c>
      <c r="F21" s="51"/>
      <c r="H21" s="61"/>
      <c r="I21" s="49">
        <v>999</v>
      </c>
      <c r="K21" s="51"/>
      <c r="L21" s="51"/>
      <c r="M21" s="51"/>
      <c r="N21" s="108">
        <f>VLOOKUP($A21, Stat!$A$1:$C$501, 2,0)</f>
        <v>152</v>
      </c>
      <c r="O21" s="108">
        <f>VLOOKUP($A21, Stat!$A$1:$C$501, 3,0)</f>
        <v>0</v>
      </c>
      <c r="P21" s="53">
        <v>0</v>
      </c>
      <c r="Q21" s="53">
        <v>-1</v>
      </c>
      <c r="T21" s="53">
        <v>1</v>
      </c>
    </row>
    <row r="22" spans="1:20" ht="13.2" customHeight="1" x14ac:dyDescent="0.25">
      <c r="A22" s="53">
        <v>99</v>
      </c>
      <c r="B22" s="53" t="s">
        <v>41</v>
      </c>
      <c r="C22" s="53" t="s">
        <v>18</v>
      </c>
      <c r="D22" s="53" t="s">
        <v>97</v>
      </c>
      <c r="E22" s="57" t="s">
        <v>212</v>
      </c>
      <c r="F22" s="50" t="s">
        <v>272</v>
      </c>
      <c r="H22" s="61"/>
      <c r="K22" s="50"/>
      <c r="L22" s="51"/>
      <c r="M22" s="50" t="s">
        <v>270</v>
      </c>
      <c r="N22" s="108">
        <f>VLOOKUP($A22, Stat!$A$1:$C$501, 2,0)</f>
        <v>147</v>
      </c>
      <c r="O22" s="108">
        <f>VLOOKUP($A22, Stat!$A$1:$C$501, 3,0)</f>
        <v>5</v>
      </c>
      <c r="P22" s="53">
        <v>30</v>
      </c>
      <c r="Q22" s="53">
        <v>0</v>
      </c>
      <c r="T22" s="53">
        <v>1</v>
      </c>
    </row>
    <row r="23" spans="1:20" ht="13.2" customHeight="1" x14ac:dyDescent="0.25">
      <c r="A23" s="53">
        <v>112</v>
      </c>
      <c r="B23" s="53" t="s">
        <v>39</v>
      </c>
      <c r="C23" s="53" t="s">
        <v>86</v>
      </c>
      <c r="D23" s="53" t="s">
        <v>2</v>
      </c>
      <c r="E23" s="57" t="s">
        <v>3</v>
      </c>
      <c r="F23" s="50"/>
      <c r="H23" s="61"/>
      <c r="K23" s="50" t="s">
        <v>398</v>
      </c>
      <c r="L23" s="51"/>
      <c r="M23" s="50"/>
      <c r="N23" s="108">
        <f>VLOOKUP($A23, Stat!$A$1:$C$501, 2,0)</f>
        <v>135</v>
      </c>
      <c r="O23" s="108">
        <f>VLOOKUP($A23, Stat!$A$1:$C$501, 3,0)</f>
        <v>0</v>
      </c>
      <c r="P23" s="53">
        <v>0</v>
      </c>
      <c r="Q23" s="53">
        <v>-1</v>
      </c>
      <c r="T23" s="53">
        <v>1</v>
      </c>
    </row>
    <row r="24" spans="1:20" ht="13.2" customHeight="1" x14ac:dyDescent="0.25">
      <c r="A24" s="53">
        <v>128</v>
      </c>
      <c r="B24" s="53" t="s">
        <v>39</v>
      </c>
      <c r="C24" s="53" t="s">
        <v>83</v>
      </c>
      <c r="D24" s="53" t="s">
        <v>124</v>
      </c>
      <c r="E24" s="57" t="s">
        <v>3</v>
      </c>
      <c r="F24" s="51"/>
      <c r="H24" s="61"/>
      <c r="K24" s="51"/>
      <c r="L24" s="51"/>
      <c r="M24" s="51"/>
      <c r="N24" s="108">
        <f>VLOOKUP($A24, Stat!$A$1:$C$501, 2,0)</f>
        <v>134</v>
      </c>
      <c r="O24" s="108">
        <f>VLOOKUP($A24, Stat!$A$1:$C$501, 3,0)</f>
        <v>0</v>
      </c>
      <c r="P24" s="53">
        <v>0</v>
      </c>
      <c r="Q24" s="53">
        <v>-1</v>
      </c>
      <c r="T24" s="53">
        <v>1</v>
      </c>
    </row>
    <row r="25" spans="1:20" ht="13.2" customHeight="1" x14ac:dyDescent="0.25">
      <c r="A25" s="53">
        <v>335</v>
      </c>
      <c r="B25" s="53" t="s">
        <v>41</v>
      </c>
      <c r="C25" s="53" t="s">
        <v>64</v>
      </c>
      <c r="D25" s="53" t="s">
        <v>428</v>
      </c>
      <c r="E25" s="53" t="s">
        <v>485</v>
      </c>
      <c r="F25" s="49">
        <v>1</v>
      </c>
      <c r="H25" s="61"/>
      <c r="N25" s="108">
        <f>VLOOKUP($A25, Stat!$A$1:$C$501, 2,0)</f>
        <v>121</v>
      </c>
      <c r="O25" s="108">
        <f>VLOOKUP($A25, Stat!$A$1:$C$501, 3,0)</f>
        <v>0</v>
      </c>
      <c r="P25" s="53">
        <v>30</v>
      </c>
      <c r="Q25" s="53">
        <v>0</v>
      </c>
      <c r="S25" s="53" t="s">
        <v>486</v>
      </c>
      <c r="T25" s="53">
        <v>1</v>
      </c>
    </row>
    <row r="26" spans="1:20" ht="13.2" customHeight="1" x14ac:dyDescent="0.25">
      <c r="A26" s="53">
        <v>9</v>
      </c>
      <c r="B26" s="53" t="s">
        <v>39</v>
      </c>
      <c r="C26" s="53" t="s">
        <v>15</v>
      </c>
      <c r="D26" s="53" t="s">
        <v>429</v>
      </c>
      <c r="E26" s="57" t="s">
        <v>432</v>
      </c>
      <c r="F26" s="51"/>
      <c r="H26" s="49">
        <v>1</v>
      </c>
      <c r="I26" s="49">
        <v>999</v>
      </c>
      <c r="K26" s="51"/>
      <c r="L26" s="51"/>
      <c r="M26" s="51"/>
      <c r="N26" s="108">
        <f>VLOOKUP($A26, Stat!$A$1:$C$501, 2,0)</f>
        <v>121</v>
      </c>
      <c r="O26" s="108">
        <f>VLOOKUP($A26, Stat!$A$1:$C$501, 3,0)</f>
        <v>35</v>
      </c>
      <c r="P26" s="53">
        <v>60</v>
      </c>
      <c r="Q26" s="53">
        <v>0</v>
      </c>
      <c r="S26" s="53" t="s">
        <v>434</v>
      </c>
      <c r="T26" s="53">
        <v>1</v>
      </c>
    </row>
    <row r="27" spans="1:20" ht="13.2" customHeight="1" x14ac:dyDescent="0.25">
      <c r="A27" s="53">
        <v>86</v>
      </c>
      <c r="B27" s="53" t="s">
        <v>41</v>
      </c>
      <c r="C27" s="53" t="s">
        <v>64</v>
      </c>
      <c r="D27" s="53" t="s">
        <v>214</v>
      </c>
      <c r="E27" s="57" t="s">
        <v>71</v>
      </c>
      <c r="F27" s="51"/>
      <c r="H27" s="61"/>
      <c r="K27" s="51"/>
      <c r="L27" s="51"/>
      <c r="M27" s="51"/>
      <c r="N27" s="108">
        <f>VLOOKUP($A27, Stat!$A$1:$C$501, 2,0)</f>
        <v>136</v>
      </c>
      <c r="O27" s="108">
        <f>VLOOKUP($A27, Stat!$A$1:$C$501, 3,0)</f>
        <v>1</v>
      </c>
      <c r="P27" s="53">
        <v>60</v>
      </c>
      <c r="Q27" s="53">
        <v>-1</v>
      </c>
      <c r="T27" s="53">
        <v>1</v>
      </c>
    </row>
    <row r="28" spans="1:20" ht="13.2" customHeight="1" x14ac:dyDescent="0.25">
      <c r="A28" s="53">
        <v>307</v>
      </c>
      <c r="B28" s="53" t="s">
        <v>41</v>
      </c>
      <c r="C28" s="53" t="s">
        <v>18</v>
      </c>
      <c r="D28" s="53" t="s">
        <v>402</v>
      </c>
      <c r="E28" s="53" t="s">
        <v>77</v>
      </c>
      <c r="F28" s="49">
        <v>1</v>
      </c>
      <c r="H28" s="61"/>
      <c r="N28" s="108">
        <f>VLOOKUP($A28, Stat!$A$1:$C$501, 2,0)</f>
        <v>109</v>
      </c>
      <c r="O28" s="108">
        <f>VLOOKUP($A28, Stat!$A$1:$C$501, 3,0)</f>
        <v>3</v>
      </c>
      <c r="P28" s="53">
        <v>30</v>
      </c>
      <c r="Q28" s="53">
        <v>0</v>
      </c>
      <c r="S28" s="53" t="s">
        <v>406</v>
      </c>
      <c r="T28" s="53">
        <v>1</v>
      </c>
    </row>
    <row r="29" spans="1:20" ht="13.2" customHeight="1" x14ac:dyDescent="0.25">
      <c r="A29" s="53">
        <v>187</v>
      </c>
      <c r="B29" s="53" t="s">
        <v>41</v>
      </c>
      <c r="C29" s="53" t="s">
        <v>64</v>
      </c>
      <c r="D29" s="53" t="s">
        <v>131</v>
      </c>
      <c r="E29" s="57" t="s">
        <v>182</v>
      </c>
      <c r="F29" s="51"/>
      <c r="H29" s="61"/>
      <c r="K29" s="50" t="s">
        <v>335</v>
      </c>
      <c r="L29" s="51"/>
      <c r="M29" s="51"/>
      <c r="N29" s="108">
        <f>VLOOKUP($A29, Stat!$A$1:$C$501, 2,0)</f>
        <v>108</v>
      </c>
      <c r="O29" s="108">
        <f>VLOOKUP($A29, Stat!$A$1:$C$501, 3,0)</f>
        <v>8</v>
      </c>
      <c r="P29" s="53">
        <v>60</v>
      </c>
      <c r="Q29" s="53">
        <v>0</v>
      </c>
      <c r="T29" s="53">
        <v>1</v>
      </c>
    </row>
    <row r="30" spans="1:20" ht="13.2" customHeight="1" x14ac:dyDescent="0.25">
      <c r="A30" s="53">
        <v>12</v>
      </c>
      <c r="B30" s="53" t="s">
        <v>39</v>
      </c>
      <c r="C30" s="53" t="s">
        <v>15</v>
      </c>
      <c r="D30" s="53" t="s">
        <v>56</v>
      </c>
      <c r="E30" s="57" t="s">
        <v>392</v>
      </c>
      <c r="F30" s="51"/>
      <c r="H30" s="49">
        <v>1</v>
      </c>
      <c r="K30" s="50" t="s">
        <v>273</v>
      </c>
      <c r="L30" s="51"/>
      <c r="M30" s="51"/>
      <c r="N30" s="108">
        <f>VLOOKUP($A30, Stat!$A$1:$C$501, 2,0)</f>
        <v>102</v>
      </c>
      <c r="O30" s="108">
        <f>VLOOKUP($A30, Stat!$A$1:$C$501, 3,0)</f>
        <v>38</v>
      </c>
      <c r="P30" s="53">
        <v>100</v>
      </c>
      <c r="Q30" s="53">
        <v>0</v>
      </c>
      <c r="S30" s="53" t="s">
        <v>394</v>
      </c>
      <c r="T30" s="53">
        <v>1</v>
      </c>
    </row>
    <row r="31" spans="1:20" ht="13.2" customHeight="1" x14ac:dyDescent="0.25">
      <c r="A31" s="53">
        <v>84</v>
      </c>
      <c r="B31" s="53" t="s">
        <v>41</v>
      </c>
      <c r="C31" s="53" t="s">
        <v>64</v>
      </c>
      <c r="D31" s="53" t="s">
        <v>214</v>
      </c>
      <c r="E31" s="57" t="s">
        <v>69</v>
      </c>
      <c r="F31" s="51"/>
      <c r="K31" s="51"/>
      <c r="L31" s="51"/>
      <c r="M31" s="51"/>
      <c r="N31" s="108">
        <f>VLOOKUP($A31, Stat!$A$1:$C$501, 2,0)</f>
        <v>94</v>
      </c>
      <c r="O31" s="108">
        <f>VLOOKUP($A31, Stat!$A$1:$C$501, 3,0)</f>
        <v>5</v>
      </c>
      <c r="P31" s="53">
        <v>60</v>
      </c>
      <c r="Q31" s="53">
        <v>0</v>
      </c>
      <c r="T31" s="53">
        <v>1</v>
      </c>
    </row>
    <row r="32" spans="1:20" ht="13.2" customHeight="1" x14ac:dyDescent="0.25">
      <c r="A32" s="53">
        <v>127</v>
      </c>
      <c r="B32" s="53" t="s">
        <v>39</v>
      </c>
      <c r="C32" s="53" t="s">
        <v>86</v>
      </c>
      <c r="D32" s="53" t="s">
        <v>86</v>
      </c>
      <c r="E32" s="57" t="s">
        <v>51</v>
      </c>
      <c r="F32" s="51"/>
      <c r="K32" s="50" t="s">
        <v>401</v>
      </c>
      <c r="L32" s="51"/>
      <c r="M32" s="51"/>
      <c r="N32" s="108">
        <f>VLOOKUP($A32, Stat!$A$1:$C$501, 2,0)</f>
        <v>96</v>
      </c>
      <c r="O32" s="108">
        <f>VLOOKUP($A32, Stat!$A$1:$C$501, 3,0)</f>
        <v>1</v>
      </c>
      <c r="P32" s="53">
        <v>100</v>
      </c>
      <c r="Q32" s="53">
        <v>0</v>
      </c>
      <c r="R32" s="53" t="s">
        <v>173</v>
      </c>
      <c r="T32" s="53">
        <v>1</v>
      </c>
    </row>
    <row r="33" spans="1:20" ht="13.2" customHeight="1" x14ac:dyDescent="0.25">
      <c r="A33" s="53">
        <v>47</v>
      </c>
      <c r="B33" s="53" t="s">
        <v>41</v>
      </c>
      <c r="C33" s="53" t="s">
        <v>64</v>
      </c>
      <c r="D33" s="53" t="s">
        <v>428</v>
      </c>
      <c r="E33" s="57" t="s">
        <v>550</v>
      </c>
      <c r="F33" s="51"/>
      <c r="K33" s="51"/>
      <c r="L33" s="51"/>
      <c r="M33" s="51"/>
      <c r="N33" s="108">
        <f>VLOOKUP($A33, Stat!$A$1:$C$501, 2,0)</f>
        <v>90</v>
      </c>
      <c r="O33" s="108">
        <f>VLOOKUP($A33, Stat!$A$1:$C$501, 3,0)</f>
        <v>4</v>
      </c>
      <c r="P33" s="53">
        <v>30</v>
      </c>
      <c r="Q33" s="53">
        <v>0</v>
      </c>
      <c r="S33" s="53" t="s">
        <v>426</v>
      </c>
      <c r="T33" s="53">
        <v>1</v>
      </c>
    </row>
    <row r="34" spans="1:20" ht="13.2" customHeight="1" x14ac:dyDescent="0.25">
      <c r="A34" s="53">
        <v>20</v>
      </c>
      <c r="B34" s="53" t="s">
        <v>41</v>
      </c>
      <c r="C34" s="53" t="s">
        <v>18</v>
      </c>
      <c r="D34" s="53" t="s">
        <v>20</v>
      </c>
      <c r="E34" s="57" t="s">
        <v>421</v>
      </c>
      <c r="F34" s="50" t="s">
        <v>272</v>
      </c>
      <c r="G34" s="49">
        <v>1</v>
      </c>
      <c r="K34" s="50"/>
      <c r="L34" s="51"/>
      <c r="M34" s="50" t="s">
        <v>270</v>
      </c>
      <c r="N34" s="108">
        <f>VLOOKUP($A34, Stat!$A$1:$C$501, 2,0)</f>
        <v>103</v>
      </c>
      <c r="O34" s="108">
        <f>VLOOKUP($A34, Stat!$A$1:$C$501, 3,0)</f>
        <v>1</v>
      </c>
      <c r="P34" s="53">
        <v>20</v>
      </c>
      <c r="Q34" s="53">
        <v>0</v>
      </c>
      <c r="T34" s="53">
        <v>1</v>
      </c>
    </row>
    <row r="35" spans="1:20" ht="13.2" customHeight="1" x14ac:dyDescent="0.25">
      <c r="A35" s="53">
        <v>11</v>
      </c>
      <c r="B35" s="53" t="s">
        <v>39</v>
      </c>
      <c r="C35" s="53" t="s">
        <v>17</v>
      </c>
      <c r="D35" s="53" t="s">
        <v>17</v>
      </c>
      <c r="E35" s="57" t="s">
        <v>190</v>
      </c>
      <c r="F35" s="51"/>
      <c r="J35" s="49">
        <v>1</v>
      </c>
      <c r="K35" s="51"/>
      <c r="L35" s="51"/>
      <c r="M35" s="51"/>
      <c r="N35" s="108">
        <f>VLOOKUP($A35, Stat!$A$1:$C$501, 2,0)</f>
        <v>112</v>
      </c>
      <c r="O35" s="108">
        <f>VLOOKUP($A35, Stat!$A$1:$C$501, 3,0)</f>
        <v>2</v>
      </c>
      <c r="P35" s="53">
        <v>70</v>
      </c>
      <c r="Q35" s="53">
        <v>0</v>
      </c>
      <c r="S35" s="53" t="s">
        <v>233</v>
      </c>
      <c r="T35" s="53">
        <v>1</v>
      </c>
    </row>
    <row r="36" spans="1:20" ht="13.2" customHeight="1" x14ac:dyDescent="0.25">
      <c r="A36" s="53">
        <v>126</v>
      </c>
      <c r="B36" s="53" t="s">
        <v>39</v>
      </c>
      <c r="C36" s="53" t="s">
        <v>86</v>
      </c>
      <c r="D36" s="53" t="s">
        <v>86</v>
      </c>
      <c r="E36" s="57" t="s">
        <v>5</v>
      </c>
      <c r="F36" s="51"/>
      <c r="K36" s="50" t="s">
        <v>400</v>
      </c>
      <c r="L36" s="51"/>
      <c r="M36" s="51"/>
      <c r="N36" s="108">
        <f>VLOOKUP($A36, Stat!$A$1:$C$501, 2,0)</f>
        <v>87</v>
      </c>
      <c r="O36" s="108">
        <f>VLOOKUP($A36, Stat!$A$1:$C$501, 3,0)</f>
        <v>1</v>
      </c>
      <c r="P36" s="53">
        <v>60</v>
      </c>
      <c r="Q36" s="53">
        <v>0</v>
      </c>
      <c r="R36" s="53" t="s">
        <v>173</v>
      </c>
      <c r="T36" s="53">
        <v>1</v>
      </c>
    </row>
    <row r="37" spans="1:20" ht="13.2" customHeight="1" x14ac:dyDescent="0.25">
      <c r="A37" s="53">
        <v>249</v>
      </c>
      <c r="B37" s="53" t="s">
        <v>41</v>
      </c>
      <c r="C37" s="53" t="s">
        <v>64</v>
      </c>
      <c r="D37" s="53" t="s">
        <v>216</v>
      </c>
      <c r="E37" s="57" t="s">
        <v>132</v>
      </c>
      <c r="F37" s="51"/>
      <c r="H37" s="49">
        <v>1</v>
      </c>
      <c r="K37" s="55"/>
      <c r="L37" s="51"/>
      <c r="M37" s="51"/>
      <c r="N37" s="108">
        <f>VLOOKUP($A37, Stat!$A$1:$C$501, 2,0)</f>
        <v>93</v>
      </c>
      <c r="O37" s="108">
        <f>VLOOKUP($A37, Stat!$A$1:$C$501, 3,0)</f>
        <v>17</v>
      </c>
      <c r="P37" s="53">
        <v>0</v>
      </c>
      <c r="Q37" s="53">
        <v>1</v>
      </c>
      <c r="R37" s="53" t="s">
        <v>456</v>
      </c>
      <c r="T37" s="53">
        <v>1</v>
      </c>
    </row>
    <row r="38" spans="1:20" ht="13.2" customHeight="1" x14ac:dyDescent="0.25">
      <c r="A38" s="53">
        <v>15</v>
      </c>
      <c r="B38" s="53" t="s">
        <v>39</v>
      </c>
      <c r="C38" s="53" t="s">
        <v>17</v>
      </c>
      <c r="D38" s="53" t="s">
        <v>364</v>
      </c>
      <c r="E38" s="57" t="s">
        <v>160</v>
      </c>
      <c r="F38" s="50"/>
      <c r="G38" s="49">
        <v>1</v>
      </c>
      <c r="J38" s="49">
        <v>1</v>
      </c>
      <c r="K38" s="51"/>
      <c r="L38" s="50"/>
      <c r="M38" s="50"/>
      <c r="N38" s="108">
        <f>VLOOKUP($A38, Stat!$A$1:$C$501, 2,0)</f>
        <v>87</v>
      </c>
      <c r="O38" s="108">
        <f>VLOOKUP($A38, Stat!$A$1:$C$501, 3,0)</f>
        <v>2</v>
      </c>
      <c r="P38" s="53">
        <v>0</v>
      </c>
      <c r="Q38" s="53">
        <v>0</v>
      </c>
      <c r="S38" s="53" t="s">
        <v>511</v>
      </c>
      <c r="T38" s="53">
        <v>1</v>
      </c>
    </row>
    <row r="39" spans="1:20" ht="13.2" customHeight="1" x14ac:dyDescent="0.25">
      <c r="A39" s="53">
        <v>6</v>
      </c>
      <c r="B39" s="53" t="s">
        <v>39</v>
      </c>
      <c r="C39" s="53" t="s">
        <v>7</v>
      </c>
      <c r="D39" s="53" t="s">
        <v>11</v>
      </c>
      <c r="E39" s="57" t="s">
        <v>12</v>
      </c>
      <c r="F39" s="51"/>
      <c r="H39" s="49">
        <v>1</v>
      </c>
      <c r="K39" s="51"/>
      <c r="L39" s="51"/>
      <c r="M39" s="51"/>
      <c r="N39" s="108">
        <f>VLOOKUP($A39, Stat!$A$1:$C$501, 2,0)</f>
        <v>80</v>
      </c>
      <c r="O39" s="108">
        <f>VLOOKUP($A39, Stat!$A$1:$C$501, 3,0)</f>
        <v>22</v>
      </c>
      <c r="P39" s="53">
        <v>60</v>
      </c>
      <c r="Q39" s="53">
        <v>0</v>
      </c>
      <c r="T39" s="53">
        <v>1</v>
      </c>
    </row>
    <row r="40" spans="1:20" ht="13.2" customHeight="1" x14ac:dyDescent="0.25">
      <c r="A40" s="53">
        <v>120</v>
      </c>
      <c r="B40" s="53" t="s">
        <v>39</v>
      </c>
      <c r="C40" s="53" t="s">
        <v>87</v>
      </c>
      <c r="D40" s="53" t="s">
        <v>98</v>
      </c>
      <c r="E40" s="57" t="s">
        <v>3</v>
      </c>
      <c r="F40" s="51"/>
      <c r="I40" s="49">
        <v>999</v>
      </c>
      <c r="K40" s="50"/>
      <c r="L40" s="51"/>
      <c r="M40" s="51"/>
      <c r="N40" s="108">
        <f>VLOOKUP($A40, Stat!$A$1:$C$501, 2,0)</f>
        <v>84</v>
      </c>
      <c r="O40" s="108">
        <f>VLOOKUP($A40, Stat!$A$1:$C$501, 3,0)</f>
        <v>0</v>
      </c>
      <c r="P40" s="53">
        <v>0</v>
      </c>
      <c r="Q40" s="53">
        <v>-1</v>
      </c>
      <c r="T40" s="53">
        <v>1</v>
      </c>
    </row>
    <row r="41" spans="1:20" ht="13.2" customHeight="1" x14ac:dyDescent="0.25">
      <c r="A41" s="53">
        <v>101</v>
      </c>
      <c r="B41" s="53" t="s">
        <v>39</v>
      </c>
      <c r="C41" s="53" t="s">
        <v>87</v>
      </c>
      <c r="D41" s="53" t="s">
        <v>82</v>
      </c>
      <c r="E41" s="57" t="s">
        <v>4</v>
      </c>
      <c r="F41" s="51"/>
      <c r="K41" s="51"/>
      <c r="L41" s="51"/>
      <c r="M41" s="51"/>
      <c r="N41" s="108">
        <f>VLOOKUP($A41, Stat!$A$1:$C$501, 2,0)</f>
        <v>77</v>
      </c>
      <c r="O41" s="108">
        <f>VLOOKUP($A41, Stat!$A$1:$C$501, 3,0)</f>
        <v>0</v>
      </c>
      <c r="P41" s="53">
        <v>0</v>
      </c>
      <c r="Q41" s="53">
        <v>-1</v>
      </c>
      <c r="R41" s="53" t="s">
        <v>439</v>
      </c>
      <c r="T41" s="53">
        <v>1</v>
      </c>
    </row>
    <row r="42" spans="1:20" ht="13.2" customHeight="1" x14ac:dyDescent="0.25">
      <c r="A42" s="53">
        <v>43</v>
      </c>
      <c r="B42" s="53" t="s">
        <v>39</v>
      </c>
      <c r="C42" s="53" t="s">
        <v>87</v>
      </c>
      <c r="D42" s="53" t="s">
        <v>99</v>
      </c>
      <c r="E42" s="57" t="s">
        <v>4</v>
      </c>
      <c r="F42" s="51"/>
      <c r="I42" s="49">
        <v>999</v>
      </c>
      <c r="K42" s="51"/>
      <c r="L42" s="51"/>
      <c r="M42" s="51"/>
      <c r="N42" s="108">
        <f>VLOOKUP($A42, Stat!$A$1:$C$501, 2,0)</f>
        <v>76</v>
      </c>
      <c r="O42" s="108">
        <f>VLOOKUP($A42, Stat!$A$1:$C$501, 3,0)</f>
        <v>0</v>
      </c>
      <c r="P42" s="53">
        <v>0</v>
      </c>
      <c r="Q42" s="53">
        <v>-1</v>
      </c>
      <c r="R42" s="53" t="s">
        <v>88</v>
      </c>
      <c r="T42" s="53">
        <v>1</v>
      </c>
    </row>
    <row r="43" spans="1:20" ht="13.2" customHeight="1" x14ac:dyDescent="0.25">
      <c r="A43" s="53">
        <v>79</v>
      </c>
      <c r="B43" s="53" t="s">
        <v>39</v>
      </c>
      <c r="C43" s="53" t="s">
        <v>15</v>
      </c>
      <c r="D43" s="53" t="s">
        <v>56</v>
      </c>
      <c r="E43" s="57" t="s">
        <v>146</v>
      </c>
      <c r="F43" s="51"/>
      <c r="J43" s="49">
        <v>1</v>
      </c>
      <c r="K43" s="51"/>
      <c r="L43" s="51"/>
      <c r="M43" s="51"/>
      <c r="N43" s="108">
        <f>VLOOKUP($A43, Stat!$A$1:$C$501, 2,0)</f>
        <v>81</v>
      </c>
      <c r="O43" s="108">
        <f>VLOOKUP($A43, Stat!$A$1:$C$501, 3,0)</f>
        <v>0</v>
      </c>
      <c r="P43" s="53">
        <v>30</v>
      </c>
      <c r="Q43" s="53">
        <v>-1</v>
      </c>
      <c r="S43" s="53" t="s">
        <v>385</v>
      </c>
      <c r="T43" s="53">
        <v>1</v>
      </c>
    </row>
    <row r="44" spans="1:20" ht="13.2" customHeight="1" x14ac:dyDescent="0.25">
      <c r="A44" s="53">
        <v>92</v>
      </c>
      <c r="B44" s="53" t="s">
        <v>41</v>
      </c>
      <c r="C44" s="53" t="s">
        <v>18</v>
      </c>
      <c r="D44" s="53" t="s">
        <v>97</v>
      </c>
      <c r="E44" s="57" t="s">
        <v>96</v>
      </c>
      <c r="F44" s="50" t="s">
        <v>272</v>
      </c>
      <c r="K44" s="50"/>
      <c r="L44" s="51"/>
      <c r="M44" s="50" t="s">
        <v>270</v>
      </c>
      <c r="N44" s="108">
        <f>VLOOKUP($A44, Stat!$A$1:$C$501, 2,0)</f>
        <v>88</v>
      </c>
      <c r="O44" s="108">
        <f>VLOOKUP($A44, Stat!$A$1:$C$501, 3,0)</f>
        <v>1</v>
      </c>
      <c r="P44" s="53">
        <v>0</v>
      </c>
      <c r="Q44" s="53">
        <v>-1</v>
      </c>
      <c r="T44" s="53">
        <v>1</v>
      </c>
    </row>
    <row r="45" spans="1:20" ht="13.2" customHeight="1" x14ac:dyDescent="0.25">
      <c r="A45" s="53">
        <v>306</v>
      </c>
      <c r="B45" s="53" t="s">
        <v>41</v>
      </c>
      <c r="C45" s="53" t="s">
        <v>18</v>
      </c>
      <c r="D45" s="53" t="s">
        <v>402</v>
      </c>
      <c r="E45" s="53" t="s">
        <v>556</v>
      </c>
      <c r="F45" s="49">
        <v>1</v>
      </c>
      <c r="N45" s="108">
        <f>VLOOKUP($A45, Stat!$A$1:$C$501, 2,0)</f>
        <v>67</v>
      </c>
      <c r="O45" s="108">
        <f>VLOOKUP($A45, Stat!$A$1:$C$501, 3,0)</f>
        <v>5</v>
      </c>
      <c r="P45" s="53">
        <v>0</v>
      </c>
      <c r="Q45" s="53">
        <v>1</v>
      </c>
      <c r="S45" s="53" t="s">
        <v>405</v>
      </c>
      <c r="T45" s="53">
        <v>1</v>
      </c>
    </row>
    <row r="46" spans="1:20" ht="13.2" customHeight="1" x14ac:dyDescent="0.25">
      <c r="A46" s="53">
        <v>108</v>
      </c>
      <c r="B46" s="53" t="s">
        <v>39</v>
      </c>
      <c r="C46" s="53" t="s">
        <v>83</v>
      </c>
      <c r="D46" s="53" t="s">
        <v>126</v>
      </c>
      <c r="E46" s="57" t="s">
        <v>3</v>
      </c>
      <c r="F46" s="51"/>
      <c r="K46" s="50" t="s">
        <v>264</v>
      </c>
      <c r="L46" s="51"/>
      <c r="M46" s="51"/>
      <c r="N46" s="108">
        <f>VLOOKUP($A46, Stat!$A$1:$C$501, 2,0)</f>
        <v>68</v>
      </c>
      <c r="O46" s="108">
        <f>VLOOKUP($A46, Stat!$A$1:$C$501, 3,0)</f>
        <v>0</v>
      </c>
      <c r="P46" s="53">
        <v>0</v>
      </c>
      <c r="Q46" s="53">
        <v>-1</v>
      </c>
      <c r="T46" s="53">
        <v>1</v>
      </c>
    </row>
    <row r="47" spans="1:20" ht="13.2" customHeight="1" x14ac:dyDescent="0.25">
      <c r="A47" s="53">
        <v>44</v>
      </c>
      <c r="B47" s="53" t="s">
        <v>39</v>
      </c>
      <c r="C47" s="53" t="s">
        <v>87</v>
      </c>
      <c r="D47" s="53" t="s">
        <v>99</v>
      </c>
      <c r="E47" s="57" t="s">
        <v>5</v>
      </c>
      <c r="F47" s="51"/>
      <c r="I47" s="49">
        <v>999</v>
      </c>
      <c r="K47" s="51"/>
      <c r="L47" s="51"/>
      <c r="M47" s="51"/>
      <c r="N47" s="108">
        <f>VLOOKUP($A47, Stat!$A$1:$C$501, 2,0)</f>
        <v>65</v>
      </c>
      <c r="O47" s="108">
        <f>VLOOKUP($A47, Stat!$A$1:$C$501, 3,0)</f>
        <v>0</v>
      </c>
      <c r="P47" s="53">
        <v>40</v>
      </c>
      <c r="Q47" s="53">
        <v>-1</v>
      </c>
      <c r="R47" s="53" t="s">
        <v>88</v>
      </c>
      <c r="T47" s="53">
        <v>1</v>
      </c>
    </row>
    <row r="48" spans="1:20" ht="13.2" customHeight="1" x14ac:dyDescent="0.25">
      <c r="A48" s="53">
        <v>69</v>
      </c>
      <c r="B48" s="53" t="s">
        <v>39</v>
      </c>
      <c r="C48" s="53" t="s">
        <v>17</v>
      </c>
      <c r="D48" s="53" t="s">
        <v>100</v>
      </c>
      <c r="E48" s="57" t="s">
        <v>102</v>
      </c>
      <c r="F48" s="51"/>
      <c r="H48" s="49">
        <v>1</v>
      </c>
      <c r="K48" s="51"/>
      <c r="L48" s="51"/>
      <c r="M48" s="51"/>
      <c r="N48" s="108">
        <f>VLOOKUP($A48, Stat!$A$1:$C$501, 2,0)</f>
        <v>62</v>
      </c>
      <c r="O48" s="108">
        <f>VLOOKUP($A48, Stat!$A$1:$C$501, 3,0)</f>
        <v>15</v>
      </c>
      <c r="P48" s="53">
        <v>100</v>
      </c>
      <c r="Q48" s="53">
        <v>0</v>
      </c>
      <c r="T48" s="53">
        <v>1</v>
      </c>
    </row>
    <row r="49" spans="1:20" ht="13.2" customHeight="1" x14ac:dyDescent="0.25">
      <c r="A49" s="53">
        <v>140</v>
      </c>
      <c r="B49" s="53" t="s">
        <v>39</v>
      </c>
      <c r="C49" s="53" t="s">
        <v>83</v>
      </c>
      <c r="D49" s="53" t="s">
        <v>125</v>
      </c>
      <c r="E49" s="57" t="s">
        <v>3</v>
      </c>
      <c r="F49" s="51"/>
      <c r="K49" s="50" t="s">
        <v>260</v>
      </c>
      <c r="L49" s="51"/>
      <c r="M49" s="51"/>
      <c r="N49" s="108">
        <f>VLOOKUP($A49, Stat!$A$1:$C$501, 2,0)</f>
        <v>68</v>
      </c>
      <c r="O49" s="108">
        <f>VLOOKUP($A49, Stat!$A$1:$C$501, 3,0)</f>
        <v>0</v>
      </c>
      <c r="P49" s="53">
        <v>0</v>
      </c>
      <c r="Q49" s="53">
        <v>-1</v>
      </c>
      <c r="T49" s="53">
        <v>1</v>
      </c>
    </row>
    <row r="50" spans="1:20" ht="13.2" customHeight="1" x14ac:dyDescent="0.25">
      <c r="A50" s="53">
        <v>204</v>
      </c>
      <c r="B50" s="53" t="s">
        <v>39</v>
      </c>
      <c r="C50" s="53" t="s">
        <v>86</v>
      </c>
      <c r="D50" s="53" t="s">
        <v>191</v>
      </c>
      <c r="E50" s="57" t="s">
        <v>3</v>
      </c>
      <c r="F50" s="51"/>
      <c r="K50" s="51"/>
      <c r="L50" s="51"/>
      <c r="M50" s="51"/>
      <c r="N50" s="108">
        <f>VLOOKUP($A50, Stat!$A$1:$C$501, 2,0)</f>
        <v>62</v>
      </c>
      <c r="O50" s="108">
        <f>VLOOKUP($A50, Stat!$A$1:$C$501, 3,0)</f>
        <v>0</v>
      </c>
      <c r="P50" s="53">
        <v>0</v>
      </c>
      <c r="Q50" s="53">
        <v>-1</v>
      </c>
      <c r="T50" s="53">
        <v>1</v>
      </c>
    </row>
    <row r="51" spans="1:20" ht="13.2" customHeight="1" x14ac:dyDescent="0.25">
      <c r="A51" s="53">
        <v>102</v>
      </c>
      <c r="B51" s="53" t="s">
        <v>39</v>
      </c>
      <c r="C51" s="53" t="s">
        <v>87</v>
      </c>
      <c r="D51" s="53" t="s">
        <v>82</v>
      </c>
      <c r="E51" s="57" t="s">
        <v>5</v>
      </c>
      <c r="F51" s="51"/>
      <c r="K51" s="51"/>
      <c r="L51" s="51"/>
      <c r="M51" s="51"/>
      <c r="N51" s="108">
        <f>VLOOKUP($A51, Stat!$A$1:$C$501, 2,0)</f>
        <v>64</v>
      </c>
      <c r="O51" s="108">
        <f>VLOOKUP($A51, Stat!$A$1:$C$501, 3,0)</f>
        <v>0</v>
      </c>
      <c r="P51" s="53">
        <v>40</v>
      </c>
      <c r="Q51" s="53">
        <v>-1</v>
      </c>
      <c r="R51" s="53" t="s">
        <v>439</v>
      </c>
      <c r="T51" s="53">
        <v>1</v>
      </c>
    </row>
    <row r="52" spans="1:20" ht="13.2" customHeight="1" x14ac:dyDescent="0.25">
      <c r="A52" s="53">
        <v>176</v>
      </c>
      <c r="B52" s="53" t="s">
        <v>39</v>
      </c>
      <c r="C52" s="53" t="s">
        <v>7</v>
      </c>
      <c r="D52" s="53" t="s">
        <v>118</v>
      </c>
      <c r="E52" s="57" t="s">
        <v>121</v>
      </c>
      <c r="F52" s="51"/>
      <c r="H52" s="49">
        <v>1</v>
      </c>
      <c r="K52" s="51"/>
      <c r="L52" s="51"/>
      <c r="M52" s="51"/>
      <c r="N52" s="108">
        <f>VLOOKUP($A52, Stat!$A$1:$C$501, 2,0)</f>
        <v>68</v>
      </c>
      <c r="O52" s="108">
        <f>VLOOKUP($A52, Stat!$A$1:$C$501, 3,0)</f>
        <v>4</v>
      </c>
      <c r="P52" s="53">
        <v>0</v>
      </c>
      <c r="Q52" s="53">
        <v>-1</v>
      </c>
      <c r="T52" s="53">
        <v>1</v>
      </c>
    </row>
    <row r="53" spans="1:20" ht="13.2" customHeight="1" x14ac:dyDescent="0.25">
      <c r="A53" s="53">
        <v>78</v>
      </c>
      <c r="B53" s="53" t="s">
        <v>39</v>
      </c>
      <c r="C53" s="53" t="s">
        <v>15</v>
      </c>
      <c r="D53" s="53" t="s">
        <v>56</v>
      </c>
      <c r="E53" s="57" t="s">
        <v>144</v>
      </c>
      <c r="F53" s="51"/>
      <c r="J53" s="49">
        <v>1</v>
      </c>
      <c r="K53" s="51"/>
      <c r="L53" s="51"/>
      <c r="M53" s="51"/>
      <c r="N53" s="108">
        <f>VLOOKUP($A53, Stat!$A$1:$C$501, 2,0)</f>
        <v>66</v>
      </c>
      <c r="O53" s="108">
        <f>VLOOKUP($A53, Stat!$A$1:$C$501, 3,0)</f>
        <v>1</v>
      </c>
      <c r="P53" s="53">
        <v>60</v>
      </c>
      <c r="Q53" s="53">
        <v>-1</v>
      </c>
      <c r="S53" s="53" t="s">
        <v>385</v>
      </c>
      <c r="T53" s="53">
        <v>1</v>
      </c>
    </row>
    <row r="54" spans="1:20" ht="13.2" customHeight="1" x14ac:dyDescent="0.25">
      <c r="A54" s="53">
        <v>250</v>
      </c>
      <c r="B54" s="53" t="s">
        <v>41</v>
      </c>
      <c r="C54" s="53" t="s">
        <v>64</v>
      </c>
      <c r="D54" s="53" t="s">
        <v>216</v>
      </c>
      <c r="E54" s="57" t="s">
        <v>215</v>
      </c>
      <c r="F54" s="51"/>
      <c r="H54" s="49">
        <v>1</v>
      </c>
      <c r="K54" s="50" t="s">
        <v>274</v>
      </c>
      <c r="L54" s="51"/>
      <c r="M54" s="51"/>
      <c r="N54" s="108">
        <f>VLOOKUP($A54, Stat!$A$1:$C$501, 2,0)</f>
        <v>60</v>
      </c>
      <c r="O54" s="108">
        <f>VLOOKUP($A54, Stat!$A$1:$C$501, 3,0)</f>
        <v>12</v>
      </c>
      <c r="P54" s="53">
        <v>60</v>
      </c>
      <c r="Q54" s="53">
        <v>0</v>
      </c>
      <c r="R54" s="53" t="s">
        <v>456</v>
      </c>
      <c r="S54" s="53" t="s">
        <v>239</v>
      </c>
      <c r="T54" s="53">
        <v>1</v>
      </c>
    </row>
    <row r="55" spans="1:20" ht="13.2" customHeight="1" x14ac:dyDescent="0.25">
      <c r="A55" s="53">
        <v>27</v>
      </c>
      <c r="B55" s="53" t="s">
        <v>39</v>
      </c>
      <c r="C55" s="53" t="s">
        <v>7</v>
      </c>
      <c r="D55" s="53" t="s">
        <v>10</v>
      </c>
      <c r="E55" s="57" t="s">
        <v>54</v>
      </c>
      <c r="F55" s="51"/>
      <c r="K55" s="51"/>
      <c r="L55" s="51"/>
      <c r="M55" s="51"/>
      <c r="N55" s="108">
        <f>VLOOKUP($A55, Stat!$A$1:$C$501, 2,0)</f>
        <v>54</v>
      </c>
      <c r="O55" s="108">
        <f>VLOOKUP($A55, Stat!$A$1:$C$501, 3,0)</f>
        <v>1</v>
      </c>
      <c r="P55" s="53">
        <v>100</v>
      </c>
      <c r="Q55" s="53">
        <v>0</v>
      </c>
      <c r="T55" s="53">
        <v>1</v>
      </c>
    </row>
    <row r="56" spans="1:20" ht="13.2" customHeight="1" x14ac:dyDescent="0.25">
      <c r="A56" s="53">
        <v>129</v>
      </c>
      <c r="B56" s="53" t="s">
        <v>39</v>
      </c>
      <c r="C56" s="53" t="s">
        <v>83</v>
      </c>
      <c r="D56" s="53" t="s">
        <v>124</v>
      </c>
      <c r="E56" s="57" t="s">
        <v>4</v>
      </c>
      <c r="F56" s="51"/>
      <c r="K56" s="51"/>
      <c r="L56" s="51"/>
      <c r="M56" s="51"/>
      <c r="N56" s="108">
        <f>VLOOKUP($A56, Stat!$A$1:$C$501, 2,0)</f>
        <v>61</v>
      </c>
      <c r="O56" s="108">
        <f>VLOOKUP($A56, Stat!$A$1:$C$501, 3,0)</f>
        <v>0</v>
      </c>
      <c r="P56" s="53">
        <v>0</v>
      </c>
      <c r="Q56" s="53">
        <v>-1</v>
      </c>
      <c r="T56" s="53">
        <v>1</v>
      </c>
    </row>
    <row r="57" spans="1:20" ht="13.2" customHeight="1" x14ac:dyDescent="0.25">
      <c r="A57" s="53">
        <v>241</v>
      </c>
      <c r="B57" s="53" t="s">
        <v>41</v>
      </c>
      <c r="C57" s="53" t="s">
        <v>208</v>
      </c>
      <c r="D57" s="53" t="s">
        <v>374</v>
      </c>
      <c r="E57" s="57" t="s">
        <v>198</v>
      </c>
      <c r="F57" s="51"/>
      <c r="H57" s="49">
        <v>1</v>
      </c>
      <c r="K57" s="51"/>
      <c r="L57" s="51"/>
      <c r="M57" s="51"/>
      <c r="N57" s="108">
        <f>VLOOKUP($A57, Stat!$A$1:$C$501, 2,0)</f>
        <v>69</v>
      </c>
      <c r="O57" s="108">
        <f>VLOOKUP($A57, Stat!$A$1:$C$501, 3,0)</f>
        <v>14</v>
      </c>
      <c r="P57" s="53">
        <v>0</v>
      </c>
      <c r="Q57" s="53">
        <v>1</v>
      </c>
      <c r="T57" s="53">
        <v>1</v>
      </c>
    </row>
    <row r="58" spans="1:20" ht="13.2" customHeight="1" x14ac:dyDescent="0.25">
      <c r="A58" s="53">
        <v>13</v>
      </c>
      <c r="B58" s="53" t="s">
        <v>41</v>
      </c>
      <c r="C58" s="53" t="s">
        <v>531</v>
      </c>
      <c r="D58" s="53" t="s">
        <v>74</v>
      </c>
      <c r="E58" s="57" t="s">
        <v>541</v>
      </c>
      <c r="F58" s="51"/>
      <c r="H58" s="49">
        <v>1</v>
      </c>
      <c r="K58" s="51"/>
      <c r="L58" s="51"/>
      <c r="M58" s="51"/>
      <c r="N58" s="108">
        <f>VLOOKUP($A58, Stat!$A$1:$C$501, 2,0)</f>
        <v>57</v>
      </c>
      <c r="O58" s="108">
        <f>VLOOKUP($A58, Stat!$A$1:$C$501, 3,0)</f>
        <v>8</v>
      </c>
      <c r="P58" s="53">
        <v>30</v>
      </c>
      <c r="Q58" s="53">
        <v>0</v>
      </c>
      <c r="T58" s="53">
        <v>1</v>
      </c>
    </row>
    <row r="59" spans="1:20" ht="13.2" customHeight="1" x14ac:dyDescent="0.25">
      <c r="A59" s="53">
        <v>287</v>
      </c>
      <c r="B59" s="53" t="s">
        <v>41</v>
      </c>
      <c r="C59" s="53" t="s">
        <v>251</v>
      </c>
      <c r="D59" s="53" t="s">
        <v>340</v>
      </c>
      <c r="E59" s="53" t="s">
        <v>321</v>
      </c>
      <c r="K59" s="49">
        <v>225</v>
      </c>
      <c r="N59" s="108">
        <f>VLOOKUP($A59, Stat!$A$1:$C$501, 2,0)</f>
        <v>56</v>
      </c>
      <c r="O59" s="108">
        <f>VLOOKUP($A59, Stat!$A$1:$C$501, 3,0)</f>
        <v>21</v>
      </c>
      <c r="P59" s="53">
        <v>0</v>
      </c>
      <c r="Q59" s="53">
        <v>1</v>
      </c>
      <c r="S59" s="53" t="s">
        <v>360</v>
      </c>
      <c r="T59" s="53">
        <v>1</v>
      </c>
    </row>
    <row r="60" spans="1:20" ht="13.2" customHeight="1" x14ac:dyDescent="0.25">
      <c r="A60" s="53">
        <v>175</v>
      </c>
      <c r="B60" s="53" t="s">
        <v>39</v>
      </c>
      <c r="C60" s="53" t="s">
        <v>7</v>
      </c>
      <c r="D60" s="53" t="s">
        <v>118</v>
      </c>
      <c r="E60" s="57" t="s">
        <v>120</v>
      </c>
      <c r="F60" s="51"/>
      <c r="H60" s="49">
        <v>1</v>
      </c>
      <c r="K60" s="51"/>
      <c r="L60" s="51"/>
      <c r="M60" s="51"/>
      <c r="N60" s="108">
        <f>VLOOKUP($A60, Stat!$A$1:$C$501, 2,0)</f>
        <v>60</v>
      </c>
      <c r="O60" s="108">
        <f>VLOOKUP($A60, Stat!$A$1:$C$501, 3,0)</f>
        <v>5</v>
      </c>
      <c r="P60" s="53">
        <v>0</v>
      </c>
      <c r="Q60" s="53">
        <v>-1</v>
      </c>
      <c r="T60" s="53">
        <v>1</v>
      </c>
    </row>
    <row r="61" spans="1:20" ht="13.2" customHeight="1" x14ac:dyDescent="0.25">
      <c r="A61" s="53">
        <v>239</v>
      </c>
      <c r="B61" s="53" t="s">
        <v>41</v>
      </c>
      <c r="C61" s="53" t="s">
        <v>208</v>
      </c>
      <c r="D61" s="53" t="s">
        <v>219</v>
      </c>
      <c r="E61" s="57" t="s">
        <v>309</v>
      </c>
      <c r="F61" s="51"/>
      <c r="H61" s="49">
        <v>1</v>
      </c>
      <c r="K61" s="51"/>
      <c r="L61" s="51"/>
      <c r="M61" s="51"/>
      <c r="N61" s="108">
        <f>VLOOKUP($A61, Stat!$A$1:$C$501, 2,0)</f>
        <v>62</v>
      </c>
      <c r="O61" s="108">
        <f>VLOOKUP($A61, Stat!$A$1:$C$501, 3,0)</f>
        <v>15</v>
      </c>
      <c r="P61" s="53">
        <v>0</v>
      </c>
      <c r="Q61" s="53">
        <v>1</v>
      </c>
      <c r="T61" s="53">
        <v>1</v>
      </c>
    </row>
    <row r="62" spans="1:20" ht="13.2" customHeight="1" x14ac:dyDescent="0.25">
      <c r="A62" s="53">
        <v>46</v>
      </c>
      <c r="B62" s="53" t="s">
        <v>41</v>
      </c>
      <c r="C62" s="53" t="s">
        <v>64</v>
      </c>
      <c r="D62" s="53" t="s">
        <v>95</v>
      </c>
      <c r="E62" s="57" t="s">
        <v>135</v>
      </c>
      <c r="F62" s="51"/>
      <c r="K62" s="51"/>
      <c r="L62" s="51"/>
      <c r="M62" s="51"/>
      <c r="N62" s="108">
        <f>VLOOKUP($A62, Stat!$A$1:$C$501, 2,0)</f>
        <v>54</v>
      </c>
      <c r="O62" s="108">
        <f>VLOOKUP($A62, Stat!$A$1:$C$501, 3,0)</f>
        <v>0</v>
      </c>
      <c r="P62" s="53">
        <v>60</v>
      </c>
      <c r="Q62" s="53">
        <v>-1</v>
      </c>
      <c r="T62" s="53">
        <v>1</v>
      </c>
    </row>
    <row r="63" spans="1:20" ht="13.2" customHeight="1" x14ac:dyDescent="0.25">
      <c r="A63" s="53">
        <v>133</v>
      </c>
      <c r="B63" s="53" t="s">
        <v>39</v>
      </c>
      <c r="C63" s="53" t="s">
        <v>83</v>
      </c>
      <c r="D63" s="53" t="s">
        <v>127</v>
      </c>
      <c r="E63" s="57" t="s">
        <v>4</v>
      </c>
      <c r="F63" s="51"/>
      <c r="K63" s="51"/>
      <c r="L63" s="51"/>
      <c r="M63" s="51"/>
      <c r="N63" s="108">
        <f>VLOOKUP($A63, Stat!$A$1:$C$501, 2,0)</f>
        <v>53</v>
      </c>
      <c r="O63" s="108">
        <f>VLOOKUP($A63, Stat!$A$1:$C$501, 3,0)</f>
        <v>0</v>
      </c>
      <c r="P63" s="53">
        <v>0</v>
      </c>
      <c r="Q63" s="53">
        <v>1</v>
      </c>
      <c r="T63" s="53">
        <v>1</v>
      </c>
    </row>
    <row r="64" spans="1:20" ht="13.2" customHeight="1" x14ac:dyDescent="0.25">
      <c r="A64" s="53">
        <v>32</v>
      </c>
      <c r="B64" s="53" t="s">
        <v>39</v>
      </c>
      <c r="C64" s="53" t="s">
        <v>16</v>
      </c>
      <c r="D64" s="53" t="s">
        <v>16</v>
      </c>
      <c r="E64" s="57" t="s">
        <v>23</v>
      </c>
      <c r="F64" s="51"/>
      <c r="H64" s="49">
        <v>1</v>
      </c>
      <c r="K64" s="51"/>
      <c r="L64" s="51"/>
      <c r="M64" s="51"/>
      <c r="N64" s="108">
        <f>VLOOKUP($A64, Stat!$A$1:$C$501, 2,0)</f>
        <v>51</v>
      </c>
      <c r="O64" s="108">
        <f>VLOOKUP($A64, Stat!$A$1:$C$501, 3,0)</f>
        <v>3</v>
      </c>
      <c r="P64" s="53">
        <v>100</v>
      </c>
      <c r="Q64" s="53">
        <v>-1</v>
      </c>
      <c r="T64" s="53">
        <v>1</v>
      </c>
    </row>
    <row r="65" spans="1:20" ht="13.2" customHeight="1" x14ac:dyDescent="0.25">
      <c r="A65" s="53">
        <v>60</v>
      </c>
      <c r="B65" s="53" t="s">
        <v>39</v>
      </c>
      <c r="C65" s="53" t="s">
        <v>83</v>
      </c>
      <c r="D65" s="53" t="s">
        <v>128</v>
      </c>
      <c r="E65" s="57" t="s">
        <v>4</v>
      </c>
      <c r="F65" s="51"/>
      <c r="K65" s="51"/>
      <c r="L65" s="51"/>
      <c r="M65" s="51"/>
      <c r="N65" s="108">
        <f>VLOOKUP($A65, Stat!$A$1:$C$501, 2,0)</f>
        <v>52</v>
      </c>
      <c r="O65" s="108">
        <f>VLOOKUP($A65, Stat!$A$1:$C$501, 3,0)</f>
        <v>0</v>
      </c>
      <c r="P65" s="53">
        <v>0</v>
      </c>
      <c r="Q65" s="53">
        <v>1</v>
      </c>
      <c r="T65" s="53">
        <v>1</v>
      </c>
    </row>
    <row r="66" spans="1:20" ht="13.2" customHeight="1" x14ac:dyDescent="0.25">
      <c r="A66" s="53">
        <v>81</v>
      </c>
      <c r="B66" s="53" t="s">
        <v>41</v>
      </c>
      <c r="C66" s="53" t="s">
        <v>64</v>
      </c>
      <c r="D66" s="53" t="s">
        <v>70</v>
      </c>
      <c r="E66" s="57" t="s">
        <v>66</v>
      </c>
      <c r="F66" s="51"/>
      <c r="K66" s="51"/>
      <c r="L66" s="51"/>
      <c r="M66" s="51"/>
      <c r="N66" s="108">
        <f>VLOOKUP($A66, Stat!$A$1:$C$501, 2,0)</f>
        <v>51</v>
      </c>
      <c r="O66" s="108">
        <f>VLOOKUP($A66, Stat!$A$1:$C$501, 3,0)</f>
        <v>2</v>
      </c>
      <c r="P66" s="53">
        <v>60</v>
      </c>
      <c r="Q66" s="53">
        <v>1</v>
      </c>
      <c r="T66" s="53">
        <v>1</v>
      </c>
    </row>
    <row r="67" spans="1:20" ht="13.2" customHeight="1" x14ac:dyDescent="0.25">
      <c r="A67" s="53">
        <v>31</v>
      </c>
      <c r="B67" s="53" t="s">
        <v>39</v>
      </c>
      <c r="C67" s="53" t="s">
        <v>16</v>
      </c>
      <c r="D67" s="53" t="s">
        <v>16</v>
      </c>
      <c r="E67" s="57" t="s">
        <v>50</v>
      </c>
      <c r="F67" s="51"/>
      <c r="K67" s="50" t="s">
        <v>314</v>
      </c>
      <c r="L67" s="51"/>
      <c r="M67" s="51"/>
      <c r="N67" s="108">
        <f>VLOOKUP($A67, Stat!$A$1:$C$501, 2,0)</f>
        <v>48</v>
      </c>
      <c r="O67" s="108">
        <f>VLOOKUP($A67, Stat!$A$1:$C$501, 3,0)</f>
        <v>0</v>
      </c>
      <c r="P67" s="53">
        <v>100</v>
      </c>
      <c r="Q67" s="53">
        <v>0</v>
      </c>
      <c r="T67" s="53">
        <v>1</v>
      </c>
    </row>
    <row r="68" spans="1:20" ht="13.2" customHeight="1" x14ac:dyDescent="0.25">
      <c r="A68" s="53">
        <v>33</v>
      </c>
      <c r="B68" s="53" t="s">
        <v>41</v>
      </c>
      <c r="C68" s="53" t="s">
        <v>531</v>
      </c>
      <c r="D68" s="53" t="s">
        <v>538</v>
      </c>
      <c r="E68" s="57" t="s">
        <v>297</v>
      </c>
      <c r="F68" s="51"/>
      <c r="H68" s="49">
        <v>1</v>
      </c>
      <c r="K68" s="51"/>
      <c r="L68" s="51"/>
      <c r="M68" s="51"/>
      <c r="N68" s="108">
        <f>VLOOKUP($A68, Stat!$A$1:$C$501, 2,0)</f>
        <v>50</v>
      </c>
      <c r="O68" s="108">
        <f>VLOOKUP($A68, Stat!$A$1:$C$501, 3,0)</f>
        <v>3</v>
      </c>
      <c r="P68" s="53">
        <v>100</v>
      </c>
      <c r="Q68" s="53">
        <v>0</v>
      </c>
      <c r="T68" s="53">
        <v>1</v>
      </c>
    </row>
    <row r="69" spans="1:20" ht="13.2" customHeight="1" x14ac:dyDescent="0.25">
      <c r="A69" s="53">
        <v>121</v>
      </c>
      <c r="B69" s="53" t="s">
        <v>39</v>
      </c>
      <c r="C69" s="53" t="s">
        <v>87</v>
      </c>
      <c r="D69" s="53" t="s">
        <v>98</v>
      </c>
      <c r="E69" s="57" t="s">
        <v>4</v>
      </c>
      <c r="F69" s="51"/>
      <c r="I69" s="49">
        <v>999</v>
      </c>
      <c r="K69" s="50"/>
      <c r="L69" s="51"/>
      <c r="M69" s="51"/>
      <c r="N69" s="108">
        <f>VLOOKUP($A69, Stat!$A$1:$C$501, 2,0)</f>
        <v>51</v>
      </c>
      <c r="O69" s="108">
        <f>VLOOKUP($A69, Stat!$A$1:$C$501, 3,0)</f>
        <v>0</v>
      </c>
      <c r="P69" s="53">
        <v>0</v>
      </c>
      <c r="Q69" s="53">
        <v>-1</v>
      </c>
      <c r="T69" s="53">
        <v>1</v>
      </c>
    </row>
    <row r="70" spans="1:20" ht="13.2" customHeight="1" x14ac:dyDescent="0.25">
      <c r="A70" s="53">
        <v>24</v>
      </c>
      <c r="B70" s="53" t="s">
        <v>41</v>
      </c>
      <c r="C70" s="53" t="s">
        <v>64</v>
      </c>
      <c r="D70" s="53" t="s">
        <v>92</v>
      </c>
      <c r="E70" s="57" t="s">
        <v>93</v>
      </c>
      <c r="F70" s="51"/>
      <c r="H70" s="49">
        <v>1</v>
      </c>
      <c r="K70" s="51"/>
      <c r="L70" s="51"/>
      <c r="M70" s="51"/>
      <c r="N70" s="108">
        <f>VLOOKUP($A70, Stat!$A$1:$C$501, 2,0)</f>
        <v>46</v>
      </c>
      <c r="O70" s="108">
        <f>VLOOKUP($A70, Stat!$A$1:$C$501, 3,0)</f>
        <v>6</v>
      </c>
      <c r="P70" s="53">
        <v>60</v>
      </c>
      <c r="Q70" s="53">
        <v>0</v>
      </c>
      <c r="T70" s="53">
        <v>1</v>
      </c>
    </row>
    <row r="71" spans="1:20" ht="13.2" customHeight="1" x14ac:dyDescent="0.25">
      <c r="A71" s="53">
        <v>145</v>
      </c>
      <c r="B71" s="53" t="s">
        <v>39</v>
      </c>
      <c r="C71" s="53" t="s">
        <v>87</v>
      </c>
      <c r="D71" s="53" t="s">
        <v>397</v>
      </c>
      <c r="E71" s="57" t="s">
        <v>4</v>
      </c>
      <c r="F71" s="51"/>
      <c r="K71" s="51"/>
      <c r="L71" s="51"/>
      <c r="M71" s="51"/>
      <c r="N71" s="108">
        <f>VLOOKUP($A71, Stat!$A$1:$C$501, 2,0)</f>
        <v>46</v>
      </c>
      <c r="O71" s="108">
        <f>VLOOKUP($A71, Stat!$A$1:$C$501, 3,0)</f>
        <v>0</v>
      </c>
      <c r="P71" s="53">
        <v>0</v>
      </c>
      <c r="Q71" s="53">
        <v>-1</v>
      </c>
      <c r="R71" s="53" t="s">
        <v>440</v>
      </c>
      <c r="T71" s="53">
        <v>1</v>
      </c>
    </row>
    <row r="72" spans="1:20" ht="13.2" customHeight="1" x14ac:dyDescent="0.25">
      <c r="A72" s="53">
        <v>181</v>
      </c>
      <c r="B72" s="53" t="s">
        <v>39</v>
      </c>
      <c r="C72" s="53" t="s">
        <v>7</v>
      </c>
      <c r="D72" s="53" t="s">
        <v>119</v>
      </c>
      <c r="E72" s="57" t="s">
        <v>120</v>
      </c>
      <c r="F72" s="51"/>
      <c r="H72" s="49">
        <v>1</v>
      </c>
      <c r="K72" s="51"/>
      <c r="L72" s="51"/>
      <c r="M72" s="51"/>
      <c r="N72" s="108">
        <f>VLOOKUP($A72, Stat!$A$1:$C$501, 2,0)</f>
        <v>48</v>
      </c>
      <c r="O72" s="108">
        <f>VLOOKUP($A72, Stat!$A$1:$C$501, 3,0)</f>
        <v>5</v>
      </c>
      <c r="P72" s="53">
        <v>0</v>
      </c>
      <c r="Q72" s="53">
        <v>-1</v>
      </c>
      <c r="T72" s="53">
        <v>1</v>
      </c>
    </row>
    <row r="73" spans="1:20" ht="13.2" customHeight="1" x14ac:dyDescent="0.25">
      <c r="A73" s="53">
        <v>36</v>
      </c>
      <c r="B73" s="53" t="s">
        <v>39</v>
      </c>
      <c r="C73" s="53" t="s">
        <v>15</v>
      </c>
      <c r="D73" s="53" t="s">
        <v>24</v>
      </c>
      <c r="E73" s="57" t="s">
        <v>382</v>
      </c>
      <c r="F73" s="51"/>
      <c r="G73" s="49">
        <v>1</v>
      </c>
      <c r="K73" s="51"/>
      <c r="L73" s="51"/>
      <c r="M73" s="51"/>
      <c r="N73" s="108">
        <f>VLOOKUP($A73, Stat!$A$1:$C$501, 2,0)</f>
        <v>46</v>
      </c>
      <c r="O73" s="108">
        <f>VLOOKUP($A73, Stat!$A$1:$C$501, 3,0)</f>
        <v>1</v>
      </c>
      <c r="P73" s="53">
        <v>60</v>
      </c>
      <c r="Q73" s="53">
        <v>0</v>
      </c>
      <c r="S73" s="53" t="s">
        <v>231</v>
      </c>
      <c r="T73" s="53">
        <v>1</v>
      </c>
    </row>
    <row r="74" spans="1:20" ht="13.2" customHeight="1" x14ac:dyDescent="0.25">
      <c r="A74" s="53">
        <v>76</v>
      </c>
      <c r="B74" s="53" t="s">
        <v>39</v>
      </c>
      <c r="C74" s="53" t="s">
        <v>15</v>
      </c>
      <c r="D74" s="53" t="s">
        <v>24</v>
      </c>
      <c r="E74" s="57" t="s">
        <v>381</v>
      </c>
      <c r="F74" s="51"/>
      <c r="G74" s="49">
        <v>1</v>
      </c>
      <c r="K74" s="51"/>
      <c r="L74" s="51"/>
      <c r="M74" s="51"/>
      <c r="N74" s="108">
        <f>VLOOKUP($A74, Stat!$A$1:$C$501, 2,0)</f>
        <v>44</v>
      </c>
      <c r="O74" s="108">
        <f>VLOOKUP($A74, Stat!$A$1:$C$501, 3,0)</f>
        <v>1</v>
      </c>
      <c r="P74" s="53">
        <v>20</v>
      </c>
      <c r="Q74" s="53">
        <v>0</v>
      </c>
      <c r="S74" s="53" t="s">
        <v>231</v>
      </c>
      <c r="T74" s="53">
        <v>1</v>
      </c>
    </row>
    <row r="75" spans="1:20" ht="13.2" customHeight="1" x14ac:dyDescent="0.25">
      <c r="A75" s="53">
        <v>168</v>
      </c>
      <c r="B75" s="53" t="s">
        <v>41</v>
      </c>
      <c r="C75" s="53" t="s">
        <v>60</v>
      </c>
      <c r="D75" s="53" t="s">
        <v>112</v>
      </c>
      <c r="E75" s="57" t="s">
        <v>114</v>
      </c>
      <c r="F75" s="51"/>
      <c r="H75" s="49">
        <v>1</v>
      </c>
      <c r="K75" s="51"/>
      <c r="L75" s="51"/>
      <c r="M75" s="51"/>
      <c r="N75" s="108">
        <f>VLOOKUP($A75, Stat!$A$1:$C$501, 2,0)</f>
        <v>61</v>
      </c>
      <c r="O75" s="108">
        <f>VLOOKUP($A75, Stat!$A$1:$C$501, 3,0)</f>
        <v>4</v>
      </c>
      <c r="P75" s="53">
        <v>0</v>
      </c>
      <c r="Q75" s="53">
        <v>-1</v>
      </c>
      <c r="T75" s="53">
        <v>1</v>
      </c>
    </row>
    <row r="76" spans="1:20" ht="13.2" customHeight="1" x14ac:dyDescent="0.25">
      <c r="A76" s="53">
        <v>267</v>
      </c>
      <c r="B76" s="53" t="s">
        <v>41</v>
      </c>
      <c r="C76" s="53" t="s">
        <v>208</v>
      </c>
      <c r="D76" s="53" t="s">
        <v>75</v>
      </c>
      <c r="E76" s="57" t="s">
        <v>296</v>
      </c>
      <c r="H76" s="49">
        <v>1</v>
      </c>
      <c r="J76" s="49">
        <v>1</v>
      </c>
      <c r="N76" s="108">
        <f>VLOOKUP($A76, Stat!$A$1:$C$501, 2,0)</f>
        <v>46</v>
      </c>
      <c r="O76" s="108">
        <f>VLOOKUP($A76, Stat!$A$1:$C$501, 3,0)</f>
        <v>17</v>
      </c>
      <c r="P76" s="53">
        <v>0</v>
      </c>
      <c r="Q76" s="53">
        <v>0</v>
      </c>
      <c r="T76" s="53">
        <v>1</v>
      </c>
    </row>
    <row r="77" spans="1:20" ht="13.2" customHeight="1" x14ac:dyDescent="0.25">
      <c r="A77" s="53">
        <v>338</v>
      </c>
      <c r="B77" s="53" t="s">
        <v>41</v>
      </c>
      <c r="C77" s="53" t="s">
        <v>208</v>
      </c>
      <c r="D77" s="53" t="s">
        <v>487</v>
      </c>
      <c r="E77" s="53" t="s">
        <v>555</v>
      </c>
      <c r="G77" s="49">
        <v>1</v>
      </c>
      <c r="N77" s="108">
        <f>VLOOKUP($A77, Stat!$A$1:$C$501, 2,0)</f>
        <v>44</v>
      </c>
      <c r="O77" s="108">
        <f>VLOOKUP($A77, Stat!$A$1:$C$501, 3,0)</f>
        <v>6</v>
      </c>
      <c r="P77" s="53">
        <v>60</v>
      </c>
      <c r="Q77" s="53">
        <v>0</v>
      </c>
      <c r="R77" s="53" t="s">
        <v>492</v>
      </c>
      <c r="S77" s="53" t="s">
        <v>495</v>
      </c>
      <c r="T77" s="53">
        <v>1</v>
      </c>
    </row>
    <row r="78" spans="1:20" ht="13.2" customHeight="1" x14ac:dyDescent="0.25">
      <c r="A78" s="53">
        <v>82</v>
      </c>
      <c r="B78" s="53" t="s">
        <v>41</v>
      </c>
      <c r="C78" s="53" t="s">
        <v>64</v>
      </c>
      <c r="D78" s="53" t="s">
        <v>70</v>
      </c>
      <c r="E78" s="57" t="s">
        <v>67</v>
      </c>
      <c r="F78" s="51"/>
      <c r="H78" s="49">
        <v>1</v>
      </c>
      <c r="K78" s="50" t="s">
        <v>269</v>
      </c>
      <c r="L78" s="51"/>
      <c r="M78" s="51"/>
      <c r="N78" s="108">
        <f>VLOOKUP($A78, Stat!$A$1:$C$501, 2,0)</f>
        <v>46</v>
      </c>
      <c r="O78" s="108">
        <f>VLOOKUP($A78, Stat!$A$1:$C$501, 3,0)</f>
        <v>8</v>
      </c>
      <c r="P78" s="53">
        <v>60</v>
      </c>
      <c r="Q78" s="53">
        <v>-1</v>
      </c>
      <c r="T78" s="53">
        <v>1</v>
      </c>
    </row>
    <row r="79" spans="1:20" ht="13.2" customHeight="1" x14ac:dyDescent="0.25">
      <c r="A79" s="53">
        <v>117</v>
      </c>
      <c r="B79" s="53" t="s">
        <v>39</v>
      </c>
      <c r="C79" s="53" t="s">
        <v>86</v>
      </c>
      <c r="D79" s="53" t="s">
        <v>171</v>
      </c>
      <c r="E79" s="57" t="s">
        <v>4</v>
      </c>
      <c r="F79" s="51"/>
      <c r="K79" s="50" t="s">
        <v>399</v>
      </c>
      <c r="L79" s="51"/>
      <c r="M79" s="51"/>
      <c r="N79" s="108">
        <f>VLOOKUP($A79, Stat!$A$1:$C$501, 2,0)</f>
        <v>47</v>
      </c>
      <c r="O79" s="108">
        <f>VLOOKUP($A79, Stat!$A$1:$C$501, 3,0)</f>
        <v>0</v>
      </c>
      <c r="P79" s="53">
        <v>0</v>
      </c>
      <c r="Q79" s="53">
        <v>-1</v>
      </c>
      <c r="R79" s="53" t="s">
        <v>172</v>
      </c>
      <c r="T79" s="53">
        <v>1</v>
      </c>
    </row>
    <row r="80" spans="1:20" ht="13.2" customHeight="1" x14ac:dyDescent="0.25">
      <c r="A80" s="53">
        <v>199</v>
      </c>
      <c r="B80" s="53" t="s">
        <v>41</v>
      </c>
      <c r="C80" s="53" t="s">
        <v>60</v>
      </c>
      <c r="D80" s="53" t="s">
        <v>161</v>
      </c>
      <c r="E80" s="57" t="s">
        <v>520</v>
      </c>
      <c r="F80" s="51"/>
      <c r="K80" s="51"/>
      <c r="L80" s="51"/>
      <c r="M80" s="51"/>
      <c r="N80" s="108">
        <f>VLOOKUP($A80, Stat!$A$1:$C$501, 2,0)</f>
        <v>44</v>
      </c>
      <c r="O80" s="108">
        <f>VLOOKUP($A80, Stat!$A$1:$C$501, 3,0)</f>
        <v>2</v>
      </c>
      <c r="P80" s="53">
        <v>60</v>
      </c>
      <c r="Q80" s="53">
        <v>0</v>
      </c>
      <c r="T80" s="53">
        <v>1</v>
      </c>
    </row>
    <row r="81" spans="1:20" ht="13.2" customHeight="1" x14ac:dyDescent="0.25">
      <c r="A81" s="53">
        <v>273</v>
      </c>
      <c r="B81" s="53" t="s">
        <v>41</v>
      </c>
      <c r="C81" s="53" t="s">
        <v>64</v>
      </c>
      <c r="D81" s="53" t="s">
        <v>298</v>
      </c>
      <c r="E81" s="57" t="s">
        <v>300</v>
      </c>
      <c r="H81" s="49">
        <v>1</v>
      </c>
      <c r="N81" s="108">
        <f>VLOOKUP($A81, Stat!$A$1:$C$501, 2,0)</f>
        <v>44</v>
      </c>
      <c r="O81" s="108">
        <f>VLOOKUP($A81, Stat!$A$1:$C$501, 3,0)</f>
        <v>7</v>
      </c>
      <c r="P81" s="53">
        <v>0</v>
      </c>
      <c r="Q81" s="53">
        <v>0</v>
      </c>
      <c r="S81" s="53" t="s">
        <v>299</v>
      </c>
      <c r="T81" s="53">
        <v>1</v>
      </c>
    </row>
    <row r="82" spans="1:20" ht="13.2" customHeight="1" x14ac:dyDescent="0.25">
      <c r="A82" s="53">
        <v>282</v>
      </c>
      <c r="B82" s="53" t="s">
        <v>41</v>
      </c>
      <c r="C82" s="53" t="s">
        <v>251</v>
      </c>
      <c r="D82" s="53" t="s">
        <v>332</v>
      </c>
      <c r="E82" s="53" t="s">
        <v>333</v>
      </c>
      <c r="L82" s="49">
        <v>1</v>
      </c>
      <c r="N82" s="108">
        <f>VLOOKUP($A82, Stat!$A$1:$C$501, 2,0)</f>
        <v>42</v>
      </c>
      <c r="O82" s="108">
        <f>VLOOKUP($A82, Stat!$A$1:$C$501, 3,0)</f>
        <v>1</v>
      </c>
      <c r="P82" s="53">
        <v>0</v>
      </c>
      <c r="Q82" s="53">
        <v>1</v>
      </c>
      <c r="R82" s="53" t="s">
        <v>371</v>
      </c>
      <c r="S82" s="53" t="s">
        <v>356</v>
      </c>
      <c r="T82" s="53">
        <v>1</v>
      </c>
    </row>
    <row r="83" spans="1:20" ht="13.2" customHeight="1" x14ac:dyDescent="0.25">
      <c r="A83" s="53">
        <v>53</v>
      </c>
      <c r="B83" s="53" t="s">
        <v>39</v>
      </c>
      <c r="C83" s="53" t="s">
        <v>87</v>
      </c>
      <c r="D83" s="53" t="s">
        <v>85</v>
      </c>
      <c r="E83" s="57" t="s">
        <v>3</v>
      </c>
      <c r="F83" s="51"/>
      <c r="K83" s="51"/>
      <c r="L83" s="51"/>
      <c r="M83" s="51"/>
      <c r="N83" s="108">
        <f>VLOOKUP($A83, Stat!$A$1:$C$501, 2,0)</f>
        <v>36</v>
      </c>
      <c r="O83" s="108">
        <f>VLOOKUP($A83, Stat!$A$1:$C$501, 3,0)</f>
        <v>0</v>
      </c>
      <c r="P83" s="53">
        <v>0</v>
      </c>
      <c r="Q83" s="53">
        <v>-1</v>
      </c>
      <c r="T83" s="53">
        <v>1</v>
      </c>
    </row>
    <row r="84" spans="1:20" ht="13.2" customHeight="1" x14ac:dyDescent="0.25">
      <c r="A84" s="53">
        <v>269</v>
      </c>
      <c r="B84" s="53" t="s">
        <v>41</v>
      </c>
      <c r="C84" s="53" t="s">
        <v>64</v>
      </c>
      <c r="D84" s="53" t="s">
        <v>529</v>
      </c>
      <c r="E84" s="57" t="s">
        <v>546</v>
      </c>
      <c r="H84" s="49">
        <v>1</v>
      </c>
      <c r="N84" s="108">
        <f>VLOOKUP($A84, Stat!$A$1:$C$501, 2,0)</f>
        <v>47</v>
      </c>
      <c r="O84" s="108">
        <f>VLOOKUP($A84, Stat!$A$1:$C$501, 3,0)</f>
        <v>2</v>
      </c>
      <c r="P84" s="53">
        <v>0</v>
      </c>
      <c r="Q84" s="53">
        <v>-1</v>
      </c>
      <c r="T84" s="53">
        <v>1</v>
      </c>
    </row>
    <row r="85" spans="1:20" ht="13.2" customHeight="1" x14ac:dyDescent="0.25">
      <c r="A85" s="53">
        <v>316</v>
      </c>
      <c r="B85" s="53" t="s">
        <v>41</v>
      </c>
      <c r="C85" s="53" t="s">
        <v>64</v>
      </c>
      <c r="D85" s="53" t="s">
        <v>216</v>
      </c>
      <c r="E85" s="53" t="s">
        <v>65</v>
      </c>
      <c r="H85" s="49">
        <v>1</v>
      </c>
      <c r="N85" s="108">
        <f>VLOOKUP($A85, Stat!$A$1:$C$501, 2,0)</f>
        <v>48</v>
      </c>
      <c r="O85" s="108">
        <f>VLOOKUP($A85, Stat!$A$1:$C$501, 3,0)</f>
        <v>10</v>
      </c>
      <c r="P85" s="53">
        <v>60</v>
      </c>
      <c r="Q85" s="53">
        <v>0</v>
      </c>
      <c r="R85" s="53" t="s">
        <v>456</v>
      </c>
      <c r="S85" s="53" t="s">
        <v>425</v>
      </c>
      <c r="T85" s="53">
        <v>1</v>
      </c>
    </row>
    <row r="86" spans="1:20" ht="13.2" customHeight="1" x14ac:dyDescent="0.25">
      <c r="A86" s="53">
        <v>61</v>
      </c>
      <c r="B86" s="53" t="s">
        <v>39</v>
      </c>
      <c r="C86" s="53" t="s">
        <v>83</v>
      </c>
      <c r="D86" s="53" t="s">
        <v>128</v>
      </c>
      <c r="E86" s="57" t="s">
        <v>5</v>
      </c>
      <c r="F86" s="51"/>
      <c r="K86" s="50"/>
      <c r="L86" s="51"/>
      <c r="M86" s="51"/>
      <c r="N86" s="108">
        <f>VLOOKUP($A86, Stat!$A$1:$C$501, 2,0)</f>
        <v>44</v>
      </c>
      <c r="O86" s="108">
        <f>VLOOKUP($A86, Stat!$A$1:$C$501, 3,0)</f>
        <v>1</v>
      </c>
      <c r="P86" s="53">
        <v>40</v>
      </c>
      <c r="Q86" s="53">
        <v>1</v>
      </c>
      <c r="T86" s="53">
        <v>1</v>
      </c>
    </row>
    <row r="87" spans="1:20" ht="13.2" customHeight="1" x14ac:dyDescent="0.25">
      <c r="A87" s="53">
        <v>349</v>
      </c>
      <c r="B87" s="53" t="s">
        <v>41</v>
      </c>
      <c r="C87" s="53" t="s">
        <v>60</v>
      </c>
      <c r="D87" s="53" t="s">
        <v>521</v>
      </c>
      <c r="E87" s="53" t="s">
        <v>523</v>
      </c>
      <c r="N87" s="108">
        <f>VLOOKUP($A87, Stat!$A$1:$C$501, 2,0)</f>
        <v>40</v>
      </c>
      <c r="O87" s="108">
        <f>VLOOKUP($A87, Stat!$A$1:$C$501, 3,0)</f>
        <v>1</v>
      </c>
      <c r="P87" s="53">
        <v>60</v>
      </c>
      <c r="Q87" s="53">
        <v>0</v>
      </c>
      <c r="S87" s="53" t="s">
        <v>524</v>
      </c>
      <c r="T87" s="53">
        <v>1</v>
      </c>
    </row>
    <row r="88" spans="1:20" ht="13.2" customHeight="1" x14ac:dyDescent="0.25">
      <c r="A88" s="53">
        <v>34</v>
      </c>
      <c r="B88" s="53" t="s">
        <v>41</v>
      </c>
      <c r="C88" s="53" t="s">
        <v>531</v>
      </c>
      <c r="D88" s="53" t="s">
        <v>73</v>
      </c>
      <c r="E88" s="57" t="s">
        <v>544</v>
      </c>
      <c r="F88" s="51"/>
      <c r="H88" s="49">
        <v>1</v>
      </c>
      <c r="K88" s="51"/>
      <c r="L88" s="51"/>
      <c r="M88" s="51"/>
      <c r="N88" s="108">
        <f>VLOOKUP($A88, Stat!$A$1:$C$501, 2,0)</f>
        <v>38</v>
      </c>
      <c r="O88" s="108">
        <f>VLOOKUP($A88, Stat!$A$1:$C$501, 3,0)</f>
        <v>1</v>
      </c>
      <c r="P88" s="53">
        <v>0</v>
      </c>
      <c r="Q88" s="53">
        <v>-1</v>
      </c>
      <c r="T88" s="53">
        <v>1</v>
      </c>
    </row>
    <row r="89" spans="1:20" ht="13.2" customHeight="1" x14ac:dyDescent="0.25">
      <c r="A89" s="53">
        <v>55</v>
      </c>
      <c r="B89" s="53" t="s">
        <v>39</v>
      </c>
      <c r="C89" s="53" t="s">
        <v>87</v>
      </c>
      <c r="D89" s="53" t="s">
        <v>85</v>
      </c>
      <c r="E89" s="57" t="s">
        <v>5</v>
      </c>
      <c r="F89" s="51"/>
      <c r="K89" s="51"/>
      <c r="L89" s="51"/>
      <c r="M89" s="51"/>
      <c r="N89" s="108">
        <f>VLOOKUP($A89, Stat!$A$1:$C$501, 2,0)</f>
        <v>37</v>
      </c>
      <c r="O89" s="108">
        <f>VLOOKUP($A89, Stat!$A$1:$C$501, 3,0)</f>
        <v>0</v>
      </c>
      <c r="P89" s="53">
        <v>40</v>
      </c>
      <c r="Q89" s="53">
        <v>-1</v>
      </c>
      <c r="T89" s="53">
        <v>1</v>
      </c>
    </row>
    <row r="90" spans="1:20" ht="13.2" customHeight="1" x14ac:dyDescent="0.25">
      <c r="A90" s="53">
        <v>116</v>
      </c>
      <c r="B90" s="53" t="s">
        <v>39</v>
      </c>
      <c r="C90" s="53" t="s">
        <v>86</v>
      </c>
      <c r="D90" s="53" t="s">
        <v>171</v>
      </c>
      <c r="E90" s="57" t="s">
        <v>3</v>
      </c>
      <c r="F90" s="51"/>
      <c r="K90" s="50" t="s">
        <v>398</v>
      </c>
      <c r="L90" s="51"/>
      <c r="M90" s="51"/>
      <c r="N90" s="108">
        <f>VLOOKUP($A90, Stat!$A$1:$C$501, 2,0)</f>
        <v>38</v>
      </c>
      <c r="O90" s="108">
        <f>VLOOKUP($A90, Stat!$A$1:$C$501, 3,0)</f>
        <v>0</v>
      </c>
      <c r="P90" s="53">
        <v>0</v>
      </c>
      <c r="Q90" s="53">
        <v>-1</v>
      </c>
      <c r="R90" s="53" t="s">
        <v>172</v>
      </c>
      <c r="T90" s="53">
        <v>1</v>
      </c>
    </row>
    <row r="91" spans="1:20" ht="13.2" customHeight="1" x14ac:dyDescent="0.25">
      <c r="A91" s="53">
        <v>130</v>
      </c>
      <c r="B91" s="53" t="s">
        <v>39</v>
      </c>
      <c r="C91" s="53" t="s">
        <v>83</v>
      </c>
      <c r="D91" s="53" t="s">
        <v>124</v>
      </c>
      <c r="E91" s="57" t="s">
        <v>5</v>
      </c>
      <c r="F91" s="51"/>
      <c r="K91" s="51"/>
      <c r="L91" s="51"/>
      <c r="M91" s="51"/>
      <c r="N91" s="108">
        <f>VLOOKUP($A91, Stat!$A$1:$C$501, 2,0)</f>
        <v>38</v>
      </c>
      <c r="O91" s="108">
        <f>VLOOKUP($A91, Stat!$A$1:$C$501, 3,0)</f>
        <v>1</v>
      </c>
      <c r="P91" s="53">
        <v>40</v>
      </c>
      <c r="Q91" s="53">
        <v>-1</v>
      </c>
      <c r="T91" s="53">
        <v>1</v>
      </c>
    </row>
    <row r="92" spans="1:20" ht="13.2" customHeight="1" x14ac:dyDescent="0.25">
      <c r="A92" s="53">
        <v>227</v>
      </c>
      <c r="B92" s="53" t="s">
        <v>41</v>
      </c>
      <c r="C92" s="53" t="s">
        <v>208</v>
      </c>
      <c r="D92" s="53" t="s">
        <v>197</v>
      </c>
      <c r="E92" s="57" t="s">
        <v>200</v>
      </c>
      <c r="F92" s="51"/>
      <c r="H92" s="49">
        <v>1</v>
      </c>
      <c r="K92" s="51"/>
      <c r="L92" s="51"/>
      <c r="M92" s="51"/>
      <c r="N92" s="108">
        <f>VLOOKUP($A92, Stat!$A$1:$C$501, 2,0)</f>
        <v>44</v>
      </c>
      <c r="O92" s="108">
        <f>VLOOKUP($A92, Stat!$A$1:$C$501, 3,0)</f>
        <v>5</v>
      </c>
      <c r="P92" s="53">
        <v>0</v>
      </c>
      <c r="Q92" s="53">
        <v>1</v>
      </c>
      <c r="T92" s="53">
        <v>1</v>
      </c>
    </row>
    <row r="93" spans="1:20" ht="13.2" customHeight="1" x14ac:dyDescent="0.25">
      <c r="A93" s="53">
        <v>70</v>
      </c>
      <c r="B93" s="53" t="s">
        <v>39</v>
      </c>
      <c r="C93" s="53" t="s">
        <v>7</v>
      </c>
      <c r="D93" s="53" t="s">
        <v>226</v>
      </c>
      <c r="E93" s="57" t="s">
        <v>311</v>
      </c>
      <c r="F93" s="51"/>
      <c r="J93" s="49">
        <v>1</v>
      </c>
      <c r="K93" s="51"/>
      <c r="L93" s="51"/>
      <c r="M93" s="51"/>
      <c r="N93" s="108">
        <f>VLOOKUP($A93, Stat!$A$1:$C$501, 2,0)</f>
        <v>35</v>
      </c>
      <c r="O93" s="108">
        <f>VLOOKUP($A93, Stat!$A$1:$C$501, 3,0)</f>
        <v>0</v>
      </c>
      <c r="P93" s="53">
        <v>60</v>
      </c>
      <c r="Q93" s="53">
        <v>0</v>
      </c>
      <c r="T93" s="53">
        <v>1</v>
      </c>
    </row>
    <row r="94" spans="1:20" ht="13.2" customHeight="1" x14ac:dyDescent="0.25">
      <c r="A94" s="53">
        <v>148</v>
      </c>
      <c r="B94" s="53" t="s">
        <v>39</v>
      </c>
      <c r="C94" s="53" t="s">
        <v>83</v>
      </c>
      <c r="D94" s="53" t="s">
        <v>279</v>
      </c>
      <c r="E94" s="57" t="s">
        <v>3</v>
      </c>
      <c r="F94" s="51"/>
      <c r="K94" s="50" t="s">
        <v>285</v>
      </c>
      <c r="L94" s="51"/>
      <c r="M94" s="51"/>
      <c r="N94" s="108">
        <f>VLOOKUP($A94, Stat!$A$1:$C$501, 2,0)</f>
        <v>46</v>
      </c>
      <c r="O94" s="108">
        <f>VLOOKUP($A94, Stat!$A$1:$C$501, 3,0)</f>
        <v>0</v>
      </c>
      <c r="P94" s="53">
        <v>0</v>
      </c>
      <c r="Q94" s="53">
        <v>0</v>
      </c>
      <c r="R94" s="53" t="s">
        <v>280</v>
      </c>
      <c r="T94" s="53">
        <v>1</v>
      </c>
    </row>
    <row r="95" spans="1:20" ht="13.2" customHeight="1" x14ac:dyDescent="0.25">
      <c r="A95" s="53">
        <v>272</v>
      </c>
      <c r="B95" s="53" t="s">
        <v>41</v>
      </c>
      <c r="C95" s="53" t="s">
        <v>64</v>
      </c>
      <c r="D95" s="53" t="s">
        <v>529</v>
      </c>
      <c r="E95" s="57" t="s">
        <v>297</v>
      </c>
      <c r="H95" s="49">
        <v>1</v>
      </c>
      <c r="N95" s="108">
        <f>VLOOKUP($A95, Stat!$A$1:$C$501, 2,0)</f>
        <v>36</v>
      </c>
      <c r="O95" s="108">
        <f>VLOOKUP($A95, Stat!$A$1:$C$501, 3,0)</f>
        <v>9</v>
      </c>
      <c r="P95" s="53">
        <v>100</v>
      </c>
      <c r="Q95" s="53">
        <v>0</v>
      </c>
      <c r="T95" s="53">
        <v>1</v>
      </c>
    </row>
    <row r="96" spans="1:20" ht="13.2" customHeight="1" x14ac:dyDescent="0.25">
      <c r="A96" s="53">
        <v>10</v>
      </c>
      <c r="B96" s="53" t="s">
        <v>39</v>
      </c>
      <c r="C96" s="53" t="s">
        <v>15</v>
      </c>
      <c r="D96" s="53" t="s">
        <v>168</v>
      </c>
      <c r="E96" s="57" t="s">
        <v>377</v>
      </c>
      <c r="F96" s="51"/>
      <c r="G96" s="49">
        <v>1</v>
      </c>
      <c r="K96" s="51"/>
      <c r="L96" s="51"/>
      <c r="M96" s="51"/>
      <c r="N96" s="108">
        <f>VLOOKUP($A96, Stat!$A$1:$C$501, 2,0)</f>
        <v>35</v>
      </c>
      <c r="O96" s="108">
        <f>VLOOKUP($A96, Stat!$A$1:$C$501, 3,0)</f>
        <v>1</v>
      </c>
      <c r="P96" s="53">
        <v>0</v>
      </c>
      <c r="Q96" s="53">
        <v>-1</v>
      </c>
      <c r="R96" s="53" t="s">
        <v>78</v>
      </c>
      <c r="S96" s="53" t="s">
        <v>446</v>
      </c>
      <c r="T96" s="53">
        <v>1</v>
      </c>
    </row>
    <row r="97" spans="1:20" ht="13.2" customHeight="1" x14ac:dyDescent="0.25">
      <c r="A97" s="53">
        <v>16</v>
      </c>
      <c r="B97" s="53" t="s">
        <v>39</v>
      </c>
      <c r="C97" s="53" t="s">
        <v>17</v>
      </c>
      <c r="D97" s="53" t="s">
        <v>364</v>
      </c>
      <c r="E97" s="57" t="s">
        <v>159</v>
      </c>
      <c r="F97" s="50"/>
      <c r="G97" s="49">
        <v>1</v>
      </c>
      <c r="K97" s="51"/>
      <c r="L97" s="50"/>
      <c r="M97" s="50"/>
      <c r="N97" s="108">
        <f>VLOOKUP($A97, Stat!$A$1:$C$501, 2,0)</f>
        <v>38</v>
      </c>
      <c r="O97" s="108">
        <f>VLOOKUP($A97, Stat!$A$1:$C$501, 3,0)</f>
        <v>1</v>
      </c>
      <c r="P97" s="53">
        <v>0</v>
      </c>
      <c r="Q97" s="53">
        <v>0</v>
      </c>
      <c r="S97" s="53" t="s">
        <v>511</v>
      </c>
      <c r="T97" s="53">
        <v>1</v>
      </c>
    </row>
    <row r="98" spans="1:20" ht="13.2" customHeight="1" x14ac:dyDescent="0.25">
      <c r="A98" s="53">
        <v>93</v>
      </c>
      <c r="B98" s="53" t="s">
        <v>41</v>
      </c>
      <c r="C98" s="53" t="s">
        <v>64</v>
      </c>
      <c r="D98" s="53" t="s">
        <v>164</v>
      </c>
      <c r="E98" s="57" t="s">
        <v>272</v>
      </c>
      <c r="F98" s="51"/>
      <c r="J98" s="49">
        <v>1</v>
      </c>
      <c r="K98" s="51"/>
      <c r="L98" s="51"/>
      <c r="M98" s="51"/>
      <c r="N98" s="108">
        <f>VLOOKUP($A98, Stat!$A$1:$C$501, 2,0)</f>
        <v>34</v>
      </c>
      <c r="O98" s="108">
        <f>VLOOKUP($A98, Stat!$A$1:$C$501, 3,0)</f>
        <v>0</v>
      </c>
      <c r="P98" s="53">
        <v>0</v>
      </c>
      <c r="Q98" s="53">
        <v>0</v>
      </c>
      <c r="R98" s="53" t="s">
        <v>137</v>
      </c>
      <c r="T98" s="53">
        <v>1</v>
      </c>
    </row>
    <row r="99" spans="1:20" ht="13.2" customHeight="1" x14ac:dyDescent="0.25">
      <c r="A99" s="53">
        <v>290</v>
      </c>
      <c r="B99" s="53" t="s">
        <v>41</v>
      </c>
      <c r="C99" s="53" t="s">
        <v>251</v>
      </c>
      <c r="D99" s="53" t="s">
        <v>340</v>
      </c>
      <c r="E99" s="53" t="s">
        <v>77</v>
      </c>
      <c r="N99" s="108">
        <f>VLOOKUP($A99, Stat!$A$1:$C$501, 2,0)</f>
        <v>35</v>
      </c>
      <c r="O99" s="108">
        <f>VLOOKUP($A99, Stat!$A$1:$C$501, 3,0)</f>
        <v>17</v>
      </c>
      <c r="P99" s="53">
        <v>60</v>
      </c>
      <c r="Q99" s="53">
        <v>0</v>
      </c>
      <c r="S99" s="53" t="s">
        <v>344</v>
      </c>
      <c r="T99" s="53">
        <v>1</v>
      </c>
    </row>
    <row r="100" spans="1:20" ht="13.2" customHeight="1" x14ac:dyDescent="0.25">
      <c r="A100" s="53">
        <v>5</v>
      </c>
      <c r="B100" s="53" t="s">
        <v>39</v>
      </c>
      <c r="C100" s="53" t="s">
        <v>14</v>
      </c>
      <c r="D100" s="53" t="s">
        <v>386</v>
      </c>
      <c r="E100" s="57" t="s">
        <v>174</v>
      </c>
      <c r="F100" s="51"/>
      <c r="G100" s="49">
        <v>1</v>
      </c>
      <c r="K100" s="51"/>
      <c r="L100" s="51"/>
      <c r="M100" s="51"/>
      <c r="N100" s="108">
        <f>VLOOKUP($A100, Stat!$A$1:$C$501, 2,0)</f>
        <v>34</v>
      </c>
      <c r="O100" s="108">
        <f>VLOOKUP($A100, Stat!$A$1:$C$501, 3,0)</f>
        <v>0</v>
      </c>
      <c r="P100" s="53">
        <v>0</v>
      </c>
      <c r="Q100" s="53">
        <v>0</v>
      </c>
      <c r="S100" s="53" t="s">
        <v>468</v>
      </c>
      <c r="T100" s="53">
        <v>1</v>
      </c>
    </row>
    <row r="101" spans="1:20" ht="13.2" customHeight="1" x14ac:dyDescent="0.25">
      <c r="A101" s="53">
        <v>103</v>
      </c>
      <c r="B101" s="53" t="s">
        <v>39</v>
      </c>
      <c r="C101" s="53" t="s">
        <v>87</v>
      </c>
      <c r="D101" s="53" t="s">
        <v>82</v>
      </c>
      <c r="E101" s="57" t="s">
        <v>51</v>
      </c>
      <c r="F101" s="51"/>
      <c r="K101" s="51"/>
      <c r="L101" s="51"/>
      <c r="M101" s="51"/>
      <c r="N101" s="108">
        <f>VLOOKUP($A101, Stat!$A$1:$C$501, 2,0)</f>
        <v>39</v>
      </c>
      <c r="O101" s="108">
        <f>VLOOKUP($A101, Stat!$A$1:$C$501, 3,0)</f>
        <v>0</v>
      </c>
      <c r="P101" s="53">
        <v>60</v>
      </c>
      <c r="Q101" s="53">
        <v>-1</v>
      </c>
      <c r="R101" s="53" t="s">
        <v>439</v>
      </c>
      <c r="T101" s="53">
        <v>1</v>
      </c>
    </row>
    <row r="102" spans="1:20" ht="13.2" customHeight="1" x14ac:dyDescent="0.25">
      <c r="A102" s="53">
        <v>229</v>
      </c>
      <c r="B102" s="53" t="s">
        <v>41</v>
      </c>
      <c r="C102" s="53" t="s">
        <v>208</v>
      </c>
      <c r="D102" s="53" t="s">
        <v>197</v>
      </c>
      <c r="E102" s="57" t="s">
        <v>202</v>
      </c>
      <c r="F102" s="51"/>
      <c r="H102" s="49">
        <v>1</v>
      </c>
      <c r="K102" s="51"/>
      <c r="L102" s="51"/>
      <c r="M102" s="51"/>
      <c r="N102" s="108">
        <f>VLOOKUP($A102, Stat!$A$1:$C$501, 2,0)</f>
        <v>38</v>
      </c>
      <c r="O102" s="108">
        <f>VLOOKUP($A102, Stat!$A$1:$C$501, 3,0)</f>
        <v>6</v>
      </c>
      <c r="P102" s="53">
        <v>0</v>
      </c>
      <c r="Q102" s="53">
        <v>1</v>
      </c>
      <c r="T102" s="53">
        <v>1</v>
      </c>
    </row>
    <row r="103" spans="1:20" ht="13.2" customHeight="1" x14ac:dyDescent="0.25">
      <c r="A103" s="53">
        <v>305</v>
      </c>
      <c r="B103" s="53" t="s">
        <v>39</v>
      </c>
      <c r="C103" s="53" t="s">
        <v>15</v>
      </c>
      <c r="D103" s="53" t="s">
        <v>56</v>
      </c>
      <c r="E103" s="53" t="s">
        <v>393</v>
      </c>
      <c r="H103" s="49">
        <v>1</v>
      </c>
      <c r="N103" s="108">
        <f>VLOOKUP($A103, Stat!$A$1:$C$501, 2,0)</f>
        <v>34</v>
      </c>
      <c r="O103" s="108">
        <f>VLOOKUP($A103, Stat!$A$1:$C$501, 3,0)</f>
        <v>1</v>
      </c>
      <c r="P103" s="53">
        <v>0</v>
      </c>
      <c r="Q103" s="53">
        <v>0</v>
      </c>
      <c r="S103" s="53" t="s">
        <v>395</v>
      </c>
      <c r="T103" s="53">
        <v>1</v>
      </c>
    </row>
    <row r="104" spans="1:20" ht="13.2" customHeight="1" x14ac:dyDescent="0.25">
      <c r="A104" s="53">
        <v>89</v>
      </c>
      <c r="B104" s="53" t="s">
        <v>41</v>
      </c>
      <c r="C104" s="53" t="s">
        <v>64</v>
      </c>
      <c r="D104" s="53" t="s">
        <v>79</v>
      </c>
      <c r="E104" s="57" t="s">
        <v>311</v>
      </c>
      <c r="F104" s="51"/>
      <c r="K104" s="51"/>
      <c r="L104" s="51"/>
      <c r="M104" s="51"/>
      <c r="N104" s="108">
        <f>VLOOKUP($A104, Stat!$A$1:$C$501, 2,0)</f>
        <v>38</v>
      </c>
      <c r="O104" s="108">
        <f>VLOOKUP($A104, Stat!$A$1:$C$501, 3,0)</f>
        <v>0</v>
      </c>
      <c r="P104" s="53">
        <v>0</v>
      </c>
      <c r="Q104" s="53">
        <v>1</v>
      </c>
      <c r="R104" s="53" t="s">
        <v>80</v>
      </c>
      <c r="T104" s="53">
        <v>1</v>
      </c>
    </row>
    <row r="105" spans="1:20" ht="13.2" customHeight="1" x14ac:dyDescent="0.25">
      <c r="A105" s="53">
        <v>134</v>
      </c>
      <c r="B105" s="53" t="s">
        <v>39</v>
      </c>
      <c r="C105" s="53" t="s">
        <v>83</v>
      </c>
      <c r="D105" s="53" t="s">
        <v>127</v>
      </c>
      <c r="E105" s="57" t="s">
        <v>5</v>
      </c>
      <c r="F105" s="51"/>
      <c r="K105" s="50"/>
      <c r="L105" s="51"/>
      <c r="M105" s="51"/>
      <c r="N105" s="108">
        <f>VLOOKUP($A105, Stat!$A$1:$C$501, 2,0)</f>
        <v>32</v>
      </c>
      <c r="O105" s="108">
        <f>VLOOKUP($A105, Stat!$A$1:$C$501, 3,0)</f>
        <v>2</v>
      </c>
      <c r="P105" s="53">
        <v>40</v>
      </c>
      <c r="Q105" s="53">
        <v>1</v>
      </c>
      <c r="T105" s="53">
        <v>1</v>
      </c>
    </row>
    <row r="106" spans="1:20" ht="13.2" customHeight="1" x14ac:dyDescent="0.25">
      <c r="A106" s="53">
        <v>182</v>
      </c>
      <c r="B106" s="53" t="s">
        <v>39</v>
      </c>
      <c r="C106" s="53" t="s">
        <v>7</v>
      </c>
      <c r="D106" s="53" t="s">
        <v>119</v>
      </c>
      <c r="E106" s="57" t="s">
        <v>121</v>
      </c>
      <c r="F106" s="51"/>
      <c r="H106" s="49">
        <v>1</v>
      </c>
      <c r="K106" s="51"/>
      <c r="L106" s="51"/>
      <c r="M106" s="51"/>
      <c r="N106" s="108">
        <f>VLOOKUP($A106, Stat!$A$1:$C$501, 2,0)</f>
        <v>33</v>
      </c>
      <c r="O106" s="108">
        <f>VLOOKUP($A106, Stat!$A$1:$C$501, 3,0)</f>
        <v>4</v>
      </c>
      <c r="P106" s="53">
        <v>0</v>
      </c>
      <c r="Q106" s="53">
        <v>-1</v>
      </c>
      <c r="T106" s="53">
        <v>1</v>
      </c>
    </row>
    <row r="107" spans="1:20" ht="13.2" customHeight="1" x14ac:dyDescent="0.25">
      <c r="A107" s="53">
        <v>75</v>
      </c>
      <c r="B107" s="53" t="s">
        <v>41</v>
      </c>
      <c r="C107" s="53" t="s">
        <v>64</v>
      </c>
      <c r="D107" s="53" t="s">
        <v>428</v>
      </c>
      <c r="E107" s="57" t="s">
        <v>549</v>
      </c>
      <c r="F107" s="51"/>
      <c r="H107" s="49">
        <v>1</v>
      </c>
      <c r="K107" s="51"/>
      <c r="L107" s="51"/>
      <c r="M107" s="51"/>
      <c r="N107" s="108">
        <f>VLOOKUP($A107, Stat!$A$1:$C$501, 2,0)</f>
        <v>28</v>
      </c>
      <c r="O107" s="108">
        <f>VLOOKUP($A107, Stat!$A$1:$C$501, 3,0)</f>
        <v>15</v>
      </c>
      <c r="P107" s="53">
        <v>30</v>
      </c>
      <c r="Q107" s="53">
        <v>0</v>
      </c>
      <c r="S107" s="53" t="s">
        <v>552</v>
      </c>
      <c r="T107" s="53">
        <v>1</v>
      </c>
    </row>
    <row r="108" spans="1:20" ht="13.2" customHeight="1" x14ac:dyDescent="0.25">
      <c r="A108" s="53">
        <v>179</v>
      </c>
      <c r="B108" s="53" t="s">
        <v>39</v>
      </c>
      <c r="C108" s="53" t="s">
        <v>7</v>
      </c>
      <c r="D108" s="53" t="s">
        <v>118</v>
      </c>
      <c r="E108" s="57" t="s">
        <v>123</v>
      </c>
      <c r="F108" s="51"/>
      <c r="H108" s="49">
        <v>1</v>
      </c>
      <c r="K108" s="51"/>
      <c r="L108" s="51"/>
      <c r="M108" s="51"/>
      <c r="N108" s="108">
        <f>VLOOKUP($A108, Stat!$A$1:$C$501, 2,0)</f>
        <v>32</v>
      </c>
      <c r="O108" s="108">
        <f>VLOOKUP($A108, Stat!$A$1:$C$501, 3,0)</f>
        <v>5</v>
      </c>
      <c r="P108" s="53">
        <v>0</v>
      </c>
      <c r="Q108" s="53">
        <v>-1</v>
      </c>
      <c r="T108" s="53">
        <v>1</v>
      </c>
    </row>
    <row r="109" spans="1:20" ht="13.2" customHeight="1" x14ac:dyDescent="0.25">
      <c r="A109" s="53">
        <v>185</v>
      </c>
      <c r="B109" s="53" t="s">
        <v>39</v>
      </c>
      <c r="C109" s="53" t="s">
        <v>7</v>
      </c>
      <c r="D109" s="53" t="s">
        <v>119</v>
      </c>
      <c r="E109" s="57" t="s">
        <v>123</v>
      </c>
      <c r="F109" s="51"/>
      <c r="H109" s="49">
        <v>1</v>
      </c>
      <c r="K109" s="51"/>
      <c r="L109" s="51"/>
      <c r="M109" s="51"/>
      <c r="N109" s="108">
        <f>VLOOKUP($A109, Stat!$A$1:$C$501, 2,0)</f>
        <v>31</v>
      </c>
      <c r="O109" s="108">
        <f>VLOOKUP($A109, Stat!$A$1:$C$501, 3,0)</f>
        <v>5</v>
      </c>
      <c r="P109" s="53">
        <v>0</v>
      </c>
      <c r="Q109" s="53">
        <v>-1</v>
      </c>
      <c r="T109" s="53">
        <v>1</v>
      </c>
    </row>
    <row r="110" spans="1:20" ht="13.2" customHeight="1" x14ac:dyDescent="0.25">
      <c r="A110" s="53">
        <v>350</v>
      </c>
      <c r="B110" s="53" t="s">
        <v>41</v>
      </c>
      <c r="C110" s="53" t="s">
        <v>60</v>
      </c>
      <c r="D110" s="53" t="s">
        <v>521</v>
      </c>
      <c r="E110" s="53" t="s">
        <v>522</v>
      </c>
      <c r="N110" s="108">
        <f>VLOOKUP($A110, Stat!$A$1:$C$501, 2,0)</f>
        <v>30</v>
      </c>
      <c r="O110" s="108">
        <f>VLOOKUP($A110, Stat!$A$1:$C$501, 3,0)</f>
        <v>0</v>
      </c>
      <c r="P110" s="53">
        <v>60</v>
      </c>
      <c r="Q110" s="53">
        <v>0</v>
      </c>
      <c r="S110" s="53" t="s">
        <v>525</v>
      </c>
      <c r="T110" s="53">
        <v>1</v>
      </c>
    </row>
    <row r="111" spans="1:20" ht="13.2" customHeight="1" x14ac:dyDescent="0.25">
      <c r="A111" s="53">
        <v>62</v>
      </c>
      <c r="B111" s="53" t="s">
        <v>39</v>
      </c>
      <c r="C111" s="53" t="s">
        <v>83</v>
      </c>
      <c r="D111" s="53" t="s">
        <v>128</v>
      </c>
      <c r="E111" s="57" t="s">
        <v>51</v>
      </c>
      <c r="F111" s="51"/>
      <c r="K111" s="51"/>
      <c r="L111" s="51"/>
      <c r="M111" s="51"/>
      <c r="N111" s="108">
        <f>VLOOKUP($A111, Stat!$A$1:$C$501, 2,0)</f>
        <v>30</v>
      </c>
      <c r="O111" s="108">
        <f>VLOOKUP($A111, Stat!$A$1:$C$501, 3,0)</f>
        <v>0</v>
      </c>
      <c r="P111" s="53">
        <v>100</v>
      </c>
      <c r="Q111" s="53">
        <v>0</v>
      </c>
      <c r="T111" s="53">
        <v>1</v>
      </c>
    </row>
    <row r="112" spans="1:20" ht="13.2" customHeight="1" x14ac:dyDescent="0.25">
      <c r="A112" s="53">
        <v>146</v>
      </c>
      <c r="B112" s="53" t="s">
        <v>39</v>
      </c>
      <c r="C112" s="53" t="s">
        <v>87</v>
      </c>
      <c r="D112" s="53" t="s">
        <v>397</v>
      </c>
      <c r="E112" s="57" t="s">
        <v>5</v>
      </c>
      <c r="F112" s="51"/>
      <c r="K112" s="51"/>
      <c r="L112" s="51"/>
      <c r="M112" s="51"/>
      <c r="N112" s="108">
        <f>VLOOKUP($A112, Stat!$A$1:$C$501, 2,0)</f>
        <v>31</v>
      </c>
      <c r="O112" s="108">
        <f>VLOOKUP($A112, Stat!$A$1:$C$501, 3,0)</f>
        <v>0</v>
      </c>
      <c r="P112" s="53">
        <v>40</v>
      </c>
      <c r="Q112" s="53">
        <v>-1</v>
      </c>
      <c r="R112" s="53" t="s">
        <v>440</v>
      </c>
      <c r="T112" s="53">
        <v>1</v>
      </c>
    </row>
    <row r="113" spans="1:20" ht="13.2" customHeight="1" x14ac:dyDescent="0.25">
      <c r="A113" s="53">
        <v>131</v>
      </c>
      <c r="B113" s="53" t="s">
        <v>39</v>
      </c>
      <c r="C113" s="53" t="s">
        <v>83</v>
      </c>
      <c r="D113" s="53" t="s">
        <v>124</v>
      </c>
      <c r="E113" s="57" t="s">
        <v>51</v>
      </c>
      <c r="F113" s="51"/>
      <c r="K113" s="51"/>
      <c r="L113" s="51"/>
      <c r="M113" s="51"/>
      <c r="N113" s="108">
        <f>VLOOKUP($A113, Stat!$A$1:$C$501, 2,0)</f>
        <v>29</v>
      </c>
      <c r="O113" s="108">
        <f>VLOOKUP($A113, Stat!$A$1:$C$501, 3,0)</f>
        <v>0</v>
      </c>
      <c r="P113" s="53">
        <v>100</v>
      </c>
      <c r="Q113" s="53">
        <v>0</v>
      </c>
      <c r="T113" s="53">
        <v>1</v>
      </c>
    </row>
    <row r="114" spans="1:20" ht="13.2" customHeight="1" x14ac:dyDescent="0.25">
      <c r="A114" s="53">
        <v>206</v>
      </c>
      <c r="B114" s="53" t="s">
        <v>39</v>
      </c>
      <c r="C114" s="53" t="s">
        <v>86</v>
      </c>
      <c r="D114" s="53" t="s">
        <v>191</v>
      </c>
      <c r="E114" s="57" t="s">
        <v>5</v>
      </c>
      <c r="F114" s="51"/>
      <c r="K114" s="51"/>
      <c r="L114" s="51"/>
      <c r="M114" s="51"/>
      <c r="N114" s="108">
        <f>VLOOKUP($A114, Stat!$A$1:$C$501, 2,0)</f>
        <v>29</v>
      </c>
      <c r="O114" s="108">
        <f>VLOOKUP($A114, Stat!$A$1:$C$501, 3,0)</f>
        <v>0</v>
      </c>
      <c r="P114" s="53">
        <v>40</v>
      </c>
      <c r="Q114" s="53">
        <v>-1</v>
      </c>
      <c r="T114" s="53">
        <v>1</v>
      </c>
    </row>
    <row r="115" spans="1:20" ht="13.2" customHeight="1" x14ac:dyDescent="0.25">
      <c r="A115" s="53">
        <v>341</v>
      </c>
      <c r="B115" s="53" t="s">
        <v>41</v>
      </c>
      <c r="C115" s="53" t="s">
        <v>208</v>
      </c>
      <c r="D115" s="53" t="s">
        <v>196</v>
      </c>
      <c r="E115" s="53" t="s">
        <v>498</v>
      </c>
      <c r="L115" s="49">
        <v>1</v>
      </c>
      <c r="N115" s="108">
        <f>VLOOKUP($A115, Stat!$A$1:$C$501, 2,0)</f>
        <v>29</v>
      </c>
      <c r="O115" s="108">
        <f>VLOOKUP($A115, Stat!$A$1:$C$501, 3,0)</f>
        <v>0</v>
      </c>
      <c r="P115" s="53">
        <v>0</v>
      </c>
      <c r="Q115" s="53">
        <v>0</v>
      </c>
      <c r="S115" s="53" t="s">
        <v>499</v>
      </c>
      <c r="T115" s="53">
        <v>1</v>
      </c>
    </row>
    <row r="116" spans="1:20" ht="13.2" customHeight="1" x14ac:dyDescent="0.25">
      <c r="A116" s="53">
        <v>19</v>
      </c>
      <c r="B116" s="53" t="s">
        <v>39</v>
      </c>
      <c r="C116" s="53" t="s">
        <v>16</v>
      </c>
      <c r="D116" s="53" t="s">
        <v>502</v>
      </c>
      <c r="E116" s="57" t="s">
        <v>50</v>
      </c>
      <c r="F116" s="51"/>
      <c r="H116" s="49">
        <v>1</v>
      </c>
      <c r="K116" s="50" t="s">
        <v>438</v>
      </c>
      <c r="L116" s="51"/>
      <c r="M116" s="51"/>
      <c r="N116" s="108">
        <f>VLOOKUP($A116, Stat!$A$1:$C$501, 2,0)</f>
        <v>27</v>
      </c>
      <c r="O116" s="108">
        <f>VLOOKUP($A116, Stat!$A$1:$C$501, 3,0)</f>
        <v>3</v>
      </c>
      <c r="P116" s="53">
        <v>60</v>
      </c>
      <c r="Q116" s="53">
        <v>0</v>
      </c>
      <c r="R116" s="53" t="s">
        <v>504</v>
      </c>
      <c r="T116" s="53">
        <v>1</v>
      </c>
    </row>
    <row r="117" spans="1:20" ht="13.2" customHeight="1" x14ac:dyDescent="0.25">
      <c r="A117" s="53">
        <v>37</v>
      </c>
      <c r="B117" s="53" t="s">
        <v>39</v>
      </c>
      <c r="C117" s="53" t="s">
        <v>17</v>
      </c>
      <c r="D117" s="53" t="s">
        <v>17</v>
      </c>
      <c r="E117" s="57" t="s">
        <v>388</v>
      </c>
      <c r="F117" s="51"/>
      <c r="K117" s="51"/>
      <c r="L117" s="51"/>
      <c r="M117" s="51"/>
      <c r="N117" s="108">
        <f>VLOOKUP($A117, Stat!$A$1:$C$501, 2,0)</f>
        <v>27</v>
      </c>
      <c r="O117" s="108">
        <f>VLOOKUP($A117, Stat!$A$1:$C$501, 3,0)</f>
        <v>1</v>
      </c>
      <c r="P117" s="53">
        <v>70</v>
      </c>
      <c r="Q117" s="53">
        <v>0</v>
      </c>
      <c r="T117" s="53">
        <v>1</v>
      </c>
    </row>
    <row r="118" spans="1:20" ht="13.2" customHeight="1" x14ac:dyDescent="0.25">
      <c r="A118" s="53">
        <v>124</v>
      </c>
      <c r="B118" s="53" t="s">
        <v>39</v>
      </c>
      <c r="C118" s="53" t="s">
        <v>86</v>
      </c>
      <c r="D118" s="53" t="s">
        <v>86</v>
      </c>
      <c r="E118" s="57" t="s">
        <v>3</v>
      </c>
      <c r="F118" s="51"/>
      <c r="K118" s="50" t="s">
        <v>398</v>
      </c>
      <c r="L118" s="51"/>
      <c r="M118" s="51"/>
      <c r="N118" s="108">
        <f>VLOOKUP($A118, Stat!$A$1:$C$501, 2,0)</f>
        <v>31</v>
      </c>
      <c r="O118" s="108">
        <f>VLOOKUP($A118, Stat!$A$1:$C$501, 3,0)</f>
        <v>1</v>
      </c>
      <c r="P118" s="53">
        <v>0</v>
      </c>
      <c r="Q118" s="53">
        <v>-1</v>
      </c>
      <c r="R118" s="53" t="s">
        <v>173</v>
      </c>
      <c r="T118" s="53">
        <v>1</v>
      </c>
    </row>
    <row r="119" spans="1:20" ht="13.2" customHeight="1" x14ac:dyDescent="0.25">
      <c r="A119" s="53">
        <v>345</v>
      </c>
      <c r="B119" s="53" t="s">
        <v>39</v>
      </c>
      <c r="C119" s="53" t="s">
        <v>15</v>
      </c>
      <c r="D119" s="53" t="s">
        <v>507</v>
      </c>
      <c r="E119" s="53" t="s">
        <v>509</v>
      </c>
      <c r="N119" s="108">
        <f>VLOOKUP($A119, Stat!$A$1:$C$501, 2,0)</f>
        <v>27</v>
      </c>
      <c r="O119" s="108">
        <f>VLOOKUP($A119, Stat!$A$1:$C$501, 3,0)</f>
        <v>0</v>
      </c>
      <c r="P119" s="53">
        <v>0</v>
      </c>
      <c r="Q119" s="53">
        <v>0</v>
      </c>
      <c r="S119" s="53" t="s">
        <v>512</v>
      </c>
      <c r="T119" s="53">
        <v>1</v>
      </c>
    </row>
    <row r="120" spans="1:20" ht="13.2" customHeight="1" x14ac:dyDescent="0.25">
      <c r="A120" s="53">
        <v>17</v>
      </c>
      <c r="B120" s="53" t="s">
        <v>41</v>
      </c>
      <c r="C120" s="53" t="s">
        <v>18</v>
      </c>
      <c r="D120" s="53" t="s">
        <v>19</v>
      </c>
      <c r="E120" s="57" t="s">
        <v>53</v>
      </c>
      <c r="F120" s="50" t="s">
        <v>272</v>
      </c>
      <c r="G120" s="49">
        <v>1</v>
      </c>
      <c r="K120" s="50"/>
      <c r="L120" s="51"/>
      <c r="M120" s="50" t="s">
        <v>270</v>
      </c>
      <c r="N120" s="108">
        <f>VLOOKUP($A120, Stat!$A$1:$C$501, 2,0)</f>
        <v>35</v>
      </c>
      <c r="O120" s="108">
        <f>VLOOKUP($A120, Stat!$A$1:$C$501, 3,0)</f>
        <v>1</v>
      </c>
      <c r="P120" s="53">
        <v>20</v>
      </c>
      <c r="Q120" s="53">
        <v>0</v>
      </c>
      <c r="T120" s="53">
        <v>1</v>
      </c>
    </row>
    <row r="121" spans="1:20" ht="13.2" customHeight="1" x14ac:dyDescent="0.25">
      <c r="A121" s="53">
        <v>26</v>
      </c>
      <c r="B121" s="53" t="s">
        <v>39</v>
      </c>
      <c r="C121" s="53" t="s">
        <v>15</v>
      </c>
      <c r="D121" s="53" t="s">
        <v>56</v>
      </c>
      <c r="E121" s="57" t="s">
        <v>94</v>
      </c>
      <c r="F121" s="51"/>
      <c r="J121" s="49">
        <v>1</v>
      </c>
      <c r="K121" s="51"/>
      <c r="L121" s="51"/>
      <c r="M121" s="51"/>
      <c r="N121" s="108">
        <f>VLOOKUP($A121, Stat!$A$1:$C$501, 2,0)</f>
        <v>29</v>
      </c>
      <c r="O121" s="108">
        <f>VLOOKUP($A121, Stat!$A$1:$C$501, 3,0)</f>
        <v>0</v>
      </c>
      <c r="P121" s="53">
        <v>60</v>
      </c>
      <c r="Q121" s="53">
        <v>-1</v>
      </c>
      <c r="S121" s="53" t="s">
        <v>230</v>
      </c>
      <c r="T121" s="53">
        <v>1</v>
      </c>
    </row>
    <row r="122" spans="1:20" ht="13.2" customHeight="1" x14ac:dyDescent="0.25">
      <c r="A122" s="53">
        <v>118</v>
      </c>
      <c r="B122" s="53" t="s">
        <v>39</v>
      </c>
      <c r="C122" s="53" t="s">
        <v>86</v>
      </c>
      <c r="D122" s="53" t="s">
        <v>171</v>
      </c>
      <c r="E122" s="57" t="s">
        <v>5</v>
      </c>
      <c r="F122" s="51"/>
      <c r="K122" s="50" t="s">
        <v>400</v>
      </c>
      <c r="L122" s="51"/>
      <c r="M122" s="51"/>
      <c r="N122" s="108">
        <f>VLOOKUP($A122, Stat!$A$1:$C$501, 2,0)</f>
        <v>29</v>
      </c>
      <c r="O122" s="108">
        <f>VLOOKUP($A122, Stat!$A$1:$C$501, 3,0)</f>
        <v>0</v>
      </c>
      <c r="P122" s="53">
        <v>60</v>
      </c>
      <c r="Q122" s="53">
        <v>-1</v>
      </c>
      <c r="R122" s="53" t="s">
        <v>172</v>
      </c>
      <c r="T122" s="53">
        <v>1</v>
      </c>
    </row>
    <row r="123" spans="1:20" ht="13.2" customHeight="1" x14ac:dyDescent="0.25">
      <c r="A123" s="53">
        <v>141</v>
      </c>
      <c r="B123" s="53" t="s">
        <v>39</v>
      </c>
      <c r="C123" s="53" t="s">
        <v>83</v>
      </c>
      <c r="D123" s="53" t="s">
        <v>125</v>
      </c>
      <c r="E123" s="57" t="s">
        <v>4</v>
      </c>
      <c r="F123" s="51"/>
      <c r="K123" s="50" t="s">
        <v>261</v>
      </c>
      <c r="L123" s="51"/>
      <c r="M123" s="51"/>
      <c r="N123" s="108">
        <f>VLOOKUP($A123, Stat!$A$1:$C$501, 2,0)</f>
        <v>27</v>
      </c>
      <c r="O123" s="108">
        <f>VLOOKUP($A123, Stat!$A$1:$C$501, 3,0)</f>
        <v>0</v>
      </c>
      <c r="P123" s="53">
        <v>0</v>
      </c>
      <c r="Q123" s="53">
        <v>-1</v>
      </c>
      <c r="T123" s="53">
        <v>1</v>
      </c>
    </row>
    <row r="124" spans="1:20" ht="13.2" customHeight="1" x14ac:dyDescent="0.25">
      <c r="A124" s="53">
        <v>242</v>
      </c>
      <c r="B124" s="53" t="s">
        <v>41</v>
      </c>
      <c r="C124" s="53" t="s">
        <v>208</v>
      </c>
      <c r="D124" s="53" t="s">
        <v>374</v>
      </c>
      <c r="E124" s="57" t="s">
        <v>203</v>
      </c>
      <c r="F124" s="51"/>
      <c r="H124" s="49">
        <v>1</v>
      </c>
      <c r="K124" s="51"/>
      <c r="L124" s="51"/>
      <c r="M124" s="51"/>
      <c r="N124" s="108">
        <f>VLOOKUP($A124, Stat!$A$1:$C$501, 2,0)</f>
        <v>29</v>
      </c>
      <c r="O124" s="108">
        <f>VLOOKUP($A124, Stat!$A$1:$C$501, 3,0)</f>
        <v>8</v>
      </c>
      <c r="P124" s="53">
        <v>0</v>
      </c>
      <c r="Q124" s="53">
        <v>1</v>
      </c>
      <c r="T124" s="53">
        <v>1</v>
      </c>
    </row>
    <row r="125" spans="1:20" ht="13.2" customHeight="1" x14ac:dyDescent="0.25">
      <c r="A125" s="53">
        <v>2</v>
      </c>
      <c r="B125" s="53" t="s">
        <v>39</v>
      </c>
      <c r="C125" s="53" t="s">
        <v>16</v>
      </c>
      <c r="D125" s="53" t="s">
        <v>16</v>
      </c>
      <c r="E125" s="57" t="s">
        <v>49</v>
      </c>
      <c r="F125" s="51"/>
      <c r="H125" s="49">
        <v>1</v>
      </c>
      <c r="K125" s="51"/>
      <c r="L125" s="51"/>
      <c r="M125" s="51"/>
      <c r="N125" s="108">
        <f>VLOOKUP($A125, Stat!$A$1:$C$501, 2,0)</f>
        <v>26</v>
      </c>
      <c r="O125" s="108">
        <f>VLOOKUP($A125, Stat!$A$1:$C$501, 3,0)</f>
        <v>1</v>
      </c>
      <c r="P125" s="53">
        <v>40</v>
      </c>
      <c r="Q125" s="53">
        <v>1</v>
      </c>
      <c r="S125" s="53" t="s">
        <v>437</v>
      </c>
      <c r="T125" s="53">
        <v>1</v>
      </c>
    </row>
    <row r="126" spans="1:20" ht="13.2" customHeight="1" x14ac:dyDescent="0.25">
      <c r="A126" s="53">
        <v>25</v>
      </c>
      <c r="B126" s="53" t="s">
        <v>39</v>
      </c>
      <c r="C126" s="53" t="s">
        <v>7</v>
      </c>
      <c r="D126" s="53" t="s">
        <v>169</v>
      </c>
      <c r="E126" s="57" t="s">
        <v>413</v>
      </c>
      <c r="F126" s="51"/>
      <c r="J126" s="49">
        <v>1</v>
      </c>
      <c r="K126" s="50" t="s">
        <v>420</v>
      </c>
      <c r="L126" s="51"/>
      <c r="M126" s="51"/>
      <c r="N126" s="108">
        <f>VLOOKUP($A126, Stat!$A$1:$C$501, 2,0)</f>
        <v>23</v>
      </c>
      <c r="O126" s="108">
        <f>VLOOKUP($A126, Stat!$A$1:$C$501, 3,0)</f>
        <v>0</v>
      </c>
      <c r="P126" s="53">
        <v>60</v>
      </c>
      <c r="Q126" s="53">
        <v>0</v>
      </c>
      <c r="S126" s="53" t="s">
        <v>229</v>
      </c>
      <c r="T126" s="53">
        <v>1</v>
      </c>
    </row>
    <row r="127" spans="1:20" ht="13.2" customHeight="1" x14ac:dyDescent="0.25">
      <c r="A127" s="53">
        <v>247</v>
      </c>
      <c r="B127" s="53" t="s">
        <v>41</v>
      </c>
      <c r="C127" s="53" t="s">
        <v>208</v>
      </c>
      <c r="D127" s="53" t="s">
        <v>208</v>
      </c>
      <c r="E127" s="57" t="s">
        <v>212</v>
      </c>
      <c r="F127" s="51"/>
      <c r="H127" s="49">
        <v>1</v>
      </c>
      <c r="K127" s="51"/>
      <c r="L127" s="51"/>
      <c r="M127" s="51"/>
      <c r="N127" s="108">
        <f>VLOOKUP($A127, Stat!$A$1:$C$501, 2,0)</f>
        <v>27</v>
      </c>
      <c r="O127" s="108">
        <f>VLOOKUP($A127, Stat!$A$1:$C$501, 3,0)</f>
        <v>11</v>
      </c>
      <c r="P127" s="53">
        <v>60</v>
      </c>
      <c r="Q127" s="53">
        <v>0</v>
      </c>
      <c r="S127" s="53" t="s">
        <v>247</v>
      </c>
      <c r="T127" s="53">
        <v>1</v>
      </c>
    </row>
    <row r="128" spans="1:20" ht="13.2" customHeight="1" x14ac:dyDescent="0.25">
      <c r="A128" s="53">
        <v>358</v>
      </c>
      <c r="B128" s="53" t="s">
        <v>41</v>
      </c>
      <c r="C128" s="53" t="s">
        <v>64</v>
      </c>
      <c r="D128" s="53" t="s">
        <v>530</v>
      </c>
      <c r="E128" s="53" t="s">
        <v>297</v>
      </c>
      <c r="N128" s="108">
        <f>VLOOKUP($A128, Stat!$A$1:$C$501, 2,0)</f>
        <v>25</v>
      </c>
      <c r="O128" s="108">
        <f>VLOOKUP($A128, Stat!$A$1:$C$501, 3,0)</f>
        <v>4</v>
      </c>
      <c r="P128" s="53">
        <v>100</v>
      </c>
      <c r="Q128" s="53">
        <v>0</v>
      </c>
      <c r="T128" s="53">
        <v>1</v>
      </c>
    </row>
    <row r="129" spans="1:20" ht="13.2" customHeight="1" x14ac:dyDescent="0.25">
      <c r="A129" s="53">
        <v>40</v>
      </c>
      <c r="B129" s="53" t="s">
        <v>41</v>
      </c>
      <c r="C129" s="53" t="s">
        <v>18</v>
      </c>
      <c r="D129" s="53" t="s">
        <v>402</v>
      </c>
      <c r="E129" s="53" t="s">
        <v>52</v>
      </c>
      <c r="F129" s="49">
        <v>1</v>
      </c>
      <c r="N129" s="108">
        <f>VLOOKUP($A129, Stat!$A$1:$C$501, 2,0)</f>
        <v>27</v>
      </c>
      <c r="O129" s="108">
        <f>VLOOKUP($A129, Stat!$A$1:$C$501, 3,0)</f>
        <v>2</v>
      </c>
      <c r="P129" s="53">
        <v>70</v>
      </c>
      <c r="Q129" s="53">
        <v>0</v>
      </c>
      <c r="S129" s="53" t="s">
        <v>557</v>
      </c>
      <c r="T129" s="53">
        <v>1</v>
      </c>
    </row>
    <row r="130" spans="1:20" ht="13.2" customHeight="1" x14ac:dyDescent="0.25">
      <c r="A130" s="53">
        <v>50</v>
      </c>
      <c r="B130" s="53" t="s">
        <v>41</v>
      </c>
      <c r="C130" s="53" t="s">
        <v>531</v>
      </c>
      <c r="D130" s="53" t="s">
        <v>75</v>
      </c>
      <c r="E130" s="57" t="s">
        <v>539</v>
      </c>
      <c r="F130" s="51"/>
      <c r="H130" s="49">
        <v>1</v>
      </c>
      <c r="K130" s="51"/>
      <c r="L130" s="51"/>
      <c r="M130" s="51"/>
      <c r="N130" s="108">
        <f>VLOOKUP($A130, Stat!$A$1:$C$501, 2,0)</f>
        <v>24</v>
      </c>
      <c r="O130" s="108">
        <f>VLOOKUP($A130, Stat!$A$1:$C$501, 3,0)</f>
        <v>1</v>
      </c>
      <c r="P130" s="53">
        <v>100</v>
      </c>
      <c r="Q130" s="53">
        <v>0</v>
      </c>
      <c r="T130" s="53">
        <v>1</v>
      </c>
    </row>
    <row r="131" spans="1:20" ht="13.2" customHeight="1" x14ac:dyDescent="0.25">
      <c r="A131" s="53">
        <v>88</v>
      </c>
      <c r="B131" s="53" t="s">
        <v>41</v>
      </c>
      <c r="C131" s="53" t="s">
        <v>208</v>
      </c>
      <c r="D131" s="53" t="s">
        <v>197</v>
      </c>
      <c r="E131" s="57" t="s">
        <v>182</v>
      </c>
      <c r="F131" s="51"/>
      <c r="H131" s="49">
        <v>1</v>
      </c>
      <c r="K131" s="51"/>
      <c r="L131" s="51"/>
      <c r="M131" s="51"/>
      <c r="N131" s="108">
        <f>VLOOKUP($A131, Stat!$A$1:$C$501, 2,0)</f>
        <v>24</v>
      </c>
      <c r="O131" s="108">
        <f>VLOOKUP($A131, Stat!$A$1:$C$501, 3,0)</f>
        <v>9</v>
      </c>
      <c r="P131" s="53">
        <v>60</v>
      </c>
      <c r="Q131" s="53">
        <v>0</v>
      </c>
      <c r="S131" s="53" t="s">
        <v>249</v>
      </c>
      <c r="T131" s="53">
        <v>1</v>
      </c>
    </row>
    <row r="132" spans="1:20" ht="13.2" customHeight="1" x14ac:dyDescent="0.25">
      <c r="A132" s="53">
        <v>105</v>
      </c>
      <c r="B132" s="53" t="s">
        <v>39</v>
      </c>
      <c r="C132" s="53" t="s">
        <v>87</v>
      </c>
      <c r="D132" s="53" t="s">
        <v>81</v>
      </c>
      <c r="E132" s="57" t="s">
        <v>4</v>
      </c>
      <c r="F132" s="51"/>
      <c r="K132" s="51"/>
      <c r="L132" s="51"/>
      <c r="M132" s="51"/>
      <c r="N132" s="108">
        <f>VLOOKUP($A132, Stat!$A$1:$C$501, 2,0)</f>
        <v>23</v>
      </c>
      <c r="O132" s="108">
        <f>VLOOKUP($A132, Stat!$A$1:$C$501, 3,0)</f>
        <v>0</v>
      </c>
      <c r="P132" s="53">
        <v>10</v>
      </c>
      <c r="Q132" s="53">
        <v>-1</v>
      </c>
      <c r="T132" s="53">
        <v>1</v>
      </c>
    </row>
    <row r="133" spans="1:20" ht="13.2" customHeight="1" x14ac:dyDescent="0.25">
      <c r="A133" s="53">
        <v>252</v>
      </c>
      <c r="B133" s="53" t="s">
        <v>41</v>
      </c>
      <c r="C133" s="53" t="s">
        <v>208</v>
      </c>
      <c r="D133" s="53" t="s">
        <v>75</v>
      </c>
      <c r="E133" s="57" t="s">
        <v>222</v>
      </c>
      <c r="F133" s="51"/>
      <c r="G133" s="52"/>
      <c r="H133" s="49">
        <v>1</v>
      </c>
      <c r="I133" s="52"/>
      <c r="J133" s="49">
        <v>1</v>
      </c>
      <c r="K133" s="51"/>
      <c r="L133" s="51"/>
      <c r="M133" s="51"/>
      <c r="N133" s="108">
        <f>VLOOKUP($A133, Stat!$A$1:$C$501, 2,0)</f>
        <v>24</v>
      </c>
      <c r="O133" s="108">
        <f>VLOOKUP($A133, Stat!$A$1:$C$501, 3,0)</f>
        <v>4</v>
      </c>
      <c r="P133" s="53">
        <v>60</v>
      </c>
      <c r="Q133" s="53">
        <v>0</v>
      </c>
      <c r="T133" s="53">
        <v>1</v>
      </c>
    </row>
    <row r="134" spans="1:20" ht="13.2" customHeight="1" x14ac:dyDescent="0.25">
      <c r="A134" s="53">
        <v>329</v>
      </c>
      <c r="B134" s="53" t="s">
        <v>41</v>
      </c>
      <c r="C134" s="53" t="s">
        <v>18</v>
      </c>
      <c r="D134" s="53" t="s">
        <v>402</v>
      </c>
      <c r="E134" s="53" t="s">
        <v>469</v>
      </c>
      <c r="F134" s="49">
        <v>1</v>
      </c>
      <c r="N134" s="108">
        <f>VLOOKUP($A134, Stat!$A$1:$C$501, 2,0)</f>
        <v>32</v>
      </c>
      <c r="O134" s="108">
        <f>VLOOKUP($A134, Stat!$A$1:$C$501, 3,0)</f>
        <v>1</v>
      </c>
      <c r="P134" s="53">
        <v>30</v>
      </c>
      <c r="Q134" s="53">
        <v>1</v>
      </c>
      <c r="S134" s="53" t="s">
        <v>464</v>
      </c>
      <c r="T134" s="53">
        <v>1</v>
      </c>
    </row>
    <row r="135" spans="1:20" ht="13.2" customHeight="1" x14ac:dyDescent="0.25">
      <c r="A135" s="53">
        <v>22</v>
      </c>
      <c r="B135" s="53" t="s">
        <v>39</v>
      </c>
      <c r="C135" s="53" t="s">
        <v>83</v>
      </c>
      <c r="D135" s="53" t="s">
        <v>6</v>
      </c>
      <c r="E135" s="57" t="s">
        <v>89</v>
      </c>
      <c r="F135" s="51"/>
      <c r="K135" s="51"/>
      <c r="L135" s="51"/>
      <c r="M135" s="51"/>
      <c r="N135" s="108">
        <f>VLOOKUP($A135, Stat!$A$1:$C$501, 2,0)</f>
        <v>23</v>
      </c>
      <c r="O135" s="108">
        <f>VLOOKUP($A135, Stat!$A$1:$C$501, 3,0)</f>
        <v>1</v>
      </c>
      <c r="P135" s="53">
        <v>30</v>
      </c>
      <c r="Q135" s="53">
        <v>-1</v>
      </c>
      <c r="T135" s="53">
        <v>1</v>
      </c>
    </row>
    <row r="136" spans="1:20" ht="13.2" customHeight="1" x14ac:dyDescent="0.25">
      <c r="A136" s="53">
        <v>54</v>
      </c>
      <c r="B136" s="53" t="s">
        <v>39</v>
      </c>
      <c r="C136" s="53" t="s">
        <v>87</v>
      </c>
      <c r="D136" s="53" t="s">
        <v>85</v>
      </c>
      <c r="E136" s="57" t="s">
        <v>4</v>
      </c>
      <c r="F136" s="51"/>
      <c r="K136" s="51"/>
      <c r="L136" s="51"/>
      <c r="M136" s="51"/>
      <c r="N136" s="108">
        <f>VLOOKUP($A136, Stat!$A$1:$C$501, 2,0)</f>
        <v>21</v>
      </c>
      <c r="O136" s="108">
        <f>VLOOKUP($A136, Stat!$A$1:$C$501, 3,0)</f>
        <v>0</v>
      </c>
      <c r="P136" s="53">
        <v>10</v>
      </c>
      <c r="Q136" s="53">
        <v>-1</v>
      </c>
      <c r="T136" s="53">
        <v>1</v>
      </c>
    </row>
    <row r="137" spans="1:20" ht="13.2" customHeight="1" x14ac:dyDescent="0.25">
      <c r="A137" s="53">
        <v>74</v>
      </c>
      <c r="B137" s="53" t="s">
        <v>41</v>
      </c>
      <c r="C137" s="53" t="s">
        <v>60</v>
      </c>
      <c r="D137" s="53" t="s">
        <v>58</v>
      </c>
      <c r="E137" s="57" t="s">
        <v>59</v>
      </c>
      <c r="F137" s="51"/>
      <c r="H137" s="49">
        <v>1</v>
      </c>
      <c r="K137" s="51"/>
      <c r="L137" s="51"/>
      <c r="M137" s="51"/>
      <c r="N137" s="108">
        <f>VLOOKUP($A137, Stat!$A$1:$C$501, 2,0)</f>
        <v>23</v>
      </c>
      <c r="O137" s="108">
        <f>VLOOKUP($A137, Stat!$A$1:$C$501, 3,0)</f>
        <v>4</v>
      </c>
      <c r="P137" s="53">
        <v>60</v>
      </c>
      <c r="Q137" s="53">
        <v>0</v>
      </c>
      <c r="S137" s="53" t="s">
        <v>235</v>
      </c>
      <c r="T137" s="53">
        <v>1</v>
      </c>
    </row>
    <row r="138" spans="1:20" ht="13.2" customHeight="1" x14ac:dyDescent="0.25">
      <c r="A138" s="53">
        <v>167</v>
      </c>
      <c r="B138" s="53" t="s">
        <v>41</v>
      </c>
      <c r="C138" s="53" t="s">
        <v>60</v>
      </c>
      <c r="D138" s="53" t="s">
        <v>112</v>
      </c>
      <c r="E138" s="57" t="s">
        <v>108</v>
      </c>
      <c r="F138" s="51"/>
      <c r="H138" s="49">
        <v>1</v>
      </c>
      <c r="K138" s="51"/>
      <c r="L138" s="51"/>
      <c r="M138" s="51"/>
      <c r="N138" s="108">
        <f>VLOOKUP($A138, Stat!$A$1:$C$501, 2,0)</f>
        <v>23</v>
      </c>
      <c r="O138" s="108">
        <f>VLOOKUP($A138, Stat!$A$1:$C$501, 3,0)</f>
        <v>3</v>
      </c>
      <c r="P138" s="53">
        <v>0</v>
      </c>
      <c r="Q138" s="53">
        <v>-1</v>
      </c>
      <c r="T138" s="53">
        <v>1</v>
      </c>
    </row>
    <row r="139" spans="1:20" ht="13.2" customHeight="1" x14ac:dyDescent="0.25">
      <c r="A139" s="53">
        <v>219</v>
      </c>
      <c r="B139" s="53" t="s">
        <v>41</v>
      </c>
      <c r="C139" s="53" t="s">
        <v>64</v>
      </c>
      <c r="D139" s="53" t="s">
        <v>181</v>
      </c>
      <c r="E139" s="57" t="s">
        <v>183</v>
      </c>
      <c r="F139" s="51"/>
      <c r="H139" s="49">
        <v>1</v>
      </c>
      <c r="K139" s="51"/>
      <c r="L139" s="51"/>
      <c r="M139" s="51"/>
      <c r="N139" s="108">
        <f>VLOOKUP($A139, Stat!$A$1:$C$501, 2,0)</f>
        <v>25</v>
      </c>
      <c r="O139" s="108">
        <f>VLOOKUP($A139, Stat!$A$1:$C$501, 3,0)</f>
        <v>5</v>
      </c>
      <c r="P139" s="53">
        <v>60</v>
      </c>
      <c r="Q139" s="53">
        <v>0</v>
      </c>
      <c r="S139" s="53" t="s">
        <v>240</v>
      </c>
      <c r="T139" s="53">
        <v>1</v>
      </c>
    </row>
    <row r="140" spans="1:20" ht="13.2" customHeight="1" x14ac:dyDescent="0.25">
      <c r="A140" s="53">
        <v>56</v>
      </c>
      <c r="B140" s="53" t="s">
        <v>39</v>
      </c>
      <c r="C140" s="53" t="s">
        <v>87</v>
      </c>
      <c r="D140" s="53" t="s">
        <v>85</v>
      </c>
      <c r="E140" s="57" t="s">
        <v>51</v>
      </c>
      <c r="F140" s="51"/>
      <c r="K140" s="51"/>
      <c r="L140" s="51"/>
      <c r="M140" s="51"/>
      <c r="N140" s="108">
        <f>VLOOKUP($A140, Stat!$A$1:$C$501, 2,0)</f>
        <v>22</v>
      </c>
      <c r="O140" s="108">
        <f>VLOOKUP($A140, Stat!$A$1:$C$501, 3,0)</f>
        <v>0</v>
      </c>
      <c r="P140" s="53">
        <v>60</v>
      </c>
      <c r="Q140" s="53">
        <v>-1</v>
      </c>
      <c r="T140" s="53">
        <v>1</v>
      </c>
    </row>
    <row r="141" spans="1:20" ht="13.2" customHeight="1" x14ac:dyDescent="0.25">
      <c r="A141" s="53">
        <v>63</v>
      </c>
      <c r="B141" s="53" t="s">
        <v>39</v>
      </c>
      <c r="C141" s="53" t="s">
        <v>83</v>
      </c>
      <c r="D141" s="53" t="s">
        <v>259</v>
      </c>
      <c r="E141" s="57" t="s">
        <v>3</v>
      </c>
      <c r="F141" s="51"/>
      <c r="K141" s="50" t="s">
        <v>281</v>
      </c>
      <c r="L141" s="51"/>
      <c r="M141" s="51"/>
      <c r="N141" s="108">
        <f>VLOOKUP($A141, Stat!$A$1:$C$501, 2,0)</f>
        <v>22</v>
      </c>
      <c r="O141" s="108">
        <f>VLOOKUP($A141, Stat!$A$1:$C$501, 3,0)</f>
        <v>0</v>
      </c>
      <c r="P141" s="53">
        <v>0</v>
      </c>
      <c r="Q141" s="53">
        <v>0</v>
      </c>
      <c r="T141" s="53">
        <v>1</v>
      </c>
    </row>
    <row r="142" spans="1:20" ht="13.2" customHeight="1" x14ac:dyDescent="0.25">
      <c r="A142" s="53">
        <v>72</v>
      </c>
      <c r="B142" s="53" t="s">
        <v>39</v>
      </c>
      <c r="C142" s="53" t="s">
        <v>15</v>
      </c>
      <c r="D142" s="53" t="s">
        <v>24</v>
      </c>
      <c r="E142" s="57" t="s">
        <v>383</v>
      </c>
      <c r="F142" s="51"/>
      <c r="K142" s="51"/>
      <c r="L142" s="51"/>
      <c r="M142" s="51"/>
      <c r="N142" s="108">
        <f>VLOOKUP($A142, Stat!$A$1:$C$501, 2,0)</f>
        <v>22</v>
      </c>
      <c r="O142" s="108">
        <f>VLOOKUP($A142, Stat!$A$1:$C$501, 3,0)</f>
        <v>0</v>
      </c>
      <c r="P142" s="53">
        <v>60</v>
      </c>
      <c r="Q142" s="53">
        <v>0</v>
      </c>
      <c r="S142" s="53" t="s">
        <v>232</v>
      </c>
      <c r="T142" s="53">
        <v>1</v>
      </c>
    </row>
    <row r="143" spans="1:20" ht="13.2" customHeight="1" x14ac:dyDescent="0.25">
      <c r="A143" s="53">
        <v>73</v>
      </c>
      <c r="B143" s="53" t="s">
        <v>39</v>
      </c>
      <c r="C143" s="53" t="s">
        <v>15</v>
      </c>
      <c r="D143" s="53" t="s">
        <v>24</v>
      </c>
      <c r="E143" s="57" t="s">
        <v>384</v>
      </c>
      <c r="F143" s="51"/>
      <c r="K143" s="51"/>
      <c r="L143" s="51"/>
      <c r="M143" s="51"/>
      <c r="N143" s="108">
        <f>VLOOKUP($A143, Stat!$A$1:$C$501, 2,0)</f>
        <v>22</v>
      </c>
      <c r="O143" s="108">
        <f>VLOOKUP($A143, Stat!$A$1:$C$501, 3,0)</f>
        <v>0</v>
      </c>
      <c r="P143" s="53">
        <v>60</v>
      </c>
      <c r="Q143" s="53">
        <v>0</v>
      </c>
      <c r="S143" s="53" t="s">
        <v>232</v>
      </c>
      <c r="T143" s="53">
        <v>1</v>
      </c>
    </row>
    <row r="144" spans="1:20" ht="13.2" customHeight="1" x14ac:dyDescent="0.25">
      <c r="A144" s="53">
        <v>95</v>
      </c>
      <c r="B144" s="53" t="s">
        <v>41</v>
      </c>
      <c r="C144" s="53" t="s">
        <v>64</v>
      </c>
      <c r="D144" s="53" t="s">
        <v>164</v>
      </c>
      <c r="E144" s="57" t="s">
        <v>52</v>
      </c>
      <c r="F144" s="51"/>
      <c r="J144" s="49">
        <v>1</v>
      </c>
      <c r="K144" s="50" t="s">
        <v>277</v>
      </c>
      <c r="L144" s="51"/>
      <c r="M144" s="51"/>
      <c r="N144" s="108">
        <f>VLOOKUP($A144, Stat!$A$1:$C$501, 2,0)</f>
        <v>21</v>
      </c>
      <c r="O144" s="108">
        <f>VLOOKUP($A144, Stat!$A$1:$C$501, 3,0)</f>
        <v>0</v>
      </c>
      <c r="P144" s="53">
        <v>60</v>
      </c>
      <c r="Q144" s="53">
        <v>0</v>
      </c>
      <c r="R144" s="53" t="s">
        <v>137</v>
      </c>
      <c r="T144" s="53">
        <v>1</v>
      </c>
    </row>
    <row r="145" spans="1:20" ht="13.2" customHeight="1" x14ac:dyDescent="0.25">
      <c r="A145" s="53">
        <v>125</v>
      </c>
      <c r="B145" s="53" t="s">
        <v>39</v>
      </c>
      <c r="C145" s="53" t="s">
        <v>86</v>
      </c>
      <c r="D145" s="53" t="s">
        <v>86</v>
      </c>
      <c r="E145" s="57" t="s">
        <v>4</v>
      </c>
      <c r="F145" s="51"/>
      <c r="K145" s="50" t="s">
        <v>399</v>
      </c>
      <c r="L145" s="51"/>
      <c r="M145" s="51"/>
      <c r="N145" s="108">
        <f>VLOOKUP($A145, Stat!$A$1:$C$501, 2,0)</f>
        <v>22</v>
      </c>
      <c r="O145" s="108">
        <f>VLOOKUP($A145, Stat!$A$1:$C$501, 3,0)</f>
        <v>1</v>
      </c>
      <c r="P145" s="53">
        <v>0</v>
      </c>
      <c r="Q145" s="53">
        <v>0</v>
      </c>
      <c r="R145" s="53" t="s">
        <v>173</v>
      </c>
      <c r="S145" s="53" t="s">
        <v>445</v>
      </c>
      <c r="T145" s="53">
        <v>1</v>
      </c>
    </row>
    <row r="146" spans="1:20" ht="13.2" customHeight="1" x14ac:dyDescent="0.25">
      <c r="A146" s="53">
        <v>256</v>
      </c>
      <c r="B146" s="53" t="s">
        <v>41</v>
      </c>
      <c r="C146" s="53" t="s">
        <v>251</v>
      </c>
      <c r="D146" s="53" t="s">
        <v>252</v>
      </c>
      <c r="E146" s="53" t="s">
        <v>321</v>
      </c>
      <c r="L146" s="49">
        <v>1</v>
      </c>
      <c r="N146" s="108">
        <f>VLOOKUP($A146, Stat!$A$1:$C$501, 2,0)</f>
        <v>29</v>
      </c>
      <c r="O146" s="108">
        <f>VLOOKUP($A146, Stat!$A$1:$C$501, 3,0)</f>
        <v>0</v>
      </c>
      <c r="P146" s="53">
        <v>0</v>
      </c>
      <c r="Q146" s="53">
        <v>1</v>
      </c>
      <c r="S146" s="53" t="s">
        <v>322</v>
      </c>
      <c r="T146" s="53">
        <v>1</v>
      </c>
    </row>
    <row r="147" spans="1:20" ht="13.2" customHeight="1" x14ac:dyDescent="0.25">
      <c r="A147" s="53">
        <v>39</v>
      </c>
      <c r="B147" s="53" t="s">
        <v>39</v>
      </c>
      <c r="C147" s="53" t="s">
        <v>15</v>
      </c>
      <c r="D147" s="53" t="s">
        <v>168</v>
      </c>
      <c r="E147" s="57" t="s">
        <v>376</v>
      </c>
      <c r="F147" s="51"/>
      <c r="K147" s="51"/>
      <c r="L147" s="51"/>
      <c r="M147" s="51"/>
      <c r="N147" s="108">
        <f>VLOOKUP($A147, Stat!$A$1:$C$501, 2,0)</f>
        <v>21</v>
      </c>
      <c r="O147" s="108">
        <f>VLOOKUP($A147, Stat!$A$1:$C$501, 3,0)</f>
        <v>0</v>
      </c>
      <c r="P147" s="53">
        <v>60</v>
      </c>
      <c r="Q147" s="53">
        <v>0</v>
      </c>
      <c r="R147" s="53" t="s">
        <v>78</v>
      </c>
      <c r="T147" s="53">
        <v>1</v>
      </c>
    </row>
    <row r="148" spans="1:20" ht="13.2" customHeight="1" x14ac:dyDescent="0.25">
      <c r="A148" s="53">
        <v>115</v>
      </c>
      <c r="B148" s="53" t="s">
        <v>39</v>
      </c>
      <c r="C148" s="53" t="s">
        <v>86</v>
      </c>
      <c r="D148" s="53" t="s">
        <v>2</v>
      </c>
      <c r="E148" s="57" t="s">
        <v>51</v>
      </c>
      <c r="F148" s="50"/>
      <c r="K148" s="50" t="s">
        <v>401</v>
      </c>
      <c r="L148" s="51"/>
      <c r="M148" s="50"/>
      <c r="N148" s="108">
        <f>VLOOKUP($A148, Stat!$A$1:$C$501, 2,0)</f>
        <v>21</v>
      </c>
      <c r="O148" s="108">
        <f>VLOOKUP($A148, Stat!$A$1:$C$501, 3,0)</f>
        <v>0</v>
      </c>
      <c r="P148" s="53">
        <v>100</v>
      </c>
      <c r="Q148" s="53">
        <v>0</v>
      </c>
      <c r="T148" s="53">
        <v>1</v>
      </c>
    </row>
    <row r="149" spans="1:20" ht="13.2" customHeight="1" x14ac:dyDescent="0.25">
      <c r="A149" s="53">
        <v>119</v>
      </c>
      <c r="B149" s="53" t="s">
        <v>39</v>
      </c>
      <c r="C149" s="53" t="s">
        <v>86</v>
      </c>
      <c r="D149" s="53" t="s">
        <v>171</v>
      </c>
      <c r="E149" s="57" t="s">
        <v>51</v>
      </c>
      <c r="F149" s="51"/>
      <c r="K149" s="50" t="s">
        <v>401</v>
      </c>
      <c r="L149" s="51"/>
      <c r="M149" s="51"/>
      <c r="N149" s="108">
        <f>VLOOKUP($A149, Stat!$A$1:$C$501, 2,0)</f>
        <v>21</v>
      </c>
      <c r="O149" s="108">
        <f>VLOOKUP($A149, Stat!$A$1:$C$501, 3,0)</f>
        <v>0</v>
      </c>
      <c r="P149" s="53">
        <v>100</v>
      </c>
      <c r="Q149" s="53">
        <v>-1</v>
      </c>
      <c r="R149" s="53" t="s">
        <v>172</v>
      </c>
      <c r="T149" s="53">
        <v>1</v>
      </c>
    </row>
    <row r="150" spans="1:20" ht="13.2" customHeight="1" x14ac:dyDescent="0.25">
      <c r="A150" s="53">
        <v>258</v>
      </c>
      <c r="B150" s="53" t="s">
        <v>41</v>
      </c>
      <c r="C150" s="53" t="s">
        <v>251</v>
      </c>
      <c r="D150" s="53" t="s">
        <v>319</v>
      </c>
      <c r="E150" s="53" t="s">
        <v>321</v>
      </c>
      <c r="L150" s="49">
        <v>1</v>
      </c>
      <c r="N150" s="108">
        <f>VLOOKUP($A150, Stat!$A$1:$C$501, 2,0)</f>
        <v>33</v>
      </c>
      <c r="O150" s="108">
        <f>VLOOKUP($A150, Stat!$A$1:$C$501, 3,0)</f>
        <v>0</v>
      </c>
      <c r="P150" s="53">
        <v>0</v>
      </c>
      <c r="Q150" s="53">
        <v>1</v>
      </c>
      <c r="S150" s="53" t="s">
        <v>328</v>
      </c>
      <c r="T150" s="53">
        <v>1</v>
      </c>
    </row>
    <row r="151" spans="1:20" ht="13.2" customHeight="1" x14ac:dyDescent="0.25">
      <c r="A151" s="53">
        <v>326</v>
      </c>
      <c r="B151" s="53" t="s">
        <v>41</v>
      </c>
      <c r="C151" s="53" t="s">
        <v>64</v>
      </c>
      <c r="D151" s="53" t="s">
        <v>70</v>
      </c>
      <c r="E151" s="53" t="s">
        <v>458</v>
      </c>
      <c r="H151" s="49">
        <v>1</v>
      </c>
      <c r="N151" s="108">
        <f>VLOOKUP($A151, Stat!$A$1:$C$501, 2,0)</f>
        <v>21</v>
      </c>
      <c r="O151" s="108">
        <f>VLOOKUP($A151, Stat!$A$1:$C$501, 3,0)</f>
        <v>12</v>
      </c>
      <c r="P151" s="53">
        <v>60</v>
      </c>
      <c r="Q151" s="53">
        <v>0</v>
      </c>
      <c r="S151" s="53" t="s">
        <v>554</v>
      </c>
      <c r="T151" s="53">
        <v>1</v>
      </c>
    </row>
    <row r="152" spans="1:20" ht="13.2" customHeight="1" x14ac:dyDescent="0.25">
      <c r="A152" s="53">
        <v>209</v>
      </c>
      <c r="B152" s="53" t="s">
        <v>41</v>
      </c>
      <c r="C152" s="53" t="s">
        <v>64</v>
      </c>
      <c r="D152" s="53" t="s">
        <v>175</v>
      </c>
      <c r="E152" s="57" t="s">
        <v>178</v>
      </c>
      <c r="F152" s="51"/>
      <c r="H152" s="49">
        <v>1</v>
      </c>
      <c r="K152" s="51"/>
      <c r="L152" s="51"/>
      <c r="M152" s="51"/>
      <c r="N152" s="108">
        <f>VLOOKUP($A152, Stat!$A$1:$C$501, 2,0)</f>
        <v>26</v>
      </c>
      <c r="O152" s="108">
        <f>VLOOKUP($A152, Stat!$A$1:$C$501, 3,0)</f>
        <v>2</v>
      </c>
      <c r="P152" s="53">
        <v>40</v>
      </c>
      <c r="Q152" s="53">
        <v>1</v>
      </c>
      <c r="R152" s="53" t="s">
        <v>179</v>
      </c>
      <c r="T152" s="53">
        <v>1</v>
      </c>
    </row>
    <row r="153" spans="1:20" ht="13.2" customHeight="1" x14ac:dyDescent="0.25">
      <c r="A153" s="53">
        <v>237</v>
      </c>
      <c r="B153" s="53" t="s">
        <v>41</v>
      </c>
      <c r="C153" s="53" t="s">
        <v>208</v>
      </c>
      <c r="D153" s="53" t="s">
        <v>208</v>
      </c>
      <c r="E153" s="57" t="s">
        <v>221</v>
      </c>
      <c r="F153" s="51"/>
      <c r="H153" s="49">
        <v>1</v>
      </c>
      <c r="K153" s="51"/>
      <c r="L153" s="51"/>
      <c r="M153" s="51"/>
      <c r="N153" s="108">
        <f>VLOOKUP($A153, Stat!$A$1:$C$501, 2,0)</f>
        <v>19</v>
      </c>
      <c r="O153" s="108">
        <f>VLOOKUP($A153, Stat!$A$1:$C$501, 3,0)</f>
        <v>16</v>
      </c>
      <c r="P153" s="53">
        <v>60</v>
      </c>
      <c r="Q153" s="53">
        <v>0</v>
      </c>
      <c r="S153" s="53" t="s">
        <v>244</v>
      </c>
      <c r="T153" s="53">
        <v>1</v>
      </c>
    </row>
    <row r="154" spans="1:20" ht="13.2" customHeight="1" x14ac:dyDescent="0.25">
      <c r="A154" s="53">
        <v>245</v>
      </c>
      <c r="B154" s="53" t="s">
        <v>41</v>
      </c>
      <c r="C154" s="54" t="s">
        <v>208</v>
      </c>
      <c r="D154" s="53" t="s">
        <v>195</v>
      </c>
      <c r="E154" s="57" t="s">
        <v>312</v>
      </c>
      <c r="F154" s="51"/>
      <c r="H154" s="49">
        <v>1</v>
      </c>
      <c r="K154" s="51"/>
      <c r="L154" s="51"/>
      <c r="M154" s="51"/>
      <c r="N154" s="108">
        <f>VLOOKUP($A154, Stat!$A$1:$C$501, 2,0)</f>
        <v>20</v>
      </c>
      <c r="O154" s="108">
        <f>VLOOKUP($A154, Stat!$A$1:$C$501, 3,0)</f>
        <v>3</v>
      </c>
      <c r="P154" s="53">
        <v>0</v>
      </c>
      <c r="Q154" s="53">
        <v>0</v>
      </c>
      <c r="T154" s="53">
        <v>1</v>
      </c>
    </row>
    <row r="155" spans="1:20" ht="13.2" customHeight="1" x14ac:dyDescent="0.25">
      <c r="A155" s="53">
        <v>319</v>
      </c>
      <c r="B155" s="53" t="s">
        <v>39</v>
      </c>
      <c r="C155" s="53" t="s">
        <v>15</v>
      </c>
      <c r="D155" s="53" t="s">
        <v>429</v>
      </c>
      <c r="E155" s="53" t="s">
        <v>431</v>
      </c>
      <c r="H155" s="49">
        <v>1</v>
      </c>
      <c r="N155" s="108">
        <f>VLOOKUP($A155, Stat!$A$1:$C$501, 2,0)</f>
        <v>23</v>
      </c>
      <c r="O155" s="108">
        <f>VLOOKUP($A155, Stat!$A$1:$C$501, 3,0)</f>
        <v>4</v>
      </c>
      <c r="P155" s="53">
        <v>0</v>
      </c>
      <c r="Q155" s="53">
        <v>1</v>
      </c>
      <c r="T155" s="53">
        <v>1</v>
      </c>
    </row>
    <row r="156" spans="1:20" ht="13.2" customHeight="1" x14ac:dyDescent="0.25">
      <c r="A156" s="53">
        <v>355</v>
      </c>
      <c r="B156" s="53" t="s">
        <v>41</v>
      </c>
      <c r="C156" s="53" t="s">
        <v>64</v>
      </c>
      <c r="D156" s="53" t="s">
        <v>530</v>
      </c>
      <c r="E156" s="53" t="s">
        <v>546</v>
      </c>
      <c r="N156" s="108">
        <f>VLOOKUP($A156, Stat!$A$1:$C$501, 2,0)</f>
        <v>20</v>
      </c>
      <c r="O156" s="108">
        <f>VLOOKUP($A156, Stat!$A$1:$C$501, 3,0)</f>
        <v>7</v>
      </c>
      <c r="P156" s="53">
        <v>0</v>
      </c>
      <c r="Q156" s="53">
        <v>-1</v>
      </c>
      <c r="T156" s="53">
        <v>1</v>
      </c>
    </row>
    <row r="157" spans="1:20" ht="13.2" customHeight="1" x14ac:dyDescent="0.25">
      <c r="A157" s="53">
        <v>4</v>
      </c>
      <c r="B157" s="53" t="s">
        <v>39</v>
      </c>
      <c r="C157" s="53" t="s">
        <v>14</v>
      </c>
      <c r="D157" s="53" t="s">
        <v>386</v>
      </c>
      <c r="E157" s="57" t="s">
        <v>141</v>
      </c>
      <c r="F157" s="51"/>
      <c r="G157" s="49">
        <v>1</v>
      </c>
      <c r="I157" s="49">
        <v>999</v>
      </c>
      <c r="K157" s="51"/>
      <c r="L157" s="51"/>
      <c r="M157" s="51"/>
      <c r="N157" s="108">
        <f>VLOOKUP($A157, Stat!$A$1:$C$501, 2,0)</f>
        <v>19</v>
      </c>
      <c r="O157" s="108">
        <f>VLOOKUP($A157, Stat!$A$1:$C$501, 3,0)</f>
        <v>0</v>
      </c>
      <c r="P157" s="53">
        <v>0</v>
      </c>
      <c r="Q157" s="53">
        <v>0</v>
      </c>
      <c r="S157" s="53" t="s">
        <v>467</v>
      </c>
      <c r="T157" s="53">
        <v>1</v>
      </c>
    </row>
    <row r="158" spans="1:20" ht="13.2" customHeight="1" x14ac:dyDescent="0.25">
      <c r="A158" s="53">
        <v>51</v>
      </c>
      <c r="B158" s="53" t="s">
        <v>41</v>
      </c>
      <c r="C158" s="53" t="s">
        <v>531</v>
      </c>
      <c r="D158" s="53" t="s">
        <v>74</v>
      </c>
      <c r="E158" s="57" t="s">
        <v>542</v>
      </c>
      <c r="F158" s="51"/>
      <c r="H158" s="49">
        <v>1</v>
      </c>
      <c r="K158" s="51"/>
      <c r="L158" s="51"/>
      <c r="M158" s="51"/>
      <c r="N158" s="108">
        <f>VLOOKUP($A158, Stat!$A$1:$C$501, 2,0)</f>
        <v>19</v>
      </c>
      <c r="O158" s="108">
        <f>VLOOKUP($A158, Stat!$A$1:$C$501, 3,0)</f>
        <v>2</v>
      </c>
      <c r="P158" s="53">
        <v>30</v>
      </c>
      <c r="Q158" s="53">
        <v>-1</v>
      </c>
      <c r="T158" s="53">
        <v>1</v>
      </c>
    </row>
    <row r="159" spans="1:20" ht="13.2" customHeight="1" x14ac:dyDescent="0.25">
      <c r="A159" s="53">
        <v>210</v>
      </c>
      <c r="B159" s="53" t="s">
        <v>41</v>
      </c>
      <c r="C159" s="53" t="s">
        <v>64</v>
      </c>
      <c r="D159" s="53" t="s">
        <v>175</v>
      </c>
      <c r="E159" s="57" t="s">
        <v>312</v>
      </c>
      <c r="F159" s="51"/>
      <c r="H159" s="49">
        <v>1</v>
      </c>
      <c r="K159" s="51"/>
      <c r="L159" s="51"/>
      <c r="M159" s="51"/>
      <c r="N159" s="108">
        <f>VLOOKUP($A159, Stat!$A$1:$C$501, 2,0)</f>
        <v>17</v>
      </c>
      <c r="O159" s="108">
        <f>VLOOKUP($A159, Stat!$A$1:$C$501, 3,0)</f>
        <v>7</v>
      </c>
      <c r="P159" s="53">
        <v>40</v>
      </c>
      <c r="Q159" s="53">
        <v>0</v>
      </c>
      <c r="R159" s="53" t="s">
        <v>179</v>
      </c>
      <c r="T159" s="53">
        <v>1</v>
      </c>
    </row>
    <row r="160" spans="1:20" ht="13.2" customHeight="1" x14ac:dyDescent="0.25">
      <c r="A160" s="53">
        <v>213</v>
      </c>
      <c r="B160" s="53" t="s">
        <v>41</v>
      </c>
      <c r="C160" s="53" t="s">
        <v>64</v>
      </c>
      <c r="D160" s="53" t="s">
        <v>176</v>
      </c>
      <c r="E160" s="57" t="s">
        <v>178</v>
      </c>
      <c r="F160" s="51"/>
      <c r="H160" s="49">
        <v>1</v>
      </c>
      <c r="K160" s="51"/>
      <c r="L160" s="51"/>
      <c r="M160" s="51"/>
      <c r="N160" s="108">
        <f>VLOOKUP($A160, Stat!$A$1:$C$501, 2,0)</f>
        <v>20</v>
      </c>
      <c r="O160" s="108">
        <f>VLOOKUP($A160, Stat!$A$1:$C$501, 3,0)</f>
        <v>7</v>
      </c>
      <c r="P160" s="53">
        <v>40</v>
      </c>
      <c r="Q160" s="53">
        <v>0</v>
      </c>
      <c r="R160" s="53" t="s">
        <v>180</v>
      </c>
      <c r="T160" s="53">
        <v>1</v>
      </c>
    </row>
    <row r="161" spans="1:20" ht="13.2" customHeight="1" x14ac:dyDescent="0.25">
      <c r="A161" s="53">
        <v>233</v>
      </c>
      <c r="B161" s="53" t="s">
        <v>41</v>
      </c>
      <c r="C161" s="53" t="s">
        <v>208</v>
      </c>
      <c r="D161" s="53" t="s">
        <v>208</v>
      </c>
      <c r="E161" s="57" t="s">
        <v>218</v>
      </c>
      <c r="F161" s="51"/>
      <c r="H161" s="49">
        <v>1</v>
      </c>
      <c r="K161" s="51"/>
      <c r="L161" s="51"/>
      <c r="M161" s="51"/>
      <c r="N161" s="108">
        <f>VLOOKUP($A161, Stat!$A$1:$C$501, 2,0)</f>
        <v>21</v>
      </c>
      <c r="O161" s="108">
        <f>VLOOKUP($A161, Stat!$A$1:$C$501, 3,0)</f>
        <v>4</v>
      </c>
      <c r="P161" s="53">
        <v>0</v>
      </c>
      <c r="Q161" s="53">
        <v>1</v>
      </c>
      <c r="T161" s="53">
        <v>1</v>
      </c>
    </row>
    <row r="162" spans="1:20" ht="13.2" customHeight="1" x14ac:dyDescent="0.25">
      <c r="A162" s="53">
        <v>235</v>
      </c>
      <c r="B162" s="53" t="s">
        <v>41</v>
      </c>
      <c r="C162" s="53" t="s">
        <v>208</v>
      </c>
      <c r="D162" s="53" t="s">
        <v>208</v>
      </c>
      <c r="E162" s="57" t="s">
        <v>209</v>
      </c>
      <c r="F162" s="51"/>
      <c r="H162" s="49">
        <v>1</v>
      </c>
      <c r="K162" s="51"/>
      <c r="L162" s="51"/>
      <c r="M162" s="51"/>
      <c r="N162" s="108">
        <f>VLOOKUP($A162, Stat!$A$1:$C$501, 2,0)</f>
        <v>20</v>
      </c>
      <c r="O162" s="108">
        <f>VLOOKUP($A162, Stat!$A$1:$C$501, 3,0)</f>
        <v>17</v>
      </c>
      <c r="P162" s="53">
        <v>60</v>
      </c>
      <c r="Q162" s="53">
        <v>0</v>
      </c>
      <c r="S162" s="53" t="s">
        <v>243</v>
      </c>
      <c r="T162" s="53">
        <v>1</v>
      </c>
    </row>
    <row r="163" spans="1:20" ht="13.2" customHeight="1" x14ac:dyDescent="0.25">
      <c r="A163" s="53">
        <v>317</v>
      </c>
      <c r="B163" s="53" t="s">
        <v>41</v>
      </c>
      <c r="C163" s="53" t="s">
        <v>64</v>
      </c>
      <c r="D163" s="53" t="s">
        <v>428</v>
      </c>
      <c r="E163" s="53" t="s">
        <v>427</v>
      </c>
      <c r="H163" s="49">
        <v>1</v>
      </c>
      <c r="N163" s="108">
        <f>VLOOKUP($A163, Stat!$A$1:$C$501, 2,0)</f>
        <v>19</v>
      </c>
      <c r="O163" s="108">
        <f>VLOOKUP($A163, Stat!$A$1:$C$501, 3,0)</f>
        <v>4</v>
      </c>
      <c r="P163" s="53">
        <v>30</v>
      </c>
      <c r="Q163" s="53">
        <v>0</v>
      </c>
      <c r="S163" s="53" t="s">
        <v>454</v>
      </c>
      <c r="T163" s="53">
        <v>1</v>
      </c>
    </row>
    <row r="164" spans="1:20" ht="13.2" customHeight="1" x14ac:dyDescent="0.25">
      <c r="A164" s="53">
        <v>325</v>
      </c>
      <c r="B164" s="53" t="s">
        <v>41</v>
      </c>
      <c r="C164" s="53" t="s">
        <v>64</v>
      </c>
      <c r="D164" s="53" t="s">
        <v>70</v>
      </c>
      <c r="E164" s="53" t="s">
        <v>459</v>
      </c>
      <c r="H164" s="49">
        <v>1</v>
      </c>
      <c r="N164" s="108">
        <f>VLOOKUP($A164, Stat!$A$1:$C$501, 2,0)</f>
        <v>23</v>
      </c>
      <c r="O164" s="108">
        <f>VLOOKUP($A164, Stat!$A$1:$C$501, 3,0)</f>
        <v>10</v>
      </c>
      <c r="P164" s="53">
        <v>60</v>
      </c>
      <c r="Q164" s="53">
        <v>0</v>
      </c>
      <c r="S164" s="53" t="s">
        <v>553</v>
      </c>
      <c r="T164" s="53">
        <v>1</v>
      </c>
    </row>
    <row r="165" spans="1:20" ht="13.2" customHeight="1" x14ac:dyDescent="0.25">
      <c r="A165" s="53">
        <v>18</v>
      </c>
      <c r="B165" s="53" t="s">
        <v>39</v>
      </c>
      <c r="C165" s="53" t="s">
        <v>16</v>
      </c>
      <c r="D165" s="53" t="s">
        <v>502</v>
      </c>
      <c r="E165" s="57" t="s">
        <v>49</v>
      </c>
      <c r="F165" s="51"/>
      <c r="H165" s="49">
        <v>1</v>
      </c>
      <c r="K165" s="51"/>
      <c r="L165" s="51"/>
      <c r="M165" s="51"/>
      <c r="N165" s="108">
        <f>VLOOKUP($A165, Stat!$A$1:$C$501, 2,0)</f>
        <v>18</v>
      </c>
      <c r="O165" s="108">
        <f>VLOOKUP($A165, Stat!$A$1:$C$501, 3,0)</f>
        <v>0</v>
      </c>
      <c r="P165" s="53">
        <v>0</v>
      </c>
      <c r="Q165" s="53">
        <v>1</v>
      </c>
      <c r="R165" s="53" t="s">
        <v>504</v>
      </c>
      <c r="T165" s="53">
        <v>1</v>
      </c>
    </row>
    <row r="166" spans="1:20" ht="13.2" customHeight="1" x14ac:dyDescent="0.25">
      <c r="A166" s="53">
        <v>113</v>
      </c>
      <c r="B166" s="53" t="s">
        <v>39</v>
      </c>
      <c r="C166" s="53" t="s">
        <v>86</v>
      </c>
      <c r="D166" s="53" t="s">
        <v>2</v>
      </c>
      <c r="E166" s="57" t="s">
        <v>4</v>
      </c>
      <c r="F166" s="50"/>
      <c r="K166" s="50" t="s">
        <v>399</v>
      </c>
      <c r="L166" s="51"/>
      <c r="M166" s="50"/>
      <c r="N166" s="108">
        <f>VLOOKUP($A166, Stat!$A$1:$C$501, 2,0)</f>
        <v>19</v>
      </c>
      <c r="O166" s="108">
        <f>VLOOKUP($A166, Stat!$A$1:$C$501, 3,0)</f>
        <v>0</v>
      </c>
      <c r="P166" s="53">
        <v>0</v>
      </c>
      <c r="Q166" s="53">
        <v>-1</v>
      </c>
      <c r="T166" s="53">
        <v>1</v>
      </c>
    </row>
    <row r="167" spans="1:20" ht="13.2" customHeight="1" x14ac:dyDescent="0.25">
      <c r="A167" s="53">
        <v>161</v>
      </c>
      <c r="B167" s="53" t="s">
        <v>41</v>
      </c>
      <c r="C167" s="53" t="s">
        <v>60</v>
      </c>
      <c r="D167" s="53" t="s">
        <v>111</v>
      </c>
      <c r="E167" s="57" t="s">
        <v>108</v>
      </c>
      <c r="F167" s="51"/>
      <c r="H167" s="49">
        <v>1</v>
      </c>
      <c r="K167" s="51"/>
      <c r="L167" s="51"/>
      <c r="M167" s="51"/>
      <c r="N167" s="108">
        <f>VLOOKUP($A167, Stat!$A$1:$C$501, 2,0)</f>
        <v>18</v>
      </c>
      <c r="O167" s="108">
        <f>VLOOKUP($A167, Stat!$A$1:$C$501, 3,0)</f>
        <v>4</v>
      </c>
      <c r="P167" s="53">
        <v>0</v>
      </c>
      <c r="Q167" s="53">
        <v>-1</v>
      </c>
      <c r="T167" s="53">
        <v>1</v>
      </c>
    </row>
    <row r="168" spans="1:20" ht="13.2" customHeight="1" x14ac:dyDescent="0.25">
      <c r="A168" s="53">
        <v>166</v>
      </c>
      <c r="B168" s="53" t="s">
        <v>41</v>
      </c>
      <c r="C168" s="53" t="s">
        <v>60</v>
      </c>
      <c r="D168" s="53" t="s">
        <v>112</v>
      </c>
      <c r="E168" s="57" t="s">
        <v>107</v>
      </c>
      <c r="F168" s="51"/>
      <c r="H168" s="49">
        <v>1</v>
      </c>
      <c r="K168" s="51"/>
      <c r="L168" s="51"/>
      <c r="M168" s="51"/>
      <c r="N168" s="108">
        <f>VLOOKUP($A168, Stat!$A$1:$C$501, 2,0)</f>
        <v>30</v>
      </c>
      <c r="O168" s="108">
        <f>VLOOKUP($A168, Stat!$A$1:$C$501, 3,0)</f>
        <v>3</v>
      </c>
      <c r="P168" s="53">
        <v>0</v>
      </c>
      <c r="Q168" s="53">
        <v>-1</v>
      </c>
      <c r="T168" s="53">
        <v>1</v>
      </c>
    </row>
    <row r="169" spans="1:20" ht="13.2" customHeight="1" x14ac:dyDescent="0.25">
      <c r="A169" s="53">
        <v>200</v>
      </c>
      <c r="B169" s="53" t="s">
        <v>41</v>
      </c>
      <c r="C169" s="53" t="s">
        <v>60</v>
      </c>
      <c r="D169" s="53" t="s">
        <v>58</v>
      </c>
      <c r="E169" s="57" t="s">
        <v>150</v>
      </c>
      <c r="F169" s="51"/>
      <c r="K169" s="51"/>
      <c r="L169" s="51"/>
      <c r="M169" s="51"/>
      <c r="N169" s="108">
        <f>VLOOKUP($A169, Stat!$A$1:$C$501, 2,0)</f>
        <v>24</v>
      </c>
      <c r="O169" s="108">
        <f>VLOOKUP($A169, Stat!$A$1:$C$501, 3,0)</f>
        <v>6</v>
      </c>
      <c r="P169" s="53">
        <v>60</v>
      </c>
      <c r="Q169" s="53">
        <v>0</v>
      </c>
      <c r="S169" s="53" t="s">
        <v>236</v>
      </c>
      <c r="T169" s="53">
        <v>1</v>
      </c>
    </row>
    <row r="170" spans="1:20" ht="13.2" customHeight="1" x14ac:dyDescent="0.25">
      <c r="A170" s="53">
        <v>254</v>
      </c>
      <c r="B170" s="53" t="s">
        <v>41</v>
      </c>
      <c r="C170" s="53" t="s">
        <v>208</v>
      </c>
      <c r="D170" s="53" t="s">
        <v>208</v>
      </c>
      <c r="E170" s="57" t="s">
        <v>225</v>
      </c>
      <c r="F170" s="51"/>
      <c r="H170" s="49">
        <v>1</v>
      </c>
      <c r="K170" s="51"/>
      <c r="L170" s="51"/>
      <c r="M170" s="51"/>
      <c r="N170" s="108">
        <f>VLOOKUP($A170, Stat!$A$1:$C$501, 2,0)</f>
        <v>18</v>
      </c>
      <c r="O170" s="108">
        <f>VLOOKUP($A170, Stat!$A$1:$C$501, 3,0)</f>
        <v>15</v>
      </c>
      <c r="P170" s="53">
        <v>60</v>
      </c>
      <c r="Q170" s="53">
        <v>0</v>
      </c>
      <c r="S170" s="53" t="s">
        <v>245</v>
      </c>
      <c r="T170" s="53">
        <v>1</v>
      </c>
    </row>
    <row r="171" spans="1:20" ht="13.2" customHeight="1" x14ac:dyDescent="0.25">
      <c r="A171" s="53">
        <v>270</v>
      </c>
      <c r="B171" s="53" t="s">
        <v>41</v>
      </c>
      <c r="C171" s="53" t="s">
        <v>64</v>
      </c>
      <c r="D171" s="53" t="s">
        <v>529</v>
      </c>
      <c r="E171" s="57" t="s">
        <v>547</v>
      </c>
      <c r="H171" s="49">
        <v>1</v>
      </c>
      <c r="N171" s="108">
        <f>VLOOKUP($A171, Stat!$A$1:$C$501, 2,0)</f>
        <v>24</v>
      </c>
      <c r="O171" s="108">
        <f>VLOOKUP($A171, Stat!$A$1:$C$501, 3,0)</f>
        <v>4</v>
      </c>
      <c r="P171" s="53">
        <v>30</v>
      </c>
      <c r="Q171" s="53">
        <v>0</v>
      </c>
      <c r="T171" s="53">
        <v>1</v>
      </c>
    </row>
    <row r="172" spans="1:20" ht="13.2" customHeight="1" x14ac:dyDescent="0.25">
      <c r="A172" s="53">
        <v>301</v>
      </c>
      <c r="B172" s="53" t="s">
        <v>41</v>
      </c>
      <c r="C172" s="53" t="s">
        <v>208</v>
      </c>
      <c r="D172" s="53" t="s">
        <v>195</v>
      </c>
      <c r="E172" s="53" t="s">
        <v>379</v>
      </c>
      <c r="H172" s="49">
        <v>1</v>
      </c>
      <c r="N172" s="108">
        <f>VLOOKUP($A172, Stat!$A$1:$C$501, 2,0)</f>
        <v>22</v>
      </c>
      <c r="O172" s="108">
        <f>VLOOKUP($A172, Stat!$A$1:$C$501, 3,0)</f>
        <v>3</v>
      </c>
      <c r="P172" s="53">
        <v>0</v>
      </c>
      <c r="Q172" s="53">
        <v>1</v>
      </c>
      <c r="S172" s="53" t="s">
        <v>380</v>
      </c>
      <c r="T172" s="53">
        <v>1</v>
      </c>
    </row>
    <row r="173" spans="1:20" ht="13.2" customHeight="1" x14ac:dyDescent="0.25">
      <c r="A173" s="53">
        <v>318</v>
      </c>
      <c r="B173" s="53" t="s">
        <v>41</v>
      </c>
      <c r="C173" s="53" t="s">
        <v>64</v>
      </c>
      <c r="D173" s="53" t="s">
        <v>428</v>
      </c>
      <c r="E173" s="53" t="s">
        <v>528</v>
      </c>
      <c r="F173" s="49">
        <v>1</v>
      </c>
      <c r="H173" s="49">
        <v>1</v>
      </c>
      <c r="N173" s="108">
        <f>VLOOKUP($A173, Stat!$A$1:$C$501, 2,0)</f>
        <v>18</v>
      </c>
      <c r="O173" s="108">
        <f>VLOOKUP($A173, Stat!$A$1:$C$501, 3,0)</f>
        <v>6</v>
      </c>
      <c r="P173" s="53">
        <v>30</v>
      </c>
      <c r="Q173" s="53">
        <v>0</v>
      </c>
      <c r="S173" s="53" t="s">
        <v>455</v>
      </c>
      <c r="T173" s="53">
        <v>1</v>
      </c>
    </row>
    <row r="174" spans="1:20" ht="13.2" customHeight="1" x14ac:dyDescent="0.25">
      <c r="A174" s="53">
        <v>68</v>
      </c>
      <c r="B174" s="53" t="s">
        <v>39</v>
      </c>
      <c r="C174" s="53" t="s">
        <v>17</v>
      </c>
      <c r="D174" s="53" t="s">
        <v>100</v>
      </c>
      <c r="E174" s="57" t="s">
        <v>101</v>
      </c>
      <c r="F174" s="51"/>
      <c r="H174" s="49">
        <v>1</v>
      </c>
      <c r="K174" s="51"/>
      <c r="L174" s="51"/>
      <c r="M174" s="51"/>
      <c r="N174" s="108">
        <f>VLOOKUP($A174, Stat!$A$1:$C$501, 2,0)</f>
        <v>19</v>
      </c>
      <c r="O174" s="108">
        <f>VLOOKUP($A174, Stat!$A$1:$C$501, 3,0)</f>
        <v>9</v>
      </c>
      <c r="P174" s="53">
        <v>70</v>
      </c>
      <c r="Q174" s="53">
        <v>-1</v>
      </c>
      <c r="T174" s="53">
        <v>1</v>
      </c>
    </row>
    <row r="175" spans="1:20" ht="13.2" customHeight="1" x14ac:dyDescent="0.25">
      <c r="A175" s="53">
        <v>228</v>
      </c>
      <c r="B175" s="53" t="s">
        <v>41</v>
      </c>
      <c r="C175" s="53" t="s">
        <v>208</v>
      </c>
      <c r="D175" s="53" t="s">
        <v>197</v>
      </c>
      <c r="E175" s="57" t="s">
        <v>201</v>
      </c>
      <c r="F175" s="51"/>
      <c r="H175" s="49">
        <v>1</v>
      </c>
      <c r="K175" s="51"/>
      <c r="L175" s="51"/>
      <c r="M175" s="51"/>
      <c r="N175" s="108">
        <f>VLOOKUP($A175, Stat!$A$1:$C$501, 2,0)</f>
        <v>17</v>
      </c>
      <c r="O175" s="108">
        <f>VLOOKUP($A175, Stat!$A$1:$C$501, 3,0)</f>
        <v>7</v>
      </c>
      <c r="P175" s="53">
        <v>60</v>
      </c>
      <c r="Q175" s="53">
        <v>0</v>
      </c>
      <c r="T175" s="53">
        <v>1</v>
      </c>
    </row>
    <row r="176" spans="1:20" ht="13.2" customHeight="1" x14ac:dyDescent="0.25">
      <c r="A176" s="53">
        <v>238</v>
      </c>
      <c r="B176" s="53" t="s">
        <v>41</v>
      </c>
      <c r="C176" s="53" t="s">
        <v>208</v>
      </c>
      <c r="D176" s="53" t="s">
        <v>219</v>
      </c>
      <c r="E176" s="57" t="s">
        <v>206</v>
      </c>
      <c r="F176" s="51"/>
      <c r="H176" s="49">
        <v>1</v>
      </c>
      <c r="K176" s="51"/>
      <c r="L176" s="51"/>
      <c r="M176" s="51"/>
      <c r="N176" s="108">
        <f>VLOOKUP($A176, Stat!$A$1:$C$501, 2,0)</f>
        <v>19</v>
      </c>
      <c r="O176" s="108">
        <f>VLOOKUP($A176, Stat!$A$1:$C$501, 3,0)</f>
        <v>6</v>
      </c>
      <c r="P176" s="53">
        <v>0</v>
      </c>
      <c r="Q176" s="53">
        <v>1</v>
      </c>
      <c r="S176" s="53" t="s">
        <v>250</v>
      </c>
      <c r="T176" s="53">
        <v>1</v>
      </c>
    </row>
    <row r="177" spans="1:20" ht="13.2" customHeight="1" x14ac:dyDescent="0.25">
      <c r="A177" s="53">
        <v>324</v>
      </c>
      <c r="B177" s="53" t="s">
        <v>41</v>
      </c>
      <c r="C177" s="53" t="s">
        <v>64</v>
      </c>
      <c r="D177" s="53" t="s">
        <v>70</v>
      </c>
      <c r="E177" s="53" t="s">
        <v>457</v>
      </c>
      <c r="H177" s="49">
        <v>1</v>
      </c>
      <c r="N177" s="108">
        <f>VLOOKUP($A177, Stat!$A$1:$C$501, 2,0)</f>
        <v>17</v>
      </c>
      <c r="O177" s="108">
        <f>VLOOKUP($A177, Stat!$A$1:$C$501, 3,0)</f>
        <v>7</v>
      </c>
      <c r="P177" s="53">
        <v>60</v>
      </c>
      <c r="Q177" s="53">
        <v>0</v>
      </c>
      <c r="S177" s="53" t="s">
        <v>460</v>
      </c>
      <c r="T177" s="53">
        <v>1</v>
      </c>
    </row>
    <row r="178" spans="1:20" ht="13.2" customHeight="1" x14ac:dyDescent="0.25">
      <c r="A178" s="53">
        <v>344</v>
      </c>
      <c r="B178" s="53" t="s">
        <v>39</v>
      </c>
      <c r="C178" s="53" t="s">
        <v>15</v>
      </c>
      <c r="D178" s="53" t="s">
        <v>507</v>
      </c>
      <c r="E178" s="53" t="s">
        <v>508</v>
      </c>
      <c r="N178" s="108">
        <f>VLOOKUP($A178, Stat!$A$1:$C$501, 2,0)</f>
        <v>17</v>
      </c>
      <c r="O178" s="108">
        <f>VLOOKUP($A178, Stat!$A$1:$C$501, 3,0)</f>
        <v>0</v>
      </c>
      <c r="P178" s="53">
        <v>0</v>
      </c>
      <c r="Q178" s="53">
        <v>0</v>
      </c>
      <c r="S178" s="53" t="s">
        <v>512</v>
      </c>
      <c r="T178" s="53">
        <v>1</v>
      </c>
    </row>
    <row r="179" spans="1:20" ht="13.2" customHeight="1" x14ac:dyDescent="0.25">
      <c r="A179" s="53">
        <v>356</v>
      </c>
      <c r="B179" s="53" t="s">
        <v>41</v>
      </c>
      <c r="C179" s="53" t="s">
        <v>64</v>
      </c>
      <c r="D179" s="53" t="s">
        <v>530</v>
      </c>
      <c r="E179" s="53" t="s">
        <v>547</v>
      </c>
      <c r="N179" s="108">
        <f>VLOOKUP($A179, Stat!$A$1:$C$501, 2,0)</f>
        <v>19</v>
      </c>
      <c r="O179" s="108">
        <f>VLOOKUP($A179, Stat!$A$1:$C$501, 3,0)</f>
        <v>1</v>
      </c>
      <c r="P179" s="53">
        <v>30</v>
      </c>
      <c r="Q179" s="53">
        <v>1</v>
      </c>
      <c r="T179" s="53">
        <v>1</v>
      </c>
    </row>
    <row r="180" spans="1:20" ht="13.2" customHeight="1" x14ac:dyDescent="0.25">
      <c r="A180" s="53">
        <v>207</v>
      </c>
      <c r="B180" s="53" t="s">
        <v>39</v>
      </c>
      <c r="C180" s="53" t="s">
        <v>86</v>
      </c>
      <c r="D180" s="53" t="s">
        <v>191</v>
      </c>
      <c r="E180" s="57" t="s">
        <v>51</v>
      </c>
      <c r="F180" s="51"/>
      <c r="K180" s="51"/>
      <c r="L180" s="51"/>
      <c r="M180" s="51"/>
      <c r="N180" s="108">
        <f>VLOOKUP($A180, Stat!$A$1:$C$501, 2,0)</f>
        <v>17</v>
      </c>
      <c r="O180" s="108">
        <f>VLOOKUP($A180, Stat!$A$1:$C$501, 3,0)</f>
        <v>0</v>
      </c>
      <c r="P180" s="53">
        <v>100</v>
      </c>
      <c r="Q180" s="53">
        <v>-1</v>
      </c>
      <c r="T180" s="53">
        <v>1</v>
      </c>
    </row>
    <row r="181" spans="1:20" ht="13.2" customHeight="1" x14ac:dyDescent="0.25">
      <c r="A181" s="53">
        <v>223</v>
      </c>
      <c r="B181" s="53" t="s">
        <v>41</v>
      </c>
      <c r="C181" s="53" t="s">
        <v>64</v>
      </c>
      <c r="D181" s="53" t="s">
        <v>68</v>
      </c>
      <c r="E181" s="57" t="s">
        <v>475</v>
      </c>
      <c r="F181" s="51"/>
      <c r="H181" s="49">
        <v>1</v>
      </c>
      <c r="K181" s="51"/>
      <c r="L181" s="51"/>
      <c r="M181" s="51"/>
      <c r="N181" s="108">
        <f>VLOOKUP($A181, Stat!$A$1:$C$501, 2,0)</f>
        <v>17</v>
      </c>
      <c r="O181" s="108">
        <f>VLOOKUP($A181, Stat!$A$1:$C$501, 3,0)</f>
        <v>3</v>
      </c>
      <c r="P181" s="53">
        <v>60</v>
      </c>
      <c r="Q181" s="53">
        <v>0</v>
      </c>
      <c r="S181" s="53" t="s">
        <v>242</v>
      </c>
      <c r="T181" s="53">
        <v>1</v>
      </c>
    </row>
    <row r="182" spans="1:20" ht="13.2" customHeight="1" x14ac:dyDescent="0.25">
      <c r="A182" s="53">
        <v>1</v>
      </c>
      <c r="B182" s="53" t="s">
        <v>39</v>
      </c>
      <c r="C182" s="53" t="s">
        <v>86</v>
      </c>
      <c r="D182" s="53" t="s">
        <v>86</v>
      </c>
      <c r="E182" s="57" t="s">
        <v>192</v>
      </c>
      <c r="F182" s="51"/>
      <c r="H182" s="49">
        <v>1</v>
      </c>
      <c r="K182" s="51"/>
      <c r="L182" s="51"/>
      <c r="M182" s="51"/>
      <c r="N182" s="108">
        <f>VLOOKUP($A182, Stat!$A$1:$C$501, 2,0)</f>
        <v>17</v>
      </c>
      <c r="O182" s="108">
        <f>VLOOKUP($A182, Stat!$A$1:$C$501, 3,0)</f>
        <v>1</v>
      </c>
      <c r="P182" s="53">
        <v>0</v>
      </c>
      <c r="Q182" s="53">
        <v>-1</v>
      </c>
      <c r="R182" s="53" t="s">
        <v>173</v>
      </c>
      <c r="T182" s="53">
        <v>1</v>
      </c>
    </row>
    <row r="183" spans="1:20" ht="13.2" customHeight="1" x14ac:dyDescent="0.25">
      <c r="A183" s="53">
        <v>41</v>
      </c>
      <c r="B183" s="53" t="s">
        <v>41</v>
      </c>
      <c r="C183" s="53" t="s">
        <v>208</v>
      </c>
      <c r="D183" s="53" t="s">
        <v>558</v>
      </c>
      <c r="E183" s="53" t="s">
        <v>52</v>
      </c>
      <c r="H183" s="49">
        <v>1</v>
      </c>
      <c r="N183" s="108">
        <f>VLOOKUP($A183, Stat!$A$1:$C$501, 2,0)</f>
        <v>15</v>
      </c>
      <c r="O183" s="108">
        <f>VLOOKUP($A183, Stat!$A$1:$C$501, 3,0)</f>
        <v>12</v>
      </c>
      <c r="P183" s="53">
        <v>60</v>
      </c>
      <c r="Q183" s="53">
        <v>0</v>
      </c>
      <c r="S183" s="53" t="s">
        <v>559</v>
      </c>
      <c r="T183" s="53">
        <v>1</v>
      </c>
    </row>
    <row r="184" spans="1:20" ht="13.2" customHeight="1" x14ac:dyDescent="0.25">
      <c r="A184" s="53">
        <v>160</v>
      </c>
      <c r="B184" s="53" t="s">
        <v>41</v>
      </c>
      <c r="C184" s="53" t="s">
        <v>60</v>
      </c>
      <c r="D184" s="53" t="s">
        <v>111</v>
      </c>
      <c r="E184" s="57" t="s">
        <v>107</v>
      </c>
      <c r="F184" s="51"/>
      <c r="H184" s="49">
        <v>1</v>
      </c>
      <c r="K184" s="51"/>
      <c r="L184" s="51"/>
      <c r="M184" s="51"/>
      <c r="N184" s="108">
        <f>VLOOKUP($A184, Stat!$A$1:$C$501, 2,0)</f>
        <v>16</v>
      </c>
      <c r="O184" s="108">
        <f>VLOOKUP($A184, Stat!$A$1:$C$501, 3,0)</f>
        <v>3</v>
      </c>
      <c r="P184" s="53">
        <v>0</v>
      </c>
      <c r="Q184" s="53">
        <v>-1</v>
      </c>
      <c r="T184" s="53">
        <v>1</v>
      </c>
    </row>
    <row r="185" spans="1:20" ht="13.2" customHeight="1" x14ac:dyDescent="0.25">
      <c r="A185" s="53">
        <v>214</v>
      </c>
      <c r="B185" s="53" t="s">
        <v>41</v>
      </c>
      <c r="C185" s="53" t="s">
        <v>64</v>
      </c>
      <c r="D185" s="53" t="s">
        <v>176</v>
      </c>
      <c r="E185" s="57" t="s">
        <v>312</v>
      </c>
      <c r="F185" s="51"/>
      <c r="H185" s="49">
        <v>1</v>
      </c>
      <c r="K185" s="51"/>
      <c r="L185" s="51"/>
      <c r="M185" s="51"/>
      <c r="N185" s="108">
        <f>VLOOKUP($A185, Stat!$A$1:$C$501, 2,0)</f>
        <v>16</v>
      </c>
      <c r="O185" s="108">
        <f>VLOOKUP($A185, Stat!$A$1:$C$501, 3,0)</f>
        <v>5</v>
      </c>
      <c r="P185" s="53">
        <v>40</v>
      </c>
      <c r="Q185" s="53">
        <v>0</v>
      </c>
      <c r="R185" s="53" t="s">
        <v>180</v>
      </c>
      <c r="T185" s="53">
        <v>1</v>
      </c>
    </row>
    <row r="186" spans="1:20" ht="13.2" customHeight="1" x14ac:dyDescent="0.25">
      <c r="A186" s="53">
        <v>243</v>
      </c>
      <c r="B186" s="53" t="s">
        <v>41</v>
      </c>
      <c r="C186" s="53" t="s">
        <v>208</v>
      </c>
      <c r="D186" s="53" t="s">
        <v>374</v>
      </c>
      <c r="E186" s="57" t="s">
        <v>205</v>
      </c>
      <c r="F186" s="51"/>
      <c r="H186" s="49">
        <v>1</v>
      </c>
      <c r="K186" s="51"/>
      <c r="L186" s="51"/>
      <c r="M186" s="51"/>
      <c r="N186" s="108">
        <f>VLOOKUP($A186, Stat!$A$1:$C$501, 2,0)</f>
        <v>15</v>
      </c>
      <c r="O186" s="108">
        <f>VLOOKUP($A186, Stat!$A$1:$C$501, 3,0)</f>
        <v>3</v>
      </c>
      <c r="P186" s="53">
        <v>60</v>
      </c>
      <c r="Q186" s="53">
        <v>1</v>
      </c>
      <c r="T186" s="53">
        <v>1</v>
      </c>
    </row>
    <row r="187" spans="1:20" ht="13.2" customHeight="1" x14ac:dyDescent="0.25">
      <c r="A187" s="53">
        <v>279</v>
      </c>
      <c r="B187" s="53" t="s">
        <v>41</v>
      </c>
      <c r="C187" s="53" t="s">
        <v>251</v>
      </c>
      <c r="D187" s="53" t="s">
        <v>252</v>
      </c>
      <c r="E187" s="53" t="s">
        <v>315</v>
      </c>
      <c r="L187" s="49">
        <v>1</v>
      </c>
      <c r="N187" s="108">
        <f>VLOOKUP($A187, Stat!$A$1:$C$501, 2,0)</f>
        <v>18</v>
      </c>
      <c r="O187" s="108">
        <f>VLOOKUP($A187, Stat!$A$1:$C$501, 3,0)</f>
        <v>0</v>
      </c>
      <c r="P187" s="53">
        <v>40</v>
      </c>
      <c r="Q187" s="53">
        <v>1</v>
      </c>
      <c r="T187" s="53">
        <v>1</v>
      </c>
    </row>
    <row r="188" spans="1:20" ht="13.2" customHeight="1" x14ac:dyDescent="0.25">
      <c r="A188" s="53">
        <v>286</v>
      </c>
      <c r="B188" s="53" t="s">
        <v>41</v>
      </c>
      <c r="C188" s="53" t="s">
        <v>64</v>
      </c>
      <c r="D188" s="53" t="s">
        <v>181</v>
      </c>
      <c r="E188" s="53" t="s">
        <v>337</v>
      </c>
      <c r="H188" s="49">
        <v>1</v>
      </c>
      <c r="N188" s="108">
        <f>VLOOKUP($A188, Stat!$A$1:$C$501, 2,0)</f>
        <v>15</v>
      </c>
      <c r="O188" s="108">
        <f>VLOOKUP($A188, Stat!$A$1:$C$501, 3,0)</f>
        <v>14</v>
      </c>
      <c r="P188" s="53">
        <v>60</v>
      </c>
      <c r="Q188" s="53">
        <v>0</v>
      </c>
      <c r="S188" s="53" t="s">
        <v>338</v>
      </c>
      <c r="T188" s="53">
        <v>1</v>
      </c>
    </row>
    <row r="189" spans="1:20" ht="13.2" customHeight="1" x14ac:dyDescent="0.25">
      <c r="A189" s="53">
        <v>289</v>
      </c>
      <c r="B189" s="53" t="s">
        <v>41</v>
      </c>
      <c r="C189" s="53" t="s">
        <v>251</v>
      </c>
      <c r="D189" s="53" t="s">
        <v>340</v>
      </c>
      <c r="E189" s="53" t="s">
        <v>182</v>
      </c>
      <c r="N189" s="108">
        <f>VLOOKUP($A189, Stat!$A$1:$C$501, 2,0)</f>
        <v>15</v>
      </c>
      <c r="O189" s="108">
        <f>VLOOKUP($A189, Stat!$A$1:$C$501, 3,0)</f>
        <v>5</v>
      </c>
      <c r="P189" s="53">
        <v>40</v>
      </c>
      <c r="Q189" s="53">
        <v>1</v>
      </c>
      <c r="S189" s="53" t="s">
        <v>343</v>
      </c>
      <c r="T189" s="53">
        <v>1</v>
      </c>
    </row>
    <row r="190" spans="1:20" ht="13.2" customHeight="1" x14ac:dyDescent="0.25">
      <c r="A190" s="53">
        <v>45</v>
      </c>
      <c r="B190" s="53" t="s">
        <v>39</v>
      </c>
      <c r="C190" s="53" t="s">
        <v>87</v>
      </c>
      <c r="D190" s="53" t="s">
        <v>99</v>
      </c>
      <c r="E190" s="57" t="s">
        <v>51</v>
      </c>
      <c r="F190" s="51"/>
      <c r="I190" s="49">
        <v>999</v>
      </c>
      <c r="K190" s="51"/>
      <c r="L190" s="51"/>
      <c r="M190" s="51"/>
      <c r="N190" s="108">
        <f>VLOOKUP($A190, Stat!$A$1:$C$501, 2,0)</f>
        <v>14</v>
      </c>
      <c r="O190" s="108">
        <f>VLOOKUP($A190, Stat!$A$1:$C$501, 3,0)</f>
        <v>0</v>
      </c>
      <c r="P190" s="53">
        <v>60</v>
      </c>
      <c r="Q190" s="53">
        <v>-1</v>
      </c>
      <c r="R190" s="53" t="s">
        <v>88</v>
      </c>
      <c r="T190" s="53">
        <v>1</v>
      </c>
    </row>
    <row r="191" spans="1:20" ht="13.2" customHeight="1" x14ac:dyDescent="0.25">
      <c r="A191" s="53">
        <v>114</v>
      </c>
      <c r="B191" s="53" t="s">
        <v>39</v>
      </c>
      <c r="C191" s="53" t="s">
        <v>86</v>
      </c>
      <c r="D191" s="53" t="s">
        <v>2</v>
      </c>
      <c r="E191" s="57" t="s">
        <v>5</v>
      </c>
      <c r="F191" s="50"/>
      <c r="K191" s="50" t="s">
        <v>400</v>
      </c>
      <c r="L191" s="51"/>
      <c r="M191" s="50"/>
      <c r="N191" s="108">
        <f>VLOOKUP($A191, Stat!$A$1:$C$501, 2,0)</f>
        <v>15</v>
      </c>
      <c r="O191" s="108">
        <f>VLOOKUP($A191, Stat!$A$1:$C$501, 3,0)</f>
        <v>0</v>
      </c>
      <c r="P191" s="53">
        <v>60</v>
      </c>
      <c r="Q191" s="53">
        <v>0</v>
      </c>
      <c r="T191" s="53">
        <v>1</v>
      </c>
    </row>
    <row r="192" spans="1:20" ht="13.2" customHeight="1" x14ac:dyDescent="0.25">
      <c r="A192" s="53">
        <v>163</v>
      </c>
      <c r="B192" s="53" t="s">
        <v>41</v>
      </c>
      <c r="C192" s="53" t="s">
        <v>60</v>
      </c>
      <c r="D192" s="53" t="s">
        <v>111</v>
      </c>
      <c r="E192" s="57" t="s">
        <v>110</v>
      </c>
      <c r="F192" s="51"/>
      <c r="H192" s="49">
        <v>1</v>
      </c>
      <c r="K192" s="51"/>
      <c r="L192" s="51"/>
      <c r="M192" s="51"/>
      <c r="N192" s="108">
        <f>VLOOKUP($A192, Stat!$A$1:$C$501, 2,0)</f>
        <v>18</v>
      </c>
      <c r="O192" s="108">
        <f>VLOOKUP($A192, Stat!$A$1:$C$501, 3,0)</f>
        <v>2</v>
      </c>
      <c r="P192" s="53">
        <v>0</v>
      </c>
      <c r="Q192" s="53">
        <v>-1</v>
      </c>
      <c r="T192" s="53">
        <v>1</v>
      </c>
    </row>
    <row r="193" spans="1:20" ht="13.2" customHeight="1" x14ac:dyDescent="0.25">
      <c r="A193" s="53">
        <v>220</v>
      </c>
      <c r="B193" s="53" t="s">
        <v>41</v>
      </c>
      <c r="C193" s="53" t="s">
        <v>64</v>
      </c>
      <c r="D193" s="53" t="s">
        <v>181</v>
      </c>
      <c r="E193" s="57" t="s">
        <v>50</v>
      </c>
      <c r="F193" s="51"/>
      <c r="H193" s="49">
        <v>1</v>
      </c>
      <c r="K193" s="51"/>
      <c r="L193" s="51"/>
      <c r="M193" s="51"/>
      <c r="N193" s="108">
        <f>VLOOKUP($A193, Stat!$A$1:$C$501, 2,0)</f>
        <v>15</v>
      </c>
      <c r="O193" s="108">
        <f>VLOOKUP($A193, Stat!$A$1:$C$501, 3,0)</f>
        <v>11</v>
      </c>
      <c r="P193" s="53">
        <v>100</v>
      </c>
      <c r="Q193" s="53">
        <v>0</v>
      </c>
      <c r="T193" s="53">
        <v>1</v>
      </c>
    </row>
    <row r="194" spans="1:20" ht="13.2" customHeight="1" x14ac:dyDescent="0.25">
      <c r="A194" s="53">
        <v>293</v>
      </c>
      <c r="B194" s="53" t="s">
        <v>41</v>
      </c>
      <c r="C194" s="53" t="s">
        <v>251</v>
      </c>
      <c r="D194" s="53" t="s">
        <v>340</v>
      </c>
      <c r="E194" s="53" t="s">
        <v>347</v>
      </c>
      <c r="N194" s="108">
        <f>VLOOKUP($A194, Stat!$A$1:$C$501, 2,0)</f>
        <v>14</v>
      </c>
      <c r="O194" s="108">
        <f>VLOOKUP($A194, Stat!$A$1:$C$501, 3,0)</f>
        <v>9</v>
      </c>
      <c r="P194" s="53">
        <v>40</v>
      </c>
      <c r="Q194" s="53">
        <v>1</v>
      </c>
      <c r="S194" s="53" t="s">
        <v>362</v>
      </c>
      <c r="T194" s="53">
        <v>1</v>
      </c>
    </row>
    <row r="195" spans="1:20" ht="13.2" customHeight="1" x14ac:dyDescent="0.25">
      <c r="A195" s="53">
        <v>298</v>
      </c>
      <c r="B195" s="53" t="s">
        <v>41</v>
      </c>
      <c r="C195" s="53" t="s">
        <v>251</v>
      </c>
      <c r="D195" s="53" t="s">
        <v>332</v>
      </c>
      <c r="E195" s="53" t="s">
        <v>69</v>
      </c>
      <c r="L195" s="49">
        <v>1</v>
      </c>
      <c r="N195" s="108">
        <f>VLOOKUP($A195, Stat!$A$1:$C$501, 2,0)</f>
        <v>14</v>
      </c>
      <c r="O195" s="108">
        <f>VLOOKUP($A195, Stat!$A$1:$C$501, 3,0)</f>
        <v>1</v>
      </c>
      <c r="P195" s="53">
        <v>40</v>
      </c>
      <c r="Q195" s="53">
        <v>0</v>
      </c>
      <c r="R195" s="53" t="s">
        <v>371</v>
      </c>
      <c r="S195" s="53" t="s">
        <v>358</v>
      </c>
      <c r="T195" s="53">
        <v>1</v>
      </c>
    </row>
    <row r="196" spans="1:20" ht="13.2" customHeight="1" x14ac:dyDescent="0.25">
      <c r="A196" s="53">
        <v>312</v>
      </c>
      <c r="B196" s="53" t="s">
        <v>39</v>
      </c>
      <c r="C196" s="53" t="s">
        <v>7</v>
      </c>
      <c r="D196" s="53" t="s">
        <v>169</v>
      </c>
      <c r="E196" s="53" t="s">
        <v>369</v>
      </c>
      <c r="J196" s="49">
        <v>1</v>
      </c>
      <c r="N196" s="108">
        <f>VLOOKUP($A196, Stat!$A$1:$C$501, 2,0)</f>
        <v>11</v>
      </c>
      <c r="O196" s="108">
        <f>VLOOKUP($A196, Stat!$A$1:$C$501, 3,0)</f>
        <v>0</v>
      </c>
      <c r="P196" s="53">
        <v>0</v>
      </c>
      <c r="Q196" s="53">
        <v>0</v>
      </c>
      <c r="S196" s="53" t="s">
        <v>416</v>
      </c>
      <c r="T196" s="53">
        <v>1</v>
      </c>
    </row>
    <row r="197" spans="1:20" ht="13.2" customHeight="1" x14ac:dyDescent="0.25">
      <c r="A197" s="53">
        <v>332</v>
      </c>
      <c r="B197" s="53" t="s">
        <v>41</v>
      </c>
      <c r="C197" s="53" t="s">
        <v>208</v>
      </c>
      <c r="D197" s="53" t="s">
        <v>374</v>
      </c>
      <c r="E197" s="53" t="s">
        <v>482</v>
      </c>
      <c r="H197" s="49">
        <v>1</v>
      </c>
      <c r="N197" s="108">
        <f>VLOOKUP($A197, Stat!$A$1:$C$501, 2,0)</f>
        <v>14</v>
      </c>
      <c r="O197" s="108">
        <f>VLOOKUP($A197, Stat!$A$1:$C$501, 3,0)</f>
        <v>13</v>
      </c>
      <c r="P197" s="53">
        <v>60</v>
      </c>
      <c r="Q197" s="53">
        <v>0</v>
      </c>
      <c r="S197" s="53" t="s">
        <v>480</v>
      </c>
      <c r="T197" s="53">
        <v>1</v>
      </c>
    </row>
    <row r="198" spans="1:20" ht="13.2" customHeight="1" x14ac:dyDescent="0.25">
      <c r="A198" s="53">
        <v>23</v>
      </c>
      <c r="B198" s="53" t="s">
        <v>41</v>
      </c>
      <c r="C198" s="53" t="s">
        <v>18</v>
      </c>
      <c r="D198" s="53" t="s">
        <v>97</v>
      </c>
      <c r="E198" s="57" t="s">
        <v>115</v>
      </c>
      <c r="F198" s="50" t="s">
        <v>272</v>
      </c>
      <c r="K198" s="50"/>
      <c r="L198" s="51"/>
      <c r="M198" s="50" t="s">
        <v>270</v>
      </c>
      <c r="N198" s="108">
        <f>VLOOKUP($A198, Stat!$A$1:$C$501, 2,0)</f>
        <v>16</v>
      </c>
      <c r="O198" s="108">
        <f>VLOOKUP($A198, Stat!$A$1:$C$501, 3,0)</f>
        <v>1</v>
      </c>
      <c r="P198" s="53">
        <v>20</v>
      </c>
      <c r="Q198" s="53">
        <v>0</v>
      </c>
      <c r="T198" s="53">
        <v>1</v>
      </c>
    </row>
    <row r="199" spans="1:20" ht="13.2" customHeight="1" x14ac:dyDescent="0.25">
      <c r="A199" s="53">
        <v>98</v>
      </c>
      <c r="B199" s="53" t="s">
        <v>39</v>
      </c>
      <c r="C199" s="53" t="s">
        <v>17</v>
      </c>
      <c r="D199" s="53" t="s">
        <v>158</v>
      </c>
      <c r="E199" s="57" t="s">
        <v>515</v>
      </c>
      <c r="F199" s="51"/>
      <c r="G199" s="49">
        <v>1</v>
      </c>
      <c r="K199" s="51"/>
      <c r="L199" s="51"/>
      <c r="M199" s="51"/>
      <c r="N199" s="108">
        <f>VLOOKUP($A199, Stat!$A$1:$C$501, 2,0)</f>
        <v>17</v>
      </c>
      <c r="O199" s="108">
        <f>VLOOKUP($A199, Stat!$A$1:$C$501, 3,0)</f>
        <v>0</v>
      </c>
      <c r="P199" s="53">
        <v>0</v>
      </c>
      <c r="Q199" s="53">
        <v>0</v>
      </c>
      <c r="S199" s="53" t="s">
        <v>234</v>
      </c>
      <c r="T199" s="53">
        <v>1</v>
      </c>
    </row>
    <row r="200" spans="1:20" ht="13.2" customHeight="1" x14ac:dyDescent="0.25">
      <c r="A200" s="53">
        <v>142</v>
      </c>
      <c r="B200" s="53" t="s">
        <v>39</v>
      </c>
      <c r="C200" s="53" t="s">
        <v>83</v>
      </c>
      <c r="D200" s="53" t="s">
        <v>125</v>
      </c>
      <c r="E200" s="57" t="s">
        <v>5</v>
      </c>
      <c r="F200" s="51"/>
      <c r="K200" s="50" t="s">
        <v>262</v>
      </c>
      <c r="L200" s="51"/>
      <c r="M200" s="51"/>
      <c r="N200" s="108">
        <f>VLOOKUP($A200, Stat!$A$1:$C$501, 2,0)</f>
        <v>13</v>
      </c>
      <c r="O200" s="108">
        <f>VLOOKUP($A200, Stat!$A$1:$C$501, 3,0)</f>
        <v>1</v>
      </c>
      <c r="P200" s="53">
        <v>60</v>
      </c>
      <c r="Q200" s="53">
        <v>0</v>
      </c>
      <c r="T200" s="53">
        <v>1</v>
      </c>
    </row>
    <row r="201" spans="1:20" ht="13.2" customHeight="1" x14ac:dyDescent="0.25">
      <c r="A201" s="53">
        <v>205</v>
      </c>
      <c r="B201" s="53" t="s">
        <v>39</v>
      </c>
      <c r="C201" s="53" t="s">
        <v>86</v>
      </c>
      <c r="D201" s="53" t="s">
        <v>191</v>
      </c>
      <c r="E201" s="57" t="s">
        <v>4</v>
      </c>
      <c r="F201" s="51"/>
      <c r="K201" s="51"/>
      <c r="L201" s="51"/>
      <c r="M201" s="51"/>
      <c r="N201" s="108">
        <f>VLOOKUP($A201, Stat!$A$1:$C$501, 2,0)</f>
        <v>16</v>
      </c>
      <c r="O201" s="108">
        <f>VLOOKUP($A201, Stat!$A$1:$C$501, 3,0)</f>
        <v>0</v>
      </c>
      <c r="P201" s="53">
        <v>0</v>
      </c>
      <c r="Q201" s="53">
        <v>-1</v>
      </c>
      <c r="T201" s="53">
        <v>1</v>
      </c>
    </row>
    <row r="202" spans="1:20" ht="13.2" customHeight="1" x14ac:dyDescent="0.25">
      <c r="A202" s="53">
        <v>315</v>
      </c>
      <c r="B202" s="53" t="s">
        <v>41</v>
      </c>
      <c r="C202" s="53" t="s">
        <v>64</v>
      </c>
      <c r="D202" s="53" t="s">
        <v>216</v>
      </c>
      <c r="E202" s="53" t="s">
        <v>423</v>
      </c>
      <c r="H202" s="49">
        <v>1</v>
      </c>
      <c r="N202" s="108">
        <f>VLOOKUP($A202, Stat!$A$1:$C$501, 2,0)</f>
        <v>12</v>
      </c>
      <c r="O202" s="108">
        <f>VLOOKUP($A202, Stat!$A$1:$C$501, 3,0)</f>
        <v>10</v>
      </c>
      <c r="P202" s="53">
        <v>60</v>
      </c>
      <c r="Q202" s="53">
        <v>0</v>
      </c>
      <c r="R202" s="53" t="s">
        <v>456</v>
      </c>
      <c r="S202" s="53" t="s">
        <v>424</v>
      </c>
      <c r="T202" s="53">
        <v>1</v>
      </c>
    </row>
    <row r="203" spans="1:20" ht="13.2" customHeight="1" x14ac:dyDescent="0.25">
      <c r="A203" s="53">
        <v>96</v>
      </c>
      <c r="B203" s="53" t="s">
        <v>41</v>
      </c>
      <c r="C203" s="53" t="s">
        <v>64</v>
      </c>
      <c r="D203" s="53" t="s">
        <v>79</v>
      </c>
      <c r="E203" s="57" t="s">
        <v>53</v>
      </c>
      <c r="F203" s="51"/>
      <c r="K203" s="51"/>
      <c r="L203" s="51"/>
      <c r="M203" s="51"/>
      <c r="N203" s="108">
        <f>VLOOKUP($A203, Stat!$A$1:$C$501, 2,0)</f>
        <v>14</v>
      </c>
      <c r="O203" s="108">
        <f>VLOOKUP($A203, Stat!$A$1:$C$501, 3,0)</f>
        <v>0</v>
      </c>
      <c r="P203" s="53">
        <v>0</v>
      </c>
      <c r="Q203" s="53">
        <v>0</v>
      </c>
      <c r="R203" s="53" t="s">
        <v>80</v>
      </c>
      <c r="T203" s="53">
        <v>1</v>
      </c>
    </row>
    <row r="204" spans="1:20" ht="13.2" customHeight="1" x14ac:dyDescent="0.25">
      <c r="A204" s="53">
        <v>150</v>
      </c>
      <c r="B204" s="53" t="s">
        <v>39</v>
      </c>
      <c r="C204" s="53" t="s">
        <v>83</v>
      </c>
      <c r="D204" s="53" t="s">
        <v>279</v>
      </c>
      <c r="E204" s="57" t="s">
        <v>5</v>
      </c>
      <c r="F204" s="51"/>
      <c r="K204" s="50" t="s">
        <v>287</v>
      </c>
      <c r="L204" s="51"/>
      <c r="M204" s="51"/>
      <c r="N204" s="108">
        <f>VLOOKUP($A204, Stat!$A$1:$C$501, 2,0)</f>
        <v>11</v>
      </c>
      <c r="O204" s="108">
        <f>VLOOKUP($A204, Stat!$A$1:$C$501, 3,0)</f>
        <v>3</v>
      </c>
      <c r="P204" s="53">
        <v>60</v>
      </c>
      <c r="Q204" s="53">
        <v>0</v>
      </c>
      <c r="R204" s="53" t="s">
        <v>280</v>
      </c>
      <c r="T204" s="53">
        <v>1</v>
      </c>
    </row>
    <row r="205" spans="1:20" ht="13.2" customHeight="1" x14ac:dyDescent="0.25">
      <c r="A205" s="53">
        <v>154</v>
      </c>
      <c r="B205" s="53" t="s">
        <v>41</v>
      </c>
      <c r="C205" s="53" t="s">
        <v>60</v>
      </c>
      <c r="D205" s="53" t="s">
        <v>104</v>
      </c>
      <c r="E205" s="57" t="s">
        <v>107</v>
      </c>
      <c r="F205" s="51"/>
      <c r="H205" s="49">
        <v>1</v>
      </c>
      <c r="K205" s="51"/>
      <c r="L205" s="51"/>
      <c r="M205" s="51"/>
      <c r="N205" s="108">
        <f>VLOOKUP($A205, Stat!$A$1:$C$501, 2,0)</f>
        <v>11</v>
      </c>
      <c r="O205" s="108">
        <f>VLOOKUP($A205, Stat!$A$1:$C$501, 3,0)</f>
        <v>3</v>
      </c>
      <c r="P205" s="53">
        <v>30</v>
      </c>
      <c r="Q205" s="53">
        <v>0</v>
      </c>
      <c r="S205" s="53" t="s">
        <v>238</v>
      </c>
      <c r="T205" s="53">
        <v>1</v>
      </c>
    </row>
    <row r="206" spans="1:20" ht="13.2" customHeight="1" x14ac:dyDescent="0.25">
      <c r="A206" s="53">
        <v>221</v>
      </c>
      <c r="B206" s="53" t="s">
        <v>41</v>
      </c>
      <c r="C206" s="53" t="s">
        <v>64</v>
      </c>
      <c r="D206" s="53" t="s">
        <v>181</v>
      </c>
      <c r="E206" s="57" t="s">
        <v>182</v>
      </c>
      <c r="F206" s="51"/>
      <c r="H206" s="49">
        <v>1</v>
      </c>
      <c r="K206" s="51"/>
      <c r="L206" s="51"/>
      <c r="M206" s="51"/>
      <c r="N206" s="108">
        <f>VLOOKUP($A206, Stat!$A$1:$C$501, 2,0)</f>
        <v>15</v>
      </c>
      <c r="O206" s="108">
        <f>VLOOKUP($A206, Stat!$A$1:$C$501, 3,0)</f>
        <v>7</v>
      </c>
      <c r="P206" s="53">
        <v>100</v>
      </c>
      <c r="Q206" s="53">
        <v>0</v>
      </c>
      <c r="T206" s="53">
        <v>1</v>
      </c>
    </row>
    <row r="207" spans="1:20" ht="13.2" customHeight="1" x14ac:dyDescent="0.25">
      <c r="A207" s="53">
        <v>314</v>
      </c>
      <c r="B207" s="53" t="s">
        <v>39</v>
      </c>
      <c r="C207" s="53" t="s">
        <v>7</v>
      </c>
      <c r="D207" s="53" t="s">
        <v>170</v>
      </c>
      <c r="E207" s="53" t="s">
        <v>370</v>
      </c>
      <c r="J207" s="49">
        <v>1</v>
      </c>
      <c r="N207" s="108">
        <f>VLOOKUP($A207, Stat!$A$1:$C$501, 2,0)</f>
        <v>11</v>
      </c>
      <c r="O207" s="108">
        <f>VLOOKUP($A207, Stat!$A$1:$C$501, 3,0)</f>
        <v>0</v>
      </c>
      <c r="P207" s="53">
        <v>0</v>
      </c>
      <c r="Q207" s="53">
        <v>0</v>
      </c>
      <c r="S207" s="53" t="s">
        <v>416</v>
      </c>
      <c r="T207" s="53">
        <v>1</v>
      </c>
    </row>
    <row r="208" spans="1:20" ht="13.2" customHeight="1" x14ac:dyDescent="0.25">
      <c r="A208" s="53">
        <v>3</v>
      </c>
      <c r="B208" s="53" t="s">
        <v>39</v>
      </c>
      <c r="C208" s="53" t="s">
        <v>7</v>
      </c>
      <c r="D208" s="53" t="s">
        <v>169</v>
      </c>
      <c r="E208" s="57" t="s">
        <v>411</v>
      </c>
      <c r="F208" s="51"/>
      <c r="J208" s="49">
        <v>1</v>
      </c>
      <c r="K208" s="50" t="s">
        <v>419</v>
      </c>
      <c r="L208" s="51"/>
      <c r="M208" s="51"/>
      <c r="N208" s="108">
        <f>VLOOKUP($A208, Stat!$A$1:$C$501, 2,0)</f>
        <v>8</v>
      </c>
      <c r="O208" s="108">
        <f>VLOOKUP($A208, Stat!$A$1:$C$501, 3,0)</f>
        <v>0</v>
      </c>
      <c r="P208" s="53">
        <v>60</v>
      </c>
      <c r="Q208" s="53">
        <v>0</v>
      </c>
      <c r="T208" s="53">
        <v>1</v>
      </c>
    </row>
    <row r="209" spans="1:20" ht="13.2" customHeight="1" x14ac:dyDescent="0.25">
      <c r="A209" s="53">
        <v>28</v>
      </c>
      <c r="B209" s="53" t="s">
        <v>39</v>
      </c>
      <c r="C209" s="53" t="s">
        <v>7</v>
      </c>
      <c r="D209" s="53" t="s">
        <v>11</v>
      </c>
      <c r="E209" s="57" t="s">
        <v>13</v>
      </c>
      <c r="F209" s="51"/>
      <c r="H209" s="49">
        <v>1</v>
      </c>
      <c r="K209" s="51"/>
      <c r="L209" s="51"/>
      <c r="M209" s="51"/>
      <c r="N209" s="108">
        <f>VLOOKUP($A209, Stat!$A$1:$C$501, 2,0)</f>
        <v>10</v>
      </c>
      <c r="O209" s="108">
        <f>VLOOKUP($A209, Stat!$A$1:$C$501, 3,0)</f>
        <v>0</v>
      </c>
      <c r="P209" s="53">
        <v>0</v>
      </c>
      <c r="Q209" s="53">
        <v>-1</v>
      </c>
      <c r="T209" s="53">
        <v>1</v>
      </c>
    </row>
    <row r="210" spans="1:20" ht="13.2" customHeight="1" x14ac:dyDescent="0.25">
      <c r="A210" s="53">
        <v>85</v>
      </c>
      <c r="B210" s="53" t="s">
        <v>41</v>
      </c>
      <c r="C210" s="53" t="s">
        <v>64</v>
      </c>
      <c r="D210" s="53" t="s">
        <v>214</v>
      </c>
      <c r="E210" s="57" t="s">
        <v>449</v>
      </c>
      <c r="F210" s="51"/>
      <c r="K210" s="51"/>
      <c r="L210" s="51"/>
      <c r="M210" s="51"/>
      <c r="N210" s="108">
        <f>VLOOKUP($A210, Stat!$A$1:$C$501, 2,0)</f>
        <v>11</v>
      </c>
      <c r="O210" s="108">
        <f>VLOOKUP($A210, Stat!$A$1:$C$501, 3,0)</f>
        <v>1</v>
      </c>
      <c r="P210" s="53">
        <v>60</v>
      </c>
      <c r="Q210" s="53">
        <v>0</v>
      </c>
      <c r="S210" s="53" t="s">
        <v>453</v>
      </c>
      <c r="T210" s="53">
        <v>1</v>
      </c>
    </row>
    <row r="211" spans="1:20" ht="13.2" customHeight="1" x14ac:dyDescent="0.25">
      <c r="A211" s="53">
        <v>122</v>
      </c>
      <c r="B211" s="53" t="s">
        <v>39</v>
      </c>
      <c r="C211" s="53" t="s">
        <v>87</v>
      </c>
      <c r="D211" s="53" t="s">
        <v>98</v>
      </c>
      <c r="E211" s="57" t="s">
        <v>5</v>
      </c>
      <c r="F211" s="51"/>
      <c r="I211" s="49">
        <v>999</v>
      </c>
      <c r="K211" s="50"/>
      <c r="L211" s="51"/>
      <c r="M211" s="51"/>
      <c r="N211" s="108">
        <f>VLOOKUP($A211, Stat!$A$1:$C$501, 2,0)</f>
        <v>11</v>
      </c>
      <c r="O211" s="108">
        <f>VLOOKUP($A211, Stat!$A$1:$C$501, 3,0)</f>
        <v>0</v>
      </c>
      <c r="P211" s="53">
        <v>60</v>
      </c>
      <c r="Q211" s="53">
        <v>-1</v>
      </c>
      <c r="T211" s="53">
        <v>1</v>
      </c>
    </row>
    <row r="212" spans="1:20" ht="13.2" customHeight="1" x14ac:dyDescent="0.25">
      <c r="A212" s="53">
        <v>135</v>
      </c>
      <c r="B212" s="53" t="s">
        <v>39</v>
      </c>
      <c r="C212" s="53" t="s">
        <v>83</v>
      </c>
      <c r="D212" s="53" t="s">
        <v>127</v>
      </c>
      <c r="E212" s="57" t="s">
        <v>51</v>
      </c>
      <c r="F212" s="51"/>
      <c r="K212" s="51"/>
      <c r="L212" s="51"/>
      <c r="M212" s="51"/>
      <c r="N212" s="108">
        <f>VLOOKUP($A212, Stat!$A$1:$C$501, 2,0)</f>
        <v>12</v>
      </c>
      <c r="O212" s="108">
        <f>VLOOKUP($A212, Stat!$A$1:$C$501, 3,0)</f>
        <v>0</v>
      </c>
      <c r="P212" s="53">
        <v>100</v>
      </c>
      <c r="Q212" s="53">
        <v>0</v>
      </c>
      <c r="T212" s="53">
        <v>1</v>
      </c>
    </row>
    <row r="213" spans="1:20" ht="13.2" customHeight="1" x14ac:dyDescent="0.25">
      <c r="A213" s="53">
        <v>137</v>
      </c>
      <c r="B213" s="53" t="s">
        <v>41</v>
      </c>
      <c r="C213" s="53" t="s">
        <v>64</v>
      </c>
      <c r="D213" s="53" t="s">
        <v>334</v>
      </c>
      <c r="E213" s="53" t="s">
        <v>352</v>
      </c>
      <c r="H213" s="49">
        <v>1</v>
      </c>
      <c r="N213" s="108">
        <f>VLOOKUP($A213, Stat!$A$1:$C$501, 2,0)</f>
        <v>12</v>
      </c>
      <c r="O213" s="108">
        <f>VLOOKUP($A213, Stat!$A$1:$C$501, 3,0)</f>
        <v>2</v>
      </c>
      <c r="P213" s="53">
        <v>0</v>
      </c>
      <c r="Q213" s="53">
        <v>1</v>
      </c>
      <c r="T213" s="53">
        <v>1</v>
      </c>
    </row>
    <row r="214" spans="1:20" ht="13.2" customHeight="1" x14ac:dyDescent="0.25">
      <c r="A214" s="53">
        <v>165</v>
      </c>
      <c r="B214" s="53" t="s">
        <v>41</v>
      </c>
      <c r="C214" s="53" t="s">
        <v>60</v>
      </c>
      <c r="D214" s="53" t="s">
        <v>112</v>
      </c>
      <c r="E214" s="57" t="s">
        <v>106</v>
      </c>
      <c r="F214" s="51"/>
      <c r="H214" s="49">
        <v>1</v>
      </c>
      <c r="K214" s="51"/>
      <c r="L214" s="51"/>
      <c r="M214" s="51"/>
      <c r="N214" s="108">
        <f>VLOOKUP($A214, Stat!$A$1:$C$501, 2,0)</f>
        <v>11</v>
      </c>
      <c r="O214" s="108">
        <f>VLOOKUP($A214, Stat!$A$1:$C$501, 3,0)</f>
        <v>4</v>
      </c>
      <c r="P214" s="53">
        <v>30</v>
      </c>
      <c r="Q214" s="53">
        <v>0</v>
      </c>
      <c r="T214" s="53">
        <v>1</v>
      </c>
    </row>
    <row r="215" spans="1:20" ht="13.2" customHeight="1" x14ac:dyDescent="0.25">
      <c r="A215" s="53">
        <v>188</v>
      </c>
      <c r="B215" s="53" t="s">
        <v>41</v>
      </c>
      <c r="C215" s="53" t="s">
        <v>64</v>
      </c>
      <c r="D215" s="53" t="s">
        <v>140</v>
      </c>
      <c r="E215" s="57" t="s">
        <v>272</v>
      </c>
      <c r="F215" s="51"/>
      <c r="J215" s="49">
        <v>1</v>
      </c>
      <c r="K215" s="51"/>
      <c r="L215" s="51"/>
      <c r="M215" s="51"/>
      <c r="N215" s="108">
        <f>VLOOKUP($A215, Stat!$A$1:$C$501, 2,0)</f>
        <v>19</v>
      </c>
      <c r="O215" s="108">
        <f>VLOOKUP($A215, Stat!$A$1:$C$501, 3,0)</f>
        <v>2</v>
      </c>
      <c r="P215" s="53">
        <v>0</v>
      </c>
      <c r="Q215" s="53">
        <v>1</v>
      </c>
      <c r="R215" s="53" t="s">
        <v>138</v>
      </c>
      <c r="T215" s="53">
        <v>1</v>
      </c>
    </row>
    <row r="216" spans="1:20" ht="13.2" customHeight="1" x14ac:dyDescent="0.25">
      <c r="A216" s="53">
        <v>230</v>
      </c>
      <c r="B216" s="53" t="s">
        <v>41</v>
      </c>
      <c r="C216" s="53" t="s">
        <v>208</v>
      </c>
      <c r="D216" s="53" t="s">
        <v>197</v>
      </c>
      <c r="E216" s="57" t="s">
        <v>210</v>
      </c>
      <c r="F216" s="51"/>
      <c r="H216" s="49">
        <v>1</v>
      </c>
      <c r="K216" s="51"/>
      <c r="L216" s="51"/>
      <c r="M216" s="51"/>
      <c r="N216" s="108">
        <f>VLOOKUP($A216, Stat!$A$1:$C$501, 2,0)</f>
        <v>11</v>
      </c>
      <c r="O216" s="108">
        <f>VLOOKUP($A216, Stat!$A$1:$C$501, 3,0)</f>
        <v>3</v>
      </c>
      <c r="P216" s="53">
        <v>60</v>
      </c>
      <c r="Q216" s="53">
        <v>0</v>
      </c>
      <c r="T216" s="53">
        <v>1</v>
      </c>
    </row>
    <row r="217" spans="1:20" ht="13.2" customHeight="1" x14ac:dyDescent="0.25">
      <c r="A217" s="53">
        <v>236</v>
      </c>
      <c r="B217" s="53" t="s">
        <v>41</v>
      </c>
      <c r="C217" s="53" t="s">
        <v>208</v>
      </c>
      <c r="D217" s="53" t="s">
        <v>208</v>
      </c>
      <c r="E217" s="57" t="s">
        <v>207</v>
      </c>
      <c r="F217" s="51"/>
      <c r="H217" s="49">
        <v>1</v>
      </c>
      <c r="K217" s="51"/>
      <c r="L217" s="51"/>
      <c r="M217" s="51"/>
      <c r="N217" s="108">
        <f>VLOOKUP($A217, Stat!$A$1:$C$501, 2,0)</f>
        <v>11</v>
      </c>
      <c r="O217" s="108">
        <f>VLOOKUP($A217, Stat!$A$1:$C$501, 3,0)</f>
        <v>8</v>
      </c>
      <c r="P217" s="53">
        <v>60</v>
      </c>
      <c r="Q217" s="53">
        <v>0</v>
      </c>
      <c r="T217" s="53">
        <v>1</v>
      </c>
    </row>
    <row r="218" spans="1:20" ht="13.2" customHeight="1" x14ac:dyDescent="0.25">
      <c r="A218" s="53">
        <v>255</v>
      </c>
      <c r="B218" s="53" t="s">
        <v>41</v>
      </c>
      <c r="C218" s="53" t="s">
        <v>208</v>
      </c>
      <c r="D218" s="53" t="s">
        <v>195</v>
      </c>
      <c r="E218" s="57" t="s">
        <v>227</v>
      </c>
      <c r="F218" s="51"/>
      <c r="H218" s="49">
        <v>1</v>
      </c>
      <c r="K218" s="51"/>
      <c r="L218" s="51"/>
      <c r="M218" s="51"/>
      <c r="N218" s="108">
        <f>VLOOKUP($A218, Stat!$A$1:$C$501, 2,0)</f>
        <v>11</v>
      </c>
      <c r="O218" s="108">
        <f>VLOOKUP($A218, Stat!$A$1:$C$501, 3,0)</f>
        <v>6</v>
      </c>
      <c r="P218" s="53">
        <v>60</v>
      </c>
      <c r="Q218" s="53">
        <v>0</v>
      </c>
      <c r="T218" s="53">
        <v>1</v>
      </c>
    </row>
    <row r="219" spans="1:20" ht="13.2" customHeight="1" x14ac:dyDescent="0.25">
      <c r="A219" s="53">
        <v>261</v>
      </c>
      <c r="B219" s="53" t="s">
        <v>41</v>
      </c>
      <c r="C219" s="53" t="s">
        <v>251</v>
      </c>
      <c r="D219" s="53" t="s">
        <v>252</v>
      </c>
      <c r="E219" s="57" t="s">
        <v>255</v>
      </c>
      <c r="F219" s="51"/>
      <c r="K219" s="51"/>
      <c r="L219" s="50" t="s">
        <v>272</v>
      </c>
      <c r="M219" s="51"/>
      <c r="N219" s="108">
        <f>VLOOKUP($A219, Stat!$A$1:$C$501, 2,0)</f>
        <v>15</v>
      </c>
      <c r="O219" s="108">
        <f>VLOOKUP($A219, Stat!$A$1:$C$501, 3,0)</f>
        <v>0</v>
      </c>
      <c r="P219" s="53">
        <v>40</v>
      </c>
      <c r="Q219" s="53">
        <v>1</v>
      </c>
      <c r="T219" s="53">
        <v>1</v>
      </c>
    </row>
    <row r="220" spans="1:20" ht="13.2" customHeight="1" x14ac:dyDescent="0.25">
      <c r="A220" s="53">
        <v>302</v>
      </c>
      <c r="B220" s="53" t="s">
        <v>39</v>
      </c>
      <c r="C220" s="53" t="s">
        <v>14</v>
      </c>
      <c r="D220" s="53" t="s">
        <v>409</v>
      </c>
      <c r="E220" s="53" t="s">
        <v>387</v>
      </c>
      <c r="N220" s="108">
        <f>VLOOKUP($A220, Stat!$A$1:$C$501, 2,0)</f>
        <v>12</v>
      </c>
      <c r="O220" s="108">
        <f>VLOOKUP($A220, Stat!$A$1:$C$501, 3,0)</f>
        <v>0</v>
      </c>
      <c r="P220" s="53">
        <v>60</v>
      </c>
      <c r="Q220" s="53">
        <v>0</v>
      </c>
      <c r="S220" s="53" t="s">
        <v>366</v>
      </c>
      <c r="T220" s="53">
        <v>1</v>
      </c>
    </row>
    <row r="221" spans="1:20" ht="13.2" customHeight="1" x14ac:dyDescent="0.25">
      <c r="A221" s="53">
        <v>310</v>
      </c>
      <c r="B221" s="53" t="s">
        <v>41</v>
      </c>
      <c r="C221" s="53" t="s">
        <v>18</v>
      </c>
      <c r="D221" s="53" t="s">
        <v>407</v>
      </c>
      <c r="E221" s="53" t="s">
        <v>447</v>
      </c>
      <c r="F221" s="49">
        <v>1</v>
      </c>
      <c r="N221" s="108">
        <f>VLOOKUP($A221, Stat!$A$1:$C$501, 2,0)</f>
        <v>13</v>
      </c>
      <c r="O221" s="108">
        <f>VLOOKUP($A221, Stat!$A$1:$C$501, 3,0)</f>
        <v>0</v>
      </c>
      <c r="P221" s="53">
        <v>20</v>
      </c>
      <c r="Q221" s="53">
        <v>0</v>
      </c>
      <c r="S221" s="53" t="s">
        <v>408</v>
      </c>
      <c r="T221" s="53">
        <v>1</v>
      </c>
    </row>
    <row r="222" spans="1:20" ht="13.2" customHeight="1" x14ac:dyDescent="0.25">
      <c r="A222" s="53">
        <v>71</v>
      </c>
      <c r="B222" s="53" t="s">
        <v>39</v>
      </c>
      <c r="C222" s="53" t="s">
        <v>7</v>
      </c>
      <c r="D222" s="53" t="s">
        <v>226</v>
      </c>
      <c r="E222" s="57" t="s">
        <v>53</v>
      </c>
      <c r="F222" s="51"/>
      <c r="J222" s="49">
        <v>1</v>
      </c>
      <c r="K222" s="50" t="s">
        <v>268</v>
      </c>
      <c r="L222" s="51"/>
      <c r="M222" s="51"/>
      <c r="N222" s="108">
        <f>VLOOKUP($A222, Stat!$A$1:$C$501, 2,0)</f>
        <v>9</v>
      </c>
      <c r="O222" s="108">
        <f>VLOOKUP($A222, Stat!$A$1:$C$501, 3,0)</f>
        <v>1</v>
      </c>
      <c r="P222" s="53">
        <v>100</v>
      </c>
      <c r="Q222" s="53">
        <v>0</v>
      </c>
      <c r="T222" s="53">
        <v>1</v>
      </c>
    </row>
    <row r="223" spans="1:20" ht="13.2" customHeight="1" x14ac:dyDescent="0.25">
      <c r="A223" s="53">
        <v>109</v>
      </c>
      <c r="B223" s="53" t="s">
        <v>39</v>
      </c>
      <c r="C223" s="53" t="s">
        <v>83</v>
      </c>
      <c r="D223" s="53" t="s">
        <v>126</v>
      </c>
      <c r="E223" s="57" t="s">
        <v>4</v>
      </c>
      <c r="F223" s="51"/>
      <c r="K223" s="50" t="s">
        <v>265</v>
      </c>
      <c r="L223" s="51"/>
      <c r="M223" s="51"/>
      <c r="N223" s="108">
        <f>VLOOKUP($A223, Stat!$A$1:$C$501, 2,0)</f>
        <v>10</v>
      </c>
      <c r="O223" s="108">
        <f>VLOOKUP($A223, Stat!$A$1:$C$501, 3,0)</f>
        <v>0</v>
      </c>
      <c r="P223" s="53">
        <v>0</v>
      </c>
      <c r="Q223" s="53">
        <v>0</v>
      </c>
      <c r="T223" s="53">
        <v>1</v>
      </c>
    </row>
    <row r="224" spans="1:20" ht="13.2" customHeight="1" x14ac:dyDescent="0.25">
      <c r="A224" s="53">
        <v>147</v>
      </c>
      <c r="B224" s="53" t="s">
        <v>39</v>
      </c>
      <c r="C224" s="53" t="s">
        <v>87</v>
      </c>
      <c r="D224" s="53" t="s">
        <v>397</v>
      </c>
      <c r="E224" s="57" t="s">
        <v>51</v>
      </c>
      <c r="F224" s="51"/>
      <c r="K224" s="51"/>
      <c r="L224" s="51"/>
      <c r="M224" s="51"/>
      <c r="N224" s="108">
        <f>VLOOKUP($A224, Stat!$A$1:$C$501, 2,0)</f>
        <v>10</v>
      </c>
      <c r="O224" s="108">
        <f>VLOOKUP($A224, Stat!$A$1:$C$501, 3,0)</f>
        <v>0</v>
      </c>
      <c r="P224" s="53">
        <v>100</v>
      </c>
      <c r="Q224" s="53">
        <v>-1</v>
      </c>
      <c r="R224" s="53" t="s">
        <v>440</v>
      </c>
      <c r="T224" s="53">
        <v>1</v>
      </c>
    </row>
    <row r="225" spans="1:20" ht="13.2" customHeight="1" x14ac:dyDescent="0.25">
      <c r="A225" s="53">
        <v>265</v>
      </c>
      <c r="B225" s="53" t="s">
        <v>41</v>
      </c>
      <c r="C225" s="53" t="s">
        <v>251</v>
      </c>
      <c r="D225" s="53" t="s">
        <v>252</v>
      </c>
      <c r="E225" s="57" t="s">
        <v>258</v>
      </c>
      <c r="F225" s="51"/>
      <c r="K225" s="51"/>
      <c r="L225" s="50" t="s">
        <v>272</v>
      </c>
      <c r="M225" s="51"/>
      <c r="N225" s="108">
        <f>VLOOKUP($A225, Stat!$A$1:$C$501, 2,0)</f>
        <v>11</v>
      </c>
      <c r="O225" s="108">
        <f>VLOOKUP($A225, Stat!$A$1:$C$501, 3,0)</f>
        <v>0</v>
      </c>
      <c r="P225" s="53">
        <v>40</v>
      </c>
      <c r="Q225" s="53">
        <v>1</v>
      </c>
      <c r="S225" s="53" t="s">
        <v>318</v>
      </c>
      <c r="T225" s="53">
        <v>1</v>
      </c>
    </row>
    <row r="226" spans="1:20" ht="13.2" customHeight="1" x14ac:dyDescent="0.25">
      <c r="A226" s="53">
        <v>271</v>
      </c>
      <c r="B226" s="53" t="s">
        <v>41</v>
      </c>
      <c r="C226" s="53" t="s">
        <v>64</v>
      </c>
      <c r="D226" s="53" t="s">
        <v>529</v>
      </c>
      <c r="E226" s="57" t="s">
        <v>548</v>
      </c>
      <c r="H226" s="49">
        <v>1</v>
      </c>
      <c r="N226" s="108">
        <f>VLOOKUP($A226, Stat!$A$1:$C$501, 2,0)</f>
        <v>11</v>
      </c>
      <c r="O226" s="108">
        <f>VLOOKUP($A226, Stat!$A$1:$C$501, 3,0)</f>
        <v>2</v>
      </c>
      <c r="P226" s="53">
        <v>40</v>
      </c>
      <c r="Q226" s="53">
        <v>0</v>
      </c>
      <c r="T226" s="53">
        <v>1</v>
      </c>
    </row>
    <row r="227" spans="1:20" ht="13.2" customHeight="1" x14ac:dyDescent="0.25">
      <c r="A227" s="53">
        <v>275</v>
      </c>
      <c r="B227" s="53" t="s">
        <v>41</v>
      </c>
      <c r="C227" s="53" t="s">
        <v>64</v>
      </c>
      <c r="D227" s="53" t="s">
        <v>76</v>
      </c>
      <c r="E227" s="57" t="s">
        <v>305</v>
      </c>
      <c r="H227" s="49">
        <v>1</v>
      </c>
      <c r="N227" s="108">
        <f>VLOOKUP($A227, Stat!$A$1:$C$501, 2,0)</f>
        <v>10</v>
      </c>
      <c r="O227" s="108">
        <f>VLOOKUP($A227, Stat!$A$1:$C$501, 3,0)</f>
        <v>2</v>
      </c>
      <c r="P227" s="53">
        <v>60</v>
      </c>
      <c r="Q227" s="53">
        <v>0</v>
      </c>
      <c r="S227" s="53" t="s">
        <v>304</v>
      </c>
      <c r="T227" s="53">
        <v>1</v>
      </c>
    </row>
    <row r="228" spans="1:20" ht="13.2" customHeight="1" x14ac:dyDescent="0.25">
      <c r="A228" s="53">
        <v>110</v>
      </c>
      <c r="B228" s="53" t="s">
        <v>39</v>
      </c>
      <c r="C228" s="53" t="s">
        <v>83</v>
      </c>
      <c r="D228" s="53" t="s">
        <v>126</v>
      </c>
      <c r="E228" s="57" t="s">
        <v>5</v>
      </c>
      <c r="F228" s="51"/>
      <c r="K228" s="50" t="s">
        <v>266</v>
      </c>
      <c r="L228" s="51"/>
      <c r="M228" s="51"/>
      <c r="N228" s="108">
        <f>VLOOKUP($A228, Stat!$A$1:$C$501, 2,0)</f>
        <v>9</v>
      </c>
      <c r="O228" s="108">
        <f>VLOOKUP($A228, Stat!$A$1:$C$501, 3,0)</f>
        <v>1</v>
      </c>
      <c r="P228" s="53">
        <v>60</v>
      </c>
      <c r="Q228" s="53">
        <v>0</v>
      </c>
      <c r="T228" s="53">
        <v>1</v>
      </c>
    </row>
    <row r="229" spans="1:20" ht="13.2" customHeight="1" x14ac:dyDescent="0.25">
      <c r="A229" s="53">
        <v>139</v>
      </c>
      <c r="B229" s="53" t="s">
        <v>41</v>
      </c>
      <c r="C229" s="53" t="s">
        <v>208</v>
      </c>
      <c r="D229" s="53" t="s">
        <v>196</v>
      </c>
      <c r="E229" s="53" t="s">
        <v>365</v>
      </c>
      <c r="H229" s="49">
        <v>1</v>
      </c>
      <c r="N229" s="108">
        <f>VLOOKUP($A229, Stat!$A$1:$C$501, 2,0)</f>
        <v>9</v>
      </c>
      <c r="O229" s="108">
        <f>VLOOKUP($A229, Stat!$A$1:$C$501, 3,0)</f>
        <v>7</v>
      </c>
      <c r="P229" s="53">
        <v>0</v>
      </c>
      <c r="Q229" s="53">
        <v>0</v>
      </c>
      <c r="S229" s="53" t="s">
        <v>474</v>
      </c>
      <c r="T229" s="53">
        <v>1</v>
      </c>
    </row>
    <row r="230" spans="1:20" ht="13.2" customHeight="1" x14ac:dyDescent="0.25">
      <c r="A230" s="53">
        <v>164</v>
      </c>
      <c r="B230" s="53" t="s">
        <v>41</v>
      </c>
      <c r="C230" s="53" t="s">
        <v>60</v>
      </c>
      <c r="D230" s="53" t="s">
        <v>112</v>
      </c>
      <c r="E230" s="57" t="s">
        <v>105</v>
      </c>
      <c r="F230" s="51"/>
      <c r="H230" s="49">
        <v>1</v>
      </c>
      <c r="K230" s="51"/>
      <c r="L230" s="51"/>
      <c r="M230" s="51"/>
      <c r="N230" s="108">
        <f>VLOOKUP($A230, Stat!$A$1:$C$501, 2,0)</f>
        <v>9</v>
      </c>
      <c r="O230" s="108">
        <f>VLOOKUP($A230, Stat!$A$1:$C$501, 3,0)</f>
        <v>2</v>
      </c>
      <c r="P230" s="53">
        <v>30</v>
      </c>
      <c r="Q230" s="53">
        <v>0</v>
      </c>
      <c r="T230" s="53">
        <v>1</v>
      </c>
    </row>
    <row r="231" spans="1:20" ht="13.2" customHeight="1" x14ac:dyDescent="0.25">
      <c r="A231" s="53">
        <v>203</v>
      </c>
      <c r="B231" s="53" t="s">
        <v>39</v>
      </c>
      <c r="C231" s="53" t="s">
        <v>7</v>
      </c>
      <c r="D231" s="53" t="s">
        <v>170</v>
      </c>
      <c r="E231" s="57" t="s">
        <v>414</v>
      </c>
      <c r="F231" s="51"/>
      <c r="J231" s="49">
        <v>1</v>
      </c>
      <c r="K231" s="50" t="s">
        <v>418</v>
      </c>
      <c r="L231" s="51"/>
      <c r="M231" s="51"/>
      <c r="N231" s="108">
        <f>VLOOKUP($A231, Stat!$A$1:$C$501, 2,0)</f>
        <v>8</v>
      </c>
      <c r="O231" s="108">
        <f>VLOOKUP($A231, Stat!$A$1:$C$501, 3,0)</f>
        <v>0</v>
      </c>
      <c r="P231" s="53">
        <v>60</v>
      </c>
      <c r="Q231" s="53">
        <v>0</v>
      </c>
      <c r="S231" s="53" t="s">
        <v>229</v>
      </c>
      <c r="T231" s="53">
        <v>1</v>
      </c>
    </row>
    <row r="232" spans="1:20" ht="13.2" customHeight="1" x14ac:dyDescent="0.25">
      <c r="A232" s="53">
        <v>352</v>
      </c>
      <c r="B232" s="53" t="s">
        <v>39</v>
      </c>
      <c r="C232" s="53" t="s">
        <v>17</v>
      </c>
      <c r="D232" s="53" t="s">
        <v>526</v>
      </c>
      <c r="E232" s="53" t="s">
        <v>477</v>
      </c>
      <c r="N232" s="108">
        <f>VLOOKUP($A232, Stat!$A$1:$C$501, 2,0)</f>
        <v>9</v>
      </c>
      <c r="O232" s="108">
        <f>VLOOKUP($A232, Stat!$A$1:$C$501, 3,0)</f>
        <v>1</v>
      </c>
      <c r="P232" s="53">
        <v>0</v>
      </c>
      <c r="Q232" s="53">
        <v>0</v>
      </c>
      <c r="S232" s="53" t="s">
        <v>234</v>
      </c>
      <c r="T232" s="53">
        <v>1</v>
      </c>
    </row>
    <row r="233" spans="1:20" ht="13.2" customHeight="1" x14ac:dyDescent="0.25">
      <c r="A233" s="53">
        <v>215</v>
      </c>
      <c r="B233" s="53" t="s">
        <v>41</v>
      </c>
      <c r="C233" s="53" t="s">
        <v>64</v>
      </c>
      <c r="D233" s="53" t="s">
        <v>176</v>
      </c>
      <c r="E233" s="57" t="s">
        <v>313</v>
      </c>
      <c r="F233" s="51"/>
      <c r="H233" s="49">
        <v>1</v>
      </c>
      <c r="K233" s="51"/>
      <c r="L233" s="51"/>
      <c r="M233" s="51"/>
      <c r="N233" s="108">
        <f>VLOOKUP($A233, Stat!$A$1:$C$501, 2,0)</f>
        <v>8</v>
      </c>
      <c r="O233" s="108">
        <f>VLOOKUP($A233, Stat!$A$1:$C$501, 3,0)</f>
        <v>8</v>
      </c>
      <c r="P233" s="53">
        <v>60</v>
      </c>
      <c r="Q233" s="53">
        <v>0</v>
      </c>
      <c r="R233" s="53" t="s">
        <v>180</v>
      </c>
      <c r="T233" s="53">
        <v>1</v>
      </c>
    </row>
    <row r="234" spans="1:20" ht="13.2" customHeight="1" x14ac:dyDescent="0.25">
      <c r="A234" s="53">
        <v>224</v>
      </c>
      <c r="B234" s="53" t="s">
        <v>41</v>
      </c>
      <c r="C234" s="53" t="s">
        <v>64</v>
      </c>
      <c r="D234" s="53" t="s">
        <v>68</v>
      </c>
      <c r="E234" s="57" t="s">
        <v>341</v>
      </c>
      <c r="F234" s="51"/>
      <c r="H234" s="49">
        <v>1</v>
      </c>
      <c r="K234" s="51"/>
      <c r="L234" s="51"/>
      <c r="M234" s="51"/>
      <c r="N234" s="108">
        <f>VLOOKUP($A234, Stat!$A$1:$C$501, 2,0)</f>
        <v>8</v>
      </c>
      <c r="O234" s="108">
        <f>VLOOKUP($A234, Stat!$A$1:$C$501, 3,0)</f>
        <v>4</v>
      </c>
      <c r="P234" s="53">
        <v>100</v>
      </c>
      <c r="Q234" s="53">
        <v>0</v>
      </c>
      <c r="S234" s="53" t="s">
        <v>342</v>
      </c>
      <c r="T234" s="53">
        <v>1</v>
      </c>
    </row>
    <row r="235" spans="1:20" ht="13.2" customHeight="1" x14ac:dyDescent="0.25">
      <c r="A235" s="53">
        <v>234</v>
      </c>
      <c r="B235" s="53" t="s">
        <v>41</v>
      </c>
      <c r="C235" s="53" t="s">
        <v>208</v>
      </c>
      <c r="D235" s="53" t="s">
        <v>208</v>
      </c>
      <c r="E235" s="57" t="s">
        <v>217</v>
      </c>
      <c r="F235" s="51"/>
      <c r="H235" s="49">
        <v>1</v>
      </c>
      <c r="K235" s="51"/>
      <c r="L235" s="51"/>
      <c r="M235" s="51"/>
      <c r="N235" s="108">
        <f>VLOOKUP($A235, Stat!$A$1:$C$501, 2,0)</f>
        <v>8</v>
      </c>
      <c r="O235" s="108">
        <f>VLOOKUP($A235, Stat!$A$1:$C$501, 3,0)</f>
        <v>8</v>
      </c>
      <c r="P235" s="53">
        <v>60</v>
      </c>
      <c r="Q235" s="53">
        <v>0</v>
      </c>
      <c r="T235" s="53">
        <v>1</v>
      </c>
    </row>
    <row r="236" spans="1:20" ht="13.2" customHeight="1" x14ac:dyDescent="0.25">
      <c r="A236" s="53">
        <v>296</v>
      </c>
      <c r="B236" s="53" t="s">
        <v>41</v>
      </c>
      <c r="C236" s="53" t="s">
        <v>64</v>
      </c>
      <c r="D236" s="53" t="s">
        <v>334</v>
      </c>
      <c r="E236" s="53" t="s">
        <v>534</v>
      </c>
      <c r="H236" s="49">
        <v>1</v>
      </c>
      <c r="N236" s="108">
        <f>VLOOKUP($A236, Stat!$A$1:$C$501, 2,0)</f>
        <v>10</v>
      </c>
      <c r="O236" s="108">
        <f>VLOOKUP($A236, Stat!$A$1:$C$501, 3,0)</f>
        <v>4</v>
      </c>
      <c r="P236" s="53">
        <v>0</v>
      </c>
      <c r="Q236" s="53">
        <v>1</v>
      </c>
      <c r="S236" s="53" t="s">
        <v>532</v>
      </c>
      <c r="T236" s="53">
        <v>1</v>
      </c>
    </row>
    <row r="237" spans="1:20" ht="13.2" customHeight="1" x14ac:dyDescent="0.25">
      <c r="A237" s="53">
        <v>136</v>
      </c>
      <c r="B237" s="53" t="s">
        <v>41</v>
      </c>
      <c r="C237" s="53" t="s">
        <v>64</v>
      </c>
      <c r="D237" s="53" t="s">
        <v>334</v>
      </c>
      <c r="E237" s="53" t="s">
        <v>535</v>
      </c>
      <c r="H237" s="49">
        <v>1</v>
      </c>
      <c r="N237" s="108">
        <f>VLOOKUP($A237, Stat!$A$1:$C$501, 2,0)</f>
        <v>7</v>
      </c>
      <c r="O237" s="108">
        <f>VLOOKUP($A237, Stat!$A$1:$C$501, 3,0)</f>
        <v>2</v>
      </c>
      <c r="P237" s="53">
        <v>0</v>
      </c>
      <c r="Q237" s="53">
        <v>1</v>
      </c>
      <c r="S237" s="53" t="s">
        <v>533</v>
      </c>
      <c r="T237" s="53">
        <v>1</v>
      </c>
    </row>
    <row r="238" spans="1:20" ht="13.2" customHeight="1" x14ac:dyDescent="0.25">
      <c r="A238" s="53">
        <v>138</v>
      </c>
      <c r="B238" s="53" t="s">
        <v>41</v>
      </c>
      <c r="C238" s="53" t="s">
        <v>64</v>
      </c>
      <c r="D238" s="53" t="s">
        <v>334</v>
      </c>
      <c r="E238" s="53" t="s">
        <v>353</v>
      </c>
      <c r="H238" s="49">
        <v>1</v>
      </c>
      <c r="N238" s="108">
        <f>VLOOKUP($A238, Stat!$A$1:$C$501, 2,0)</f>
        <v>9</v>
      </c>
      <c r="O238" s="108">
        <f>VLOOKUP($A238, Stat!$A$1:$C$501, 3,0)</f>
        <v>4</v>
      </c>
      <c r="P238" s="53">
        <v>0</v>
      </c>
      <c r="Q238" s="53">
        <v>1</v>
      </c>
      <c r="T238" s="53">
        <v>1</v>
      </c>
    </row>
    <row r="239" spans="1:20" ht="13.2" customHeight="1" x14ac:dyDescent="0.25">
      <c r="A239" s="53">
        <v>158</v>
      </c>
      <c r="B239" s="53" t="s">
        <v>41</v>
      </c>
      <c r="C239" s="53" t="s">
        <v>60</v>
      </c>
      <c r="D239" s="53" t="s">
        <v>111</v>
      </c>
      <c r="E239" s="57" t="s">
        <v>105</v>
      </c>
      <c r="F239" s="51"/>
      <c r="H239" s="49">
        <v>1</v>
      </c>
      <c r="K239" s="51"/>
      <c r="L239" s="51"/>
      <c r="M239" s="51"/>
      <c r="N239" s="108">
        <f>VLOOKUP($A239, Stat!$A$1:$C$501, 2,0)</f>
        <v>7</v>
      </c>
      <c r="O239" s="108">
        <f>VLOOKUP($A239, Stat!$A$1:$C$501, 3,0)</f>
        <v>3</v>
      </c>
      <c r="P239" s="53">
        <v>30</v>
      </c>
      <c r="Q239" s="53">
        <v>0</v>
      </c>
      <c r="T239" s="53">
        <v>1</v>
      </c>
    </row>
    <row r="240" spans="1:20" ht="13.2" customHeight="1" x14ac:dyDescent="0.25">
      <c r="A240" s="53">
        <v>173</v>
      </c>
      <c r="B240" s="53" t="s">
        <v>41</v>
      </c>
      <c r="C240" s="53" t="s">
        <v>60</v>
      </c>
      <c r="D240" s="53" t="s">
        <v>103</v>
      </c>
      <c r="E240" s="57" t="s">
        <v>108</v>
      </c>
      <c r="F240" s="51"/>
      <c r="H240" s="49">
        <v>1</v>
      </c>
      <c r="K240" s="51"/>
      <c r="L240" s="51"/>
      <c r="M240" s="51"/>
      <c r="N240" s="108">
        <f>VLOOKUP($A240, Stat!$A$1:$C$501, 2,0)</f>
        <v>7</v>
      </c>
      <c r="O240" s="108">
        <f>VLOOKUP($A240, Stat!$A$1:$C$501, 3,0)</f>
        <v>3</v>
      </c>
      <c r="P240" s="53">
        <v>30</v>
      </c>
      <c r="Q240" s="53">
        <v>0</v>
      </c>
      <c r="R240" s="53" t="s">
        <v>113</v>
      </c>
      <c r="T240" s="53">
        <v>1</v>
      </c>
    </row>
    <row r="241" spans="1:20" ht="13.2" customHeight="1" x14ac:dyDescent="0.25">
      <c r="A241" s="53">
        <v>189</v>
      </c>
      <c r="B241" s="53" t="s">
        <v>41</v>
      </c>
      <c r="C241" s="53" t="s">
        <v>64</v>
      </c>
      <c r="D241" s="53" t="s">
        <v>140</v>
      </c>
      <c r="E241" s="57" t="s">
        <v>314</v>
      </c>
      <c r="F241" s="51"/>
      <c r="J241" s="49">
        <v>1</v>
      </c>
      <c r="K241" s="50" t="s">
        <v>276</v>
      </c>
      <c r="L241" s="51"/>
      <c r="M241" s="51"/>
      <c r="N241" s="108">
        <f>VLOOKUP($A241, Stat!$A$1:$C$501, 2,0)</f>
        <v>14</v>
      </c>
      <c r="O241" s="108">
        <f>VLOOKUP($A241, Stat!$A$1:$C$501, 3,0)</f>
        <v>0</v>
      </c>
      <c r="P241" s="53">
        <v>40</v>
      </c>
      <c r="Q241" s="53">
        <v>1</v>
      </c>
      <c r="R241" s="53" t="s">
        <v>138</v>
      </c>
      <c r="T241" s="53">
        <v>1</v>
      </c>
    </row>
    <row r="242" spans="1:20" ht="13.2" customHeight="1" x14ac:dyDescent="0.25">
      <c r="A242" s="53">
        <v>196</v>
      </c>
      <c r="B242" s="53" t="s">
        <v>39</v>
      </c>
      <c r="C242" s="53" t="s">
        <v>15</v>
      </c>
      <c r="D242" s="53" t="s">
        <v>148</v>
      </c>
      <c r="E242" s="57" t="s">
        <v>373</v>
      </c>
      <c r="F242" s="51"/>
      <c r="K242" s="51"/>
      <c r="L242" s="51"/>
      <c r="M242" s="51"/>
      <c r="N242" s="108">
        <f>VLOOKUP($A242, Stat!$A$1:$C$501, 2,0)</f>
        <v>7</v>
      </c>
      <c r="O242" s="108">
        <f>VLOOKUP($A242, Stat!$A$1:$C$501, 3,0)</f>
        <v>0</v>
      </c>
      <c r="P242" s="53">
        <v>20</v>
      </c>
      <c r="Q242" s="53">
        <v>0</v>
      </c>
      <c r="S242" s="53" t="s">
        <v>448</v>
      </c>
      <c r="T242" s="53">
        <v>1</v>
      </c>
    </row>
    <row r="243" spans="1:20" ht="13.2" customHeight="1" x14ac:dyDescent="0.25">
      <c r="A243" s="53">
        <v>211</v>
      </c>
      <c r="B243" s="53" t="s">
        <v>41</v>
      </c>
      <c r="C243" s="53" t="s">
        <v>64</v>
      </c>
      <c r="D243" s="53" t="s">
        <v>175</v>
      </c>
      <c r="E243" s="57" t="s">
        <v>313</v>
      </c>
      <c r="F243" s="51"/>
      <c r="H243" s="49">
        <v>1</v>
      </c>
      <c r="K243" s="51"/>
      <c r="L243" s="51"/>
      <c r="M243" s="51"/>
      <c r="N243" s="108">
        <f>VLOOKUP($A243, Stat!$A$1:$C$501, 2,0)</f>
        <v>7</v>
      </c>
      <c r="O243" s="108">
        <f>VLOOKUP($A243, Stat!$A$1:$C$501, 3,0)</f>
        <v>3</v>
      </c>
      <c r="P243" s="53">
        <v>60</v>
      </c>
      <c r="Q243" s="53">
        <v>1</v>
      </c>
      <c r="R243" s="53" t="s">
        <v>179</v>
      </c>
      <c r="T243" s="53">
        <v>1</v>
      </c>
    </row>
    <row r="244" spans="1:20" ht="13.2" customHeight="1" x14ac:dyDescent="0.25">
      <c r="A244" s="53">
        <v>240</v>
      </c>
      <c r="B244" s="53" t="s">
        <v>41</v>
      </c>
      <c r="C244" s="53" t="s">
        <v>208</v>
      </c>
      <c r="D244" s="53" t="s">
        <v>219</v>
      </c>
      <c r="E244" s="57" t="s">
        <v>77</v>
      </c>
      <c r="F244" s="51"/>
      <c r="H244" s="49">
        <v>1</v>
      </c>
      <c r="K244" s="50" t="s">
        <v>295</v>
      </c>
      <c r="L244" s="51"/>
      <c r="M244" s="51"/>
      <c r="N244" s="108">
        <f>VLOOKUP($A244, Stat!$A$1:$C$501, 2,0)</f>
        <v>7</v>
      </c>
      <c r="O244" s="108">
        <f>VLOOKUP($A244, Stat!$A$1:$C$501, 3,0)</f>
        <v>6</v>
      </c>
      <c r="P244" s="53">
        <v>60</v>
      </c>
      <c r="Q244" s="53">
        <v>0</v>
      </c>
      <c r="T244" s="53">
        <v>1</v>
      </c>
    </row>
    <row r="245" spans="1:20" ht="13.2" customHeight="1" x14ac:dyDescent="0.25">
      <c r="A245" s="53">
        <v>246</v>
      </c>
      <c r="B245" s="53" t="s">
        <v>41</v>
      </c>
      <c r="C245" s="53" t="s">
        <v>208</v>
      </c>
      <c r="D245" s="53" t="s">
        <v>195</v>
      </c>
      <c r="E245" s="57" t="s">
        <v>194</v>
      </c>
      <c r="F245" s="51"/>
      <c r="H245" s="49">
        <v>1</v>
      </c>
      <c r="K245" s="50" t="s">
        <v>506</v>
      </c>
      <c r="L245" s="51"/>
      <c r="M245" s="51"/>
      <c r="N245" s="108">
        <f>VLOOKUP($A245, Stat!$A$1:$C$501, 2,0)</f>
        <v>7</v>
      </c>
      <c r="O245" s="108">
        <f>VLOOKUP($A245, Stat!$A$1:$C$501, 3,0)</f>
        <v>2</v>
      </c>
      <c r="P245" s="53">
        <v>60</v>
      </c>
      <c r="Q245" s="53">
        <v>0</v>
      </c>
      <c r="T245" s="53">
        <v>1</v>
      </c>
    </row>
    <row r="246" spans="1:20" ht="13.2" customHeight="1" x14ac:dyDescent="0.25">
      <c r="A246" s="53">
        <v>257</v>
      </c>
      <c r="B246" s="53" t="s">
        <v>41</v>
      </c>
      <c r="C246" s="53" t="s">
        <v>251</v>
      </c>
      <c r="D246" s="53" t="s">
        <v>252</v>
      </c>
      <c r="E246" s="57" t="s">
        <v>253</v>
      </c>
      <c r="F246" s="51"/>
      <c r="K246" s="51"/>
      <c r="L246" s="50" t="s">
        <v>272</v>
      </c>
      <c r="M246" s="51"/>
      <c r="N246" s="108">
        <f>VLOOKUP($A246, Stat!$A$1:$C$501, 2,0)</f>
        <v>7</v>
      </c>
      <c r="O246" s="108">
        <f>VLOOKUP($A246, Stat!$A$1:$C$501, 3,0)</f>
        <v>0</v>
      </c>
      <c r="P246" s="53">
        <v>60</v>
      </c>
      <c r="Q246" s="53">
        <v>1</v>
      </c>
      <c r="S246" s="53" t="s">
        <v>320</v>
      </c>
      <c r="T246" s="53">
        <v>1</v>
      </c>
    </row>
    <row r="247" spans="1:20" ht="13.2" customHeight="1" x14ac:dyDescent="0.25">
      <c r="A247" s="53">
        <v>333</v>
      </c>
      <c r="B247" s="53" t="s">
        <v>41</v>
      </c>
      <c r="C247" s="53" t="s">
        <v>251</v>
      </c>
      <c r="D247" s="53" t="s">
        <v>340</v>
      </c>
      <c r="E247" s="53" t="s">
        <v>478</v>
      </c>
      <c r="H247" s="49">
        <v>1</v>
      </c>
      <c r="N247" s="108">
        <f>VLOOKUP($A247, Stat!$A$1:$C$501, 2,0)</f>
        <v>7</v>
      </c>
      <c r="O247" s="108">
        <f>VLOOKUP($A247, Stat!$A$1:$C$501, 3,0)</f>
        <v>5</v>
      </c>
      <c r="P247" s="53">
        <v>60</v>
      </c>
      <c r="Q247" s="53">
        <v>0</v>
      </c>
      <c r="S247" s="53" t="s">
        <v>483</v>
      </c>
      <c r="T247" s="53">
        <v>1</v>
      </c>
    </row>
    <row r="248" spans="1:20" ht="13.2" customHeight="1" x14ac:dyDescent="0.25">
      <c r="A248" s="53">
        <v>65</v>
      </c>
      <c r="B248" s="53" t="s">
        <v>39</v>
      </c>
      <c r="C248" s="53" t="s">
        <v>83</v>
      </c>
      <c r="D248" s="53" t="s">
        <v>259</v>
      </c>
      <c r="E248" s="57" t="s">
        <v>5</v>
      </c>
      <c r="F248" s="51"/>
      <c r="K248" s="50" t="s">
        <v>283</v>
      </c>
      <c r="L248" s="51"/>
      <c r="M248" s="51"/>
      <c r="N248" s="108">
        <f>VLOOKUP($A248, Stat!$A$1:$C$501, 2,0)</f>
        <v>7</v>
      </c>
      <c r="O248" s="108">
        <f>VLOOKUP($A248, Stat!$A$1:$C$501, 3,0)</f>
        <v>1</v>
      </c>
      <c r="P248" s="53">
        <v>60</v>
      </c>
      <c r="Q248" s="53">
        <v>0</v>
      </c>
      <c r="T248" s="53">
        <v>1</v>
      </c>
    </row>
    <row r="249" spans="1:20" ht="13.2" customHeight="1" x14ac:dyDescent="0.25">
      <c r="A249" s="53">
        <v>162</v>
      </c>
      <c r="B249" s="53" t="s">
        <v>41</v>
      </c>
      <c r="C249" s="53" t="s">
        <v>60</v>
      </c>
      <c r="D249" s="53" t="s">
        <v>111</v>
      </c>
      <c r="E249" s="57" t="s">
        <v>109</v>
      </c>
      <c r="F249" s="51"/>
      <c r="H249" s="49">
        <v>1</v>
      </c>
      <c r="K249" s="51"/>
      <c r="L249" s="51"/>
      <c r="M249" s="51"/>
      <c r="N249" s="108">
        <f>VLOOKUP($A249, Stat!$A$1:$C$501, 2,0)</f>
        <v>9</v>
      </c>
      <c r="O249" s="108">
        <f>VLOOKUP($A249, Stat!$A$1:$C$501, 3,0)</f>
        <v>1</v>
      </c>
      <c r="P249" s="53">
        <v>0</v>
      </c>
      <c r="Q249" s="53">
        <v>-1</v>
      </c>
      <c r="T249" s="53">
        <v>1</v>
      </c>
    </row>
    <row r="250" spans="1:20" ht="13.2" customHeight="1" x14ac:dyDescent="0.25">
      <c r="A250" s="53">
        <v>171</v>
      </c>
      <c r="B250" s="53" t="s">
        <v>41</v>
      </c>
      <c r="C250" s="53" t="s">
        <v>60</v>
      </c>
      <c r="D250" s="53" t="s">
        <v>103</v>
      </c>
      <c r="E250" s="57" t="s">
        <v>106</v>
      </c>
      <c r="F250" s="51"/>
      <c r="H250" s="49">
        <v>1</v>
      </c>
      <c r="K250" s="51"/>
      <c r="L250" s="51"/>
      <c r="M250" s="51"/>
      <c r="N250" s="108">
        <f>VLOOKUP($A250, Stat!$A$1:$C$501, 2,0)</f>
        <v>6</v>
      </c>
      <c r="O250" s="108">
        <f>VLOOKUP($A250, Stat!$A$1:$C$501, 3,0)</f>
        <v>2</v>
      </c>
      <c r="P250" s="53">
        <v>30</v>
      </c>
      <c r="Q250" s="53">
        <v>0</v>
      </c>
      <c r="R250" s="53" t="s">
        <v>113</v>
      </c>
      <c r="T250" s="53">
        <v>1</v>
      </c>
    </row>
    <row r="251" spans="1:20" ht="13.2" customHeight="1" x14ac:dyDescent="0.25">
      <c r="A251" s="53">
        <v>172</v>
      </c>
      <c r="B251" s="53" t="s">
        <v>41</v>
      </c>
      <c r="C251" s="53" t="s">
        <v>60</v>
      </c>
      <c r="D251" s="53" t="s">
        <v>103</v>
      </c>
      <c r="E251" s="57" t="s">
        <v>107</v>
      </c>
      <c r="F251" s="51"/>
      <c r="H251" s="49">
        <v>1</v>
      </c>
      <c r="K251" s="51"/>
      <c r="L251" s="51"/>
      <c r="M251" s="51"/>
      <c r="N251" s="108">
        <f>VLOOKUP($A251, Stat!$A$1:$C$501, 2,0)</f>
        <v>10</v>
      </c>
      <c r="O251" s="108">
        <f>VLOOKUP($A251, Stat!$A$1:$C$501, 3,0)</f>
        <v>2</v>
      </c>
      <c r="P251" s="53">
        <v>30</v>
      </c>
      <c r="Q251" s="53">
        <v>0</v>
      </c>
      <c r="R251" s="53" t="s">
        <v>113</v>
      </c>
      <c r="T251" s="53">
        <v>1</v>
      </c>
    </row>
    <row r="252" spans="1:20" x14ac:dyDescent="0.25">
      <c r="A252" s="53">
        <v>174</v>
      </c>
      <c r="B252" s="53" t="s">
        <v>41</v>
      </c>
      <c r="C252" s="53" t="s">
        <v>60</v>
      </c>
      <c r="D252" s="53" t="s">
        <v>103</v>
      </c>
      <c r="E252" s="57" t="s">
        <v>114</v>
      </c>
      <c r="F252" s="51"/>
      <c r="H252" s="49">
        <v>1</v>
      </c>
      <c r="K252" s="51"/>
      <c r="L252" s="51"/>
      <c r="M252" s="51"/>
      <c r="N252" s="108">
        <f>VLOOKUP($A252, Stat!$A$1:$C$501, 2,0)</f>
        <v>11</v>
      </c>
      <c r="O252" s="108">
        <f>VLOOKUP($A252, Stat!$A$1:$C$501, 3,0)</f>
        <v>2</v>
      </c>
      <c r="P252" s="53">
        <v>30</v>
      </c>
      <c r="Q252" s="53">
        <v>0</v>
      </c>
      <c r="R252" s="53" t="s">
        <v>113</v>
      </c>
      <c r="T252" s="53">
        <v>1</v>
      </c>
    </row>
    <row r="253" spans="1:20" x14ac:dyDescent="0.25">
      <c r="A253" s="53">
        <v>177</v>
      </c>
      <c r="B253" s="53" t="s">
        <v>39</v>
      </c>
      <c r="C253" s="53" t="s">
        <v>7</v>
      </c>
      <c r="D253" s="53" t="s">
        <v>118</v>
      </c>
      <c r="E253" s="57" t="s">
        <v>8</v>
      </c>
      <c r="F253" s="51"/>
      <c r="H253" s="49">
        <v>1</v>
      </c>
      <c r="K253" s="51"/>
      <c r="L253" s="51"/>
      <c r="M253" s="51"/>
      <c r="N253" s="108">
        <f>VLOOKUP($A253, Stat!$A$1:$C$501, 2,0)</f>
        <v>6</v>
      </c>
      <c r="O253" s="108">
        <f>VLOOKUP($A253, Stat!$A$1:$C$501, 3,0)</f>
        <v>3</v>
      </c>
      <c r="P253" s="53">
        <v>30</v>
      </c>
      <c r="Q253" s="53">
        <v>0</v>
      </c>
      <c r="T253" s="53">
        <v>1</v>
      </c>
    </row>
    <row r="254" spans="1:20" x14ac:dyDescent="0.25">
      <c r="A254" s="53">
        <v>178</v>
      </c>
      <c r="B254" s="53" t="s">
        <v>39</v>
      </c>
      <c r="C254" s="53" t="s">
        <v>7</v>
      </c>
      <c r="D254" s="53" t="s">
        <v>118</v>
      </c>
      <c r="E254" s="57" t="s">
        <v>9</v>
      </c>
      <c r="F254" s="51"/>
      <c r="H254" s="49">
        <v>1</v>
      </c>
      <c r="K254" s="51"/>
      <c r="L254" s="51"/>
      <c r="M254" s="51"/>
      <c r="N254" s="108">
        <f>VLOOKUP($A254, Stat!$A$1:$C$501, 2,0)</f>
        <v>6</v>
      </c>
      <c r="O254" s="108">
        <f>VLOOKUP($A254, Stat!$A$1:$C$501, 3,0)</f>
        <v>4</v>
      </c>
      <c r="P254" s="53">
        <v>100</v>
      </c>
      <c r="Q254" s="53">
        <v>0</v>
      </c>
      <c r="T254" s="53">
        <v>1</v>
      </c>
    </row>
    <row r="255" spans="1:20" x14ac:dyDescent="0.25">
      <c r="A255" s="53">
        <v>180</v>
      </c>
      <c r="B255" s="53" t="s">
        <v>39</v>
      </c>
      <c r="C255" s="53" t="s">
        <v>7</v>
      </c>
      <c r="D255" s="53" t="s">
        <v>118</v>
      </c>
      <c r="E255" s="57" t="s">
        <v>122</v>
      </c>
      <c r="F255" s="51"/>
      <c r="H255" s="49">
        <v>1</v>
      </c>
      <c r="K255" s="51"/>
      <c r="L255" s="51"/>
      <c r="M255" s="51"/>
      <c r="N255" s="108">
        <f>VLOOKUP($A255, Stat!$A$1:$C$501, 2,0)</f>
        <v>6</v>
      </c>
      <c r="O255" s="108">
        <f>VLOOKUP($A255, Stat!$A$1:$C$501, 3,0)</f>
        <v>6</v>
      </c>
      <c r="P255" s="53">
        <v>100</v>
      </c>
      <c r="Q255" s="53">
        <v>0</v>
      </c>
      <c r="T255" s="53">
        <v>1</v>
      </c>
    </row>
    <row r="256" spans="1:20" x14ac:dyDescent="0.25">
      <c r="A256" s="53">
        <v>183</v>
      </c>
      <c r="B256" s="53" t="s">
        <v>39</v>
      </c>
      <c r="C256" s="53" t="s">
        <v>7</v>
      </c>
      <c r="D256" s="53" t="s">
        <v>119</v>
      </c>
      <c r="E256" s="57" t="s">
        <v>8</v>
      </c>
      <c r="F256" s="51"/>
      <c r="H256" s="49">
        <v>1</v>
      </c>
      <c r="K256" s="51"/>
      <c r="L256" s="51"/>
      <c r="M256" s="51"/>
      <c r="N256" s="108">
        <f>VLOOKUP($A256, Stat!$A$1:$C$501, 2,0)</f>
        <v>6</v>
      </c>
      <c r="O256" s="108">
        <f>VLOOKUP($A256, Stat!$A$1:$C$501, 3,0)</f>
        <v>4</v>
      </c>
      <c r="P256" s="53">
        <v>30</v>
      </c>
      <c r="Q256" s="53">
        <v>0</v>
      </c>
      <c r="T256" s="53">
        <v>1</v>
      </c>
    </row>
    <row r="257" spans="1:20" x14ac:dyDescent="0.25">
      <c r="A257" s="53">
        <v>198</v>
      </c>
      <c r="B257" s="53" t="s">
        <v>39</v>
      </c>
      <c r="C257" s="53" t="s">
        <v>17</v>
      </c>
      <c r="D257" s="53" t="s">
        <v>158</v>
      </c>
      <c r="E257" s="57" t="s">
        <v>389</v>
      </c>
      <c r="F257" s="51"/>
      <c r="G257" s="49">
        <v>1</v>
      </c>
      <c r="K257" s="51"/>
      <c r="L257" s="51"/>
      <c r="M257" s="51"/>
      <c r="N257" s="108">
        <f>VLOOKUP($A257, Stat!$A$1:$C$501, 2,0)</f>
        <v>7</v>
      </c>
      <c r="O257" s="108">
        <f>VLOOKUP($A257, Stat!$A$1:$C$501, 3,0)</f>
        <v>0</v>
      </c>
      <c r="P257" s="53">
        <v>0</v>
      </c>
      <c r="Q257" s="53">
        <v>0</v>
      </c>
      <c r="S257" s="53" t="s">
        <v>234</v>
      </c>
      <c r="T257" s="53">
        <v>1</v>
      </c>
    </row>
    <row r="258" spans="1:20" x14ac:dyDescent="0.25">
      <c r="A258" s="53">
        <v>201</v>
      </c>
      <c r="B258" s="53" t="s">
        <v>41</v>
      </c>
      <c r="C258" s="53" t="s">
        <v>60</v>
      </c>
      <c r="D258" s="53" t="s">
        <v>152</v>
      </c>
      <c r="E258" s="57" t="s">
        <v>149</v>
      </c>
      <c r="F258" s="51"/>
      <c r="K258" s="51"/>
      <c r="L258" s="51"/>
      <c r="M258" s="51"/>
      <c r="N258" s="108">
        <f>VLOOKUP($A258, Stat!$A$1:$C$501, 2,0)</f>
        <v>6</v>
      </c>
      <c r="O258" s="108">
        <f>VLOOKUP($A258, Stat!$A$1:$C$501, 3,0)</f>
        <v>2</v>
      </c>
      <c r="P258" s="53">
        <v>60</v>
      </c>
      <c r="Q258" s="53">
        <v>0</v>
      </c>
      <c r="T258" s="53">
        <v>1</v>
      </c>
    </row>
    <row r="259" spans="1:20" x14ac:dyDescent="0.25">
      <c r="A259" s="53">
        <v>202</v>
      </c>
      <c r="B259" s="53" t="s">
        <v>39</v>
      </c>
      <c r="C259" s="53" t="s">
        <v>7</v>
      </c>
      <c r="D259" s="53" t="s">
        <v>170</v>
      </c>
      <c r="E259" s="57" t="s">
        <v>412</v>
      </c>
      <c r="F259" s="51"/>
      <c r="J259" s="49">
        <v>1</v>
      </c>
      <c r="K259" s="50" t="s">
        <v>417</v>
      </c>
      <c r="L259" s="51"/>
      <c r="M259" s="51"/>
      <c r="N259" s="108">
        <f>VLOOKUP($A259, Stat!$A$1:$C$501, 2,0)</f>
        <v>5</v>
      </c>
      <c r="O259" s="108">
        <f>VLOOKUP($A259, Stat!$A$1:$C$501, 3,0)</f>
        <v>0</v>
      </c>
      <c r="P259" s="53">
        <v>60</v>
      </c>
      <c r="Q259" s="53">
        <v>0</v>
      </c>
      <c r="T259" s="53">
        <v>1</v>
      </c>
    </row>
    <row r="260" spans="1:20" x14ac:dyDescent="0.25">
      <c r="A260" s="53">
        <v>226</v>
      </c>
      <c r="B260" s="53" t="s">
        <v>41</v>
      </c>
      <c r="C260" s="53" t="s">
        <v>208</v>
      </c>
      <c r="D260" s="53" t="s">
        <v>197</v>
      </c>
      <c r="E260" s="57" t="s">
        <v>199</v>
      </c>
      <c r="F260" s="51"/>
      <c r="H260" s="49">
        <v>1</v>
      </c>
      <c r="K260" s="51"/>
      <c r="L260" s="51"/>
      <c r="M260" s="51"/>
      <c r="N260" s="108">
        <f>VLOOKUP($A260, Stat!$A$1:$C$501, 2,0)</f>
        <v>6</v>
      </c>
      <c r="O260" s="108">
        <f>VLOOKUP($A260, Stat!$A$1:$C$501, 3,0)</f>
        <v>4</v>
      </c>
      <c r="P260" s="53">
        <v>60</v>
      </c>
      <c r="Q260" s="53">
        <v>0</v>
      </c>
      <c r="T260" s="53">
        <v>1</v>
      </c>
    </row>
    <row r="261" spans="1:20" x14ac:dyDescent="0.25">
      <c r="A261" s="53">
        <v>259</v>
      </c>
      <c r="B261" s="53" t="s">
        <v>41</v>
      </c>
      <c r="C261" s="53" t="s">
        <v>251</v>
      </c>
      <c r="D261" s="53" t="s">
        <v>252</v>
      </c>
      <c r="E261" s="57" t="s">
        <v>254</v>
      </c>
      <c r="F261" s="51"/>
      <c r="K261" s="51"/>
      <c r="L261" s="50" t="s">
        <v>272</v>
      </c>
      <c r="M261" s="51"/>
      <c r="N261" s="108">
        <f>VLOOKUP($A261, Stat!$A$1:$C$501, 2,0)</f>
        <v>7</v>
      </c>
      <c r="O261" s="108">
        <f>VLOOKUP($A261, Stat!$A$1:$C$501, 3,0)</f>
        <v>0</v>
      </c>
      <c r="P261" s="53">
        <v>60</v>
      </c>
      <c r="Q261" s="53">
        <v>0</v>
      </c>
      <c r="T261" s="53">
        <v>1</v>
      </c>
    </row>
    <row r="262" spans="1:20" x14ac:dyDescent="0.25">
      <c r="A262" s="53">
        <v>274</v>
      </c>
      <c r="B262" s="53" t="s">
        <v>41</v>
      </c>
      <c r="C262" s="53" t="s">
        <v>208</v>
      </c>
      <c r="D262" s="53" t="s">
        <v>374</v>
      </c>
      <c r="E262" s="57" t="s">
        <v>478</v>
      </c>
      <c r="H262" s="49">
        <v>1</v>
      </c>
      <c r="N262" s="108">
        <f>VLOOKUP($A262, Stat!$A$1:$C$501, 2,0)</f>
        <v>6</v>
      </c>
      <c r="O262" s="108">
        <f>VLOOKUP($A262, Stat!$A$1:$C$501, 3,0)</f>
        <v>6</v>
      </c>
      <c r="P262" s="53">
        <v>60</v>
      </c>
      <c r="Q262" s="53">
        <v>0</v>
      </c>
      <c r="S262" s="53" t="s">
        <v>479</v>
      </c>
      <c r="T262" s="53">
        <v>1</v>
      </c>
    </row>
    <row r="263" spans="1:20" ht="13.2" customHeight="1" x14ac:dyDescent="0.25">
      <c r="A263" s="53">
        <v>297</v>
      </c>
      <c r="B263" s="53" t="s">
        <v>41</v>
      </c>
      <c r="C263" s="53" t="s">
        <v>251</v>
      </c>
      <c r="D263" s="53" t="s">
        <v>332</v>
      </c>
      <c r="E263" s="53" t="s">
        <v>355</v>
      </c>
      <c r="L263" s="49">
        <v>1</v>
      </c>
      <c r="N263" s="108">
        <f>VLOOKUP($A263, Stat!$A$1:$C$501, 2,0)</f>
        <v>6</v>
      </c>
      <c r="O263" s="108">
        <f>VLOOKUP($A263, Stat!$A$1:$C$501, 3,0)</f>
        <v>0</v>
      </c>
      <c r="P263" s="53">
        <v>40</v>
      </c>
      <c r="Q263" s="53">
        <v>0</v>
      </c>
      <c r="R263" s="53" t="s">
        <v>371</v>
      </c>
      <c r="S263" s="53" t="s">
        <v>357</v>
      </c>
      <c r="T263" s="53">
        <v>1</v>
      </c>
    </row>
    <row r="264" spans="1:20" ht="13.2" customHeight="1" x14ac:dyDescent="0.25">
      <c r="A264" s="53">
        <v>299</v>
      </c>
      <c r="B264" s="53" t="s">
        <v>41</v>
      </c>
      <c r="C264" s="53" t="s">
        <v>208</v>
      </c>
      <c r="D264" s="53" t="s">
        <v>196</v>
      </c>
      <c r="E264" s="53" t="s">
        <v>375</v>
      </c>
      <c r="H264" s="49">
        <v>1</v>
      </c>
      <c r="N264" s="108">
        <f>VLOOKUP($A264, Stat!$A$1:$C$501, 2,0)</f>
        <v>6</v>
      </c>
      <c r="O264" s="108">
        <f>VLOOKUP($A264, Stat!$A$1:$C$501, 3,0)</f>
        <v>4</v>
      </c>
      <c r="P264" s="53">
        <v>0</v>
      </c>
      <c r="Q264" s="53">
        <v>0</v>
      </c>
      <c r="S264" s="53" t="s">
        <v>410</v>
      </c>
      <c r="T264" s="53">
        <v>1</v>
      </c>
    </row>
    <row r="265" spans="1:20" ht="13.2" customHeight="1" x14ac:dyDescent="0.25">
      <c r="A265" s="53">
        <v>320</v>
      </c>
      <c r="B265" s="53" t="s">
        <v>39</v>
      </c>
      <c r="C265" s="53" t="s">
        <v>15</v>
      </c>
      <c r="D265" s="53" t="s">
        <v>429</v>
      </c>
      <c r="E265" s="53" t="s">
        <v>430</v>
      </c>
      <c r="H265" s="49">
        <v>1</v>
      </c>
      <c r="N265" s="108">
        <f>VLOOKUP($A265, Stat!$A$1:$C$501, 2,0)</f>
        <v>7</v>
      </c>
      <c r="O265" s="108">
        <f>VLOOKUP($A265, Stat!$A$1:$C$501, 3,0)</f>
        <v>1</v>
      </c>
      <c r="P265" s="53">
        <v>0</v>
      </c>
      <c r="Q265" s="53">
        <v>0</v>
      </c>
      <c r="S265" s="53" t="s">
        <v>433</v>
      </c>
      <c r="T265" s="53">
        <v>1</v>
      </c>
    </row>
    <row r="266" spans="1:20" ht="13.2" customHeight="1" x14ac:dyDescent="0.25">
      <c r="A266" s="53">
        <v>334</v>
      </c>
      <c r="B266" s="53" t="s">
        <v>41</v>
      </c>
      <c r="C266" s="53" t="s">
        <v>251</v>
      </c>
      <c r="D266" s="53" t="s">
        <v>340</v>
      </c>
      <c r="E266" s="53" t="s">
        <v>481</v>
      </c>
      <c r="H266" s="49">
        <v>1</v>
      </c>
      <c r="N266" s="108">
        <f>VLOOKUP($A266, Stat!$A$1:$C$501, 2,0)</f>
        <v>6</v>
      </c>
      <c r="O266" s="108">
        <f>VLOOKUP($A266, Stat!$A$1:$C$501, 3,0)</f>
        <v>4</v>
      </c>
      <c r="P266" s="53">
        <v>60</v>
      </c>
      <c r="Q266" s="53">
        <v>0</v>
      </c>
      <c r="S266" s="53" t="s">
        <v>484</v>
      </c>
      <c r="T266" s="53">
        <v>1</v>
      </c>
    </row>
    <row r="267" spans="1:20" ht="13.2" customHeight="1" x14ac:dyDescent="0.25">
      <c r="A267" s="53">
        <v>337</v>
      </c>
      <c r="B267" s="53" t="s">
        <v>41</v>
      </c>
      <c r="C267" s="53" t="s">
        <v>208</v>
      </c>
      <c r="D267" s="53" t="s">
        <v>487</v>
      </c>
      <c r="E267" s="53" t="s">
        <v>488</v>
      </c>
      <c r="N267" s="108">
        <f>VLOOKUP($A267, Stat!$A$1:$C$501, 2,0)</f>
        <v>6</v>
      </c>
      <c r="O267" s="108">
        <f>VLOOKUP($A267, Stat!$A$1:$C$501, 3,0)</f>
        <v>6</v>
      </c>
      <c r="P267" s="53">
        <v>60</v>
      </c>
      <c r="Q267" s="53">
        <v>0</v>
      </c>
      <c r="R267" s="53" t="s">
        <v>492</v>
      </c>
      <c r="S267" s="53" t="s">
        <v>494</v>
      </c>
      <c r="T267" s="53">
        <v>1</v>
      </c>
    </row>
    <row r="268" spans="1:20" ht="13.2" customHeight="1" x14ac:dyDescent="0.25">
      <c r="A268" s="53">
        <v>351</v>
      </c>
      <c r="B268" s="53" t="s">
        <v>39</v>
      </c>
      <c r="C268" s="53" t="s">
        <v>17</v>
      </c>
      <c r="D268" s="53" t="s">
        <v>526</v>
      </c>
      <c r="E268" s="53" t="s">
        <v>378</v>
      </c>
      <c r="N268" s="108">
        <f>VLOOKUP($A268, Stat!$A$1:$C$501, 2,0)</f>
        <v>6</v>
      </c>
      <c r="O268" s="108">
        <f>VLOOKUP($A268, Stat!$A$1:$C$501, 3,0)</f>
        <v>0</v>
      </c>
      <c r="P268" s="53">
        <v>0</v>
      </c>
      <c r="Q268" s="53">
        <v>0</v>
      </c>
      <c r="S268" s="53" t="s">
        <v>234</v>
      </c>
      <c r="T268" s="53">
        <v>1</v>
      </c>
    </row>
    <row r="269" spans="1:20" ht="13.2" customHeight="1" x14ac:dyDescent="0.25">
      <c r="A269" s="53">
        <v>49</v>
      </c>
      <c r="B269" s="53" t="s">
        <v>41</v>
      </c>
      <c r="C269" s="53" t="s">
        <v>531</v>
      </c>
      <c r="D269" s="53" t="s">
        <v>538</v>
      </c>
      <c r="E269" s="57" t="s">
        <v>537</v>
      </c>
      <c r="F269" s="51"/>
      <c r="H269" s="49">
        <v>1</v>
      </c>
      <c r="K269" s="51"/>
      <c r="L269" s="51"/>
      <c r="M269" s="51"/>
      <c r="N269" s="108">
        <f>VLOOKUP($A269, Stat!$A$1:$C$501, 2,0)</f>
        <v>5</v>
      </c>
      <c r="O269" s="108">
        <f>VLOOKUP($A269, Stat!$A$1:$C$501, 3,0)</f>
        <v>0</v>
      </c>
      <c r="P269" s="53">
        <v>0</v>
      </c>
      <c r="Q269" s="53">
        <v>1</v>
      </c>
      <c r="T269" s="53">
        <v>1</v>
      </c>
    </row>
    <row r="270" spans="1:20" ht="13.2" customHeight="1" x14ac:dyDescent="0.25">
      <c r="A270" s="53">
        <v>64</v>
      </c>
      <c r="B270" s="53" t="s">
        <v>39</v>
      </c>
      <c r="C270" s="53" t="s">
        <v>83</v>
      </c>
      <c r="D270" s="53" t="s">
        <v>259</v>
      </c>
      <c r="E270" s="57" t="s">
        <v>4</v>
      </c>
      <c r="F270" s="51"/>
      <c r="K270" s="50" t="s">
        <v>282</v>
      </c>
      <c r="L270" s="51"/>
      <c r="M270" s="51"/>
      <c r="N270" s="108">
        <f>VLOOKUP($A270, Stat!$A$1:$C$501, 2,0)</f>
        <v>5</v>
      </c>
      <c r="O270" s="108">
        <f>VLOOKUP($A270, Stat!$A$1:$C$501, 3,0)</f>
        <v>0</v>
      </c>
      <c r="P270" s="53">
        <v>0</v>
      </c>
      <c r="Q270" s="53">
        <v>0</v>
      </c>
      <c r="T270" s="53">
        <v>1</v>
      </c>
    </row>
    <row r="271" spans="1:20" ht="13.2" customHeight="1" x14ac:dyDescent="0.25">
      <c r="A271" s="53">
        <v>66</v>
      </c>
      <c r="B271" s="53" t="s">
        <v>39</v>
      </c>
      <c r="C271" s="53" t="s">
        <v>83</v>
      </c>
      <c r="D271" s="53" t="s">
        <v>259</v>
      </c>
      <c r="E271" s="57" t="s">
        <v>51</v>
      </c>
      <c r="F271" s="51"/>
      <c r="K271" s="50" t="s">
        <v>284</v>
      </c>
      <c r="L271" s="51"/>
      <c r="M271" s="51"/>
      <c r="N271" s="108">
        <f>VLOOKUP($A271, Stat!$A$1:$C$501, 2,0)</f>
        <v>5</v>
      </c>
      <c r="O271" s="108">
        <f>VLOOKUP($A271, Stat!$A$1:$C$501, 3,0)</f>
        <v>0</v>
      </c>
      <c r="P271" s="53">
        <v>100</v>
      </c>
      <c r="Q271" s="53">
        <v>0</v>
      </c>
      <c r="T271" s="53">
        <v>1</v>
      </c>
    </row>
    <row r="272" spans="1:20" ht="13.2" customHeight="1" x14ac:dyDescent="0.25">
      <c r="A272" s="53">
        <v>91</v>
      </c>
      <c r="B272" s="53" t="s">
        <v>41</v>
      </c>
      <c r="C272" s="53" t="s">
        <v>64</v>
      </c>
      <c r="D272" s="53" t="s">
        <v>76</v>
      </c>
      <c r="E272" s="57" t="s">
        <v>307</v>
      </c>
      <c r="F272" s="51"/>
      <c r="H272" s="49">
        <v>1</v>
      </c>
      <c r="K272" s="51"/>
      <c r="L272" s="51"/>
      <c r="M272" s="51"/>
      <c r="N272" s="108">
        <f>VLOOKUP($A272, Stat!$A$1:$C$501, 2,0)</f>
        <v>5</v>
      </c>
      <c r="O272" s="108">
        <f>VLOOKUP($A272, Stat!$A$1:$C$501, 3,0)</f>
        <v>2</v>
      </c>
      <c r="P272" s="53">
        <v>60</v>
      </c>
      <c r="Q272" s="53">
        <v>0</v>
      </c>
      <c r="S272" s="53" t="s">
        <v>308</v>
      </c>
      <c r="T272" s="53">
        <v>1</v>
      </c>
    </row>
    <row r="273" spans="1:20" ht="13.2" customHeight="1" x14ac:dyDescent="0.25">
      <c r="A273" s="53">
        <v>143</v>
      </c>
      <c r="B273" s="53" t="s">
        <v>39</v>
      </c>
      <c r="C273" s="53" t="s">
        <v>83</v>
      </c>
      <c r="D273" s="53" t="s">
        <v>125</v>
      </c>
      <c r="E273" s="57" t="s">
        <v>51</v>
      </c>
      <c r="F273" s="51"/>
      <c r="K273" s="50" t="s">
        <v>263</v>
      </c>
      <c r="L273" s="51"/>
      <c r="M273" s="51"/>
      <c r="N273" s="108">
        <f>VLOOKUP($A273, Stat!$A$1:$C$501, 2,0)</f>
        <v>5</v>
      </c>
      <c r="O273" s="108">
        <f>VLOOKUP($A273, Stat!$A$1:$C$501, 3,0)</f>
        <v>0</v>
      </c>
      <c r="P273" s="53">
        <v>100</v>
      </c>
      <c r="Q273" s="53">
        <v>0</v>
      </c>
      <c r="T273" s="53">
        <v>1</v>
      </c>
    </row>
    <row r="274" spans="1:20" ht="13.2" customHeight="1" x14ac:dyDescent="0.25">
      <c r="A274" s="53">
        <v>186</v>
      </c>
      <c r="B274" s="53" t="s">
        <v>39</v>
      </c>
      <c r="C274" s="53" t="s">
        <v>7</v>
      </c>
      <c r="D274" s="53" t="s">
        <v>119</v>
      </c>
      <c r="E274" s="57" t="s">
        <v>122</v>
      </c>
      <c r="F274" s="51"/>
      <c r="H274" s="49">
        <v>1</v>
      </c>
      <c r="K274" s="51"/>
      <c r="L274" s="51"/>
      <c r="M274" s="51"/>
      <c r="N274" s="108">
        <f>VLOOKUP($A274, Stat!$A$1:$C$501, 2,0)</f>
        <v>5</v>
      </c>
      <c r="O274" s="108">
        <f>VLOOKUP($A274, Stat!$A$1:$C$501, 3,0)</f>
        <v>4</v>
      </c>
      <c r="P274" s="53">
        <v>100</v>
      </c>
      <c r="Q274" s="53">
        <v>0</v>
      </c>
      <c r="T274" s="53">
        <v>1</v>
      </c>
    </row>
    <row r="275" spans="1:20" x14ac:dyDescent="0.25">
      <c r="A275" s="53">
        <v>266</v>
      </c>
      <c r="B275" s="53" t="s">
        <v>41</v>
      </c>
      <c r="C275" s="53" t="s">
        <v>251</v>
      </c>
      <c r="D275" s="53" t="s">
        <v>252</v>
      </c>
      <c r="E275" s="57" t="s">
        <v>316</v>
      </c>
      <c r="F275" s="51"/>
      <c r="K275" s="51"/>
      <c r="L275" s="50" t="s">
        <v>272</v>
      </c>
      <c r="M275" s="51"/>
      <c r="N275" s="108">
        <f>VLOOKUP($A275, Stat!$A$1:$C$501, 2,0)</f>
        <v>5</v>
      </c>
      <c r="O275" s="108">
        <f>VLOOKUP($A275, Stat!$A$1:$C$501, 3,0)</f>
        <v>0</v>
      </c>
      <c r="P275" s="53">
        <v>40</v>
      </c>
      <c r="Q275" s="53">
        <v>1</v>
      </c>
      <c r="T275" s="53">
        <v>1</v>
      </c>
    </row>
    <row r="276" spans="1:20" x14ac:dyDescent="0.25">
      <c r="A276" s="53">
        <v>276</v>
      </c>
      <c r="B276" s="53" t="s">
        <v>41</v>
      </c>
      <c r="C276" s="53" t="s">
        <v>64</v>
      </c>
      <c r="D276" s="53" t="s">
        <v>131</v>
      </c>
      <c r="E276" s="57" t="s">
        <v>301</v>
      </c>
      <c r="H276" s="49">
        <v>1</v>
      </c>
      <c r="N276" s="108">
        <f>VLOOKUP($A276, Stat!$A$1:$C$501, 2,0)</f>
        <v>5</v>
      </c>
      <c r="O276" s="108">
        <f>VLOOKUP($A276, Stat!$A$1:$C$501, 3,0)</f>
        <v>3</v>
      </c>
      <c r="P276" s="53">
        <v>60</v>
      </c>
      <c r="Q276" s="53">
        <v>0</v>
      </c>
      <c r="S276" s="53" t="s">
        <v>303</v>
      </c>
      <c r="T276" s="53">
        <v>1</v>
      </c>
    </row>
    <row r="277" spans="1:20" x14ac:dyDescent="0.25">
      <c r="A277" s="53">
        <v>278</v>
      </c>
      <c r="B277" s="53" t="s">
        <v>41</v>
      </c>
      <c r="C277" s="53" t="s">
        <v>208</v>
      </c>
      <c r="D277" s="53" t="s">
        <v>219</v>
      </c>
      <c r="E277" s="57" t="s">
        <v>310</v>
      </c>
      <c r="H277" s="49">
        <v>1</v>
      </c>
      <c r="N277" s="108">
        <f>VLOOKUP($A277, Stat!$A$1:$C$501, 2,0)</f>
        <v>6</v>
      </c>
      <c r="O277" s="108">
        <f>VLOOKUP($A277, Stat!$A$1:$C$501, 3,0)</f>
        <v>1</v>
      </c>
      <c r="P277" s="53">
        <v>0</v>
      </c>
      <c r="Q277" s="53">
        <v>1</v>
      </c>
      <c r="T277" s="53">
        <v>1</v>
      </c>
    </row>
    <row r="278" spans="1:20" x14ac:dyDescent="0.25">
      <c r="A278" s="53">
        <v>303</v>
      </c>
      <c r="B278" s="53" t="s">
        <v>39</v>
      </c>
      <c r="C278" s="53" t="s">
        <v>14</v>
      </c>
      <c r="D278" s="53" t="s">
        <v>409</v>
      </c>
      <c r="E278" s="53" t="s">
        <v>391</v>
      </c>
      <c r="N278" s="108">
        <f>VLOOKUP($A278, Stat!$A$1:$C$501, 2,0)</f>
        <v>6</v>
      </c>
      <c r="O278" s="108">
        <f>VLOOKUP($A278, Stat!$A$1:$C$501, 3,0)</f>
        <v>0</v>
      </c>
      <c r="P278" s="53">
        <v>60</v>
      </c>
      <c r="Q278" s="53">
        <v>0</v>
      </c>
      <c r="S278" s="53" t="s">
        <v>367</v>
      </c>
      <c r="T278" s="53">
        <v>1</v>
      </c>
    </row>
    <row r="279" spans="1:20" x14ac:dyDescent="0.25">
      <c r="A279" s="53">
        <v>340</v>
      </c>
      <c r="B279" s="53" t="s">
        <v>41</v>
      </c>
      <c r="C279" s="53" t="s">
        <v>208</v>
      </c>
      <c r="D279" s="53" t="s">
        <v>487</v>
      </c>
      <c r="E279" s="53" t="s">
        <v>491</v>
      </c>
      <c r="N279" s="108">
        <f>VLOOKUP($A279, Stat!$A$1:$C$501, 2,0)</f>
        <v>5</v>
      </c>
      <c r="O279" s="108">
        <f>VLOOKUP($A279, Stat!$A$1:$C$501, 3,0)</f>
        <v>4</v>
      </c>
      <c r="P279" s="53">
        <v>60</v>
      </c>
      <c r="Q279" s="53">
        <v>0</v>
      </c>
      <c r="R279" s="53" t="s">
        <v>492</v>
      </c>
      <c r="S279" s="53" t="s">
        <v>497</v>
      </c>
      <c r="T279" s="53">
        <v>1</v>
      </c>
    </row>
    <row r="280" spans="1:20" x14ac:dyDescent="0.25">
      <c r="A280" s="53">
        <v>97</v>
      </c>
      <c r="B280" s="53" t="s">
        <v>41</v>
      </c>
      <c r="C280" s="53" t="s">
        <v>251</v>
      </c>
      <c r="D280" s="53" t="s">
        <v>319</v>
      </c>
      <c r="E280" s="53" t="s">
        <v>500</v>
      </c>
      <c r="H280" s="49">
        <v>1</v>
      </c>
      <c r="N280" s="108">
        <f>VLOOKUP($A280, Stat!$A$1:$C$501, 2,0)</f>
        <v>4</v>
      </c>
      <c r="O280" s="108">
        <f>VLOOKUP($A280, Stat!$A$1:$C$501, 3,0)</f>
        <v>0</v>
      </c>
      <c r="P280" s="53">
        <v>40</v>
      </c>
      <c r="Q280" s="53">
        <v>0</v>
      </c>
      <c r="S280" s="53" t="s">
        <v>501</v>
      </c>
      <c r="T280" s="53">
        <v>1</v>
      </c>
    </row>
    <row r="281" spans="1:20" x14ac:dyDescent="0.25">
      <c r="A281" s="53">
        <v>149</v>
      </c>
      <c r="B281" s="53" t="s">
        <v>39</v>
      </c>
      <c r="C281" s="53" t="s">
        <v>83</v>
      </c>
      <c r="D281" s="53" t="s">
        <v>279</v>
      </c>
      <c r="E281" s="57" t="s">
        <v>4</v>
      </c>
      <c r="F281" s="51"/>
      <c r="K281" s="50" t="s">
        <v>286</v>
      </c>
      <c r="L281" s="51"/>
      <c r="M281" s="51"/>
      <c r="N281" s="108">
        <f>VLOOKUP($A281, Stat!$A$1:$C$501, 2,0)</f>
        <v>5</v>
      </c>
      <c r="O281" s="108">
        <f>VLOOKUP($A281, Stat!$A$1:$C$501, 3,0)</f>
        <v>0</v>
      </c>
      <c r="P281" s="53">
        <v>0</v>
      </c>
      <c r="Q281" s="53">
        <v>0</v>
      </c>
      <c r="R281" s="53" t="s">
        <v>280</v>
      </c>
      <c r="T281" s="53">
        <v>1</v>
      </c>
    </row>
    <row r="282" spans="1:20" ht="13.2" customHeight="1" x14ac:dyDescent="0.25">
      <c r="A282" s="53">
        <v>156</v>
      </c>
      <c r="B282" s="53" t="s">
        <v>41</v>
      </c>
      <c r="C282" s="53" t="s">
        <v>60</v>
      </c>
      <c r="D282" s="53" t="s">
        <v>104</v>
      </c>
      <c r="E282" s="57" t="s">
        <v>109</v>
      </c>
      <c r="F282" s="51"/>
      <c r="H282" s="49">
        <v>1</v>
      </c>
      <c r="K282" s="51"/>
      <c r="L282" s="51"/>
      <c r="M282" s="51"/>
      <c r="N282" s="108">
        <f>VLOOKUP($A282, Stat!$A$1:$C$501, 2,0)</f>
        <v>4</v>
      </c>
      <c r="O282" s="108">
        <f>VLOOKUP($A282, Stat!$A$1:$C$501, 3,0)</f>
        <v>3</v>
      </c>
      <c r="P282" s="53">
        <v>30</v>
      </c>
      <c r="Q282" s="53">
        <v>0</v>
      </c>
      <c r="S282" s="53" t="s">
        <v>238</v>
      </c>
      <c r="T282" s="53">
        <v>1</v>
      </c>
    </row>
    <row r="283" spans="1:20" x14ac:dyDescent="0.25">
      <c r="A283" s="53">
        <v>170</v>
      </c>
      <c r="B283" s="53" t="s">
        <v>41</v>
      </c>
      <c r="C283" s="53" t="s">
        <v>60</v>
      </c>
      <c r="D283" s="53" t="s">
        <v>103</v>
      </c>
      <c r="E283" s="57" t="s">
        <v>105</v>
      </c>
      <c r="F283" s="51"/>
      <c r="H283" s="49">
        <v>1</v>
      </c>
      <c r="K283" s="51"/>
      <c r="L283" s="51"/>
      <c r="M283" s="51"/>
      <c r="N283" s="108">
        <f>VLOOKUP($A283, Stat!$A$1:$C$501, 2,0)</f>
        <v>4</v>
      </c>
      <c r="O283" s="108">
        <f>VLOOKUP($A283, Stat!$A$1:$C$501, 3,0)</f>
        <v>1</v>
      </c>
      <c r="P283" s="53">
        <v>30</v>
      </c>
      <c r="Q283" s="53">
        <v>0</v>
      </c>
      <c r="R283" s="53" t="s">
        <v>113</v>
      </c>
      <c r="T283" s="53">
        <v>1</v>
      </c>
    </row>
    <row r="284" spans="1:20" x14ac:dyDescent="0.25">
      <c r="A284" s="53">
        <v>197</v>
      </c>
      <c r="B284" s="53" t="s">
        <v>41</v>
      </c>
      <c r="C284" s="53" t="s">
        <v>208</v>
      </c>
      <c r="D284" s="53" t="s">
        <v>208</v>
      </c>
      <c r="E284" s="57" t="s">
        <v>224</v>
      </c>
      <c r="F284" s="51"/>
      <c r="H284" s="49">
        <v>1</v>
      </c>
      <c r="K284" s="51"/>
      <c r="L284" s="51"/>
      <c r="M284" s="51"/>
      <c r="N284" s="108">
        <f>VLOOKUP($A284, Stat!$A$1:$C$501, 2,0)</f>
        <v>4</v>
      </c>
      <c r="O284" s="108">
        <f>VLOOKUP($A284, Stat!$A$1:$C$501, 3,0)</f>
        <v>3</v>
      </c>
      <c r="P284" s="53">
        <v>60</v>
      </c>
      <c r="Q284" s="53">
        <v>0</v>
      </c>
      <c r="S284" s="53" t="s">
        <v>246</v>
      </c>
      <c r="T284" s="53">
        <v>1</v>
      </c>
    </row>
    <row r="285" spans="1:20" x14ac:dyDescent="0.25">
      <c r="A285" s="53">
        <v>212</v>
      </c>
      <c r="B285" s="53" t="s">
        <v>41</v>
      </c>
      <c r="C285" s="53" t="s">
        <v>64</v>
      </c>
      <c r="D285" s="53" t="s">
        <v>176</v>
      </c>
      <c r="E285" s="57" t="s">
        <v>177</v>
      </c>
      <c r="F285" s="51"/>
      <c r="H285" s="49">
        <v>1</v>
      </c>
      <c r="K285" s="51"/>
      <c r="L285" s="51"/>
      <c r="M285" s="51"/>
      <c r="N285" s="108">
        <f>VLOOKUP($A285, Stat!$A$1:$C$501, 2,0)</f>
        <v>4</v>
      </c>
      <c r="O285" s="108">
        <f>VLOOKUP($A285, Stat!$A$1:$C$501, 3,0)</f>
        <v>1</v>
      </c>
      <c r="P285" s="53">
        <v>0</v>
      </c>
      <c r="Q285" s="53">
        <v>0</v>
      </c>
      <c r="R285" s="53" t="s">
        <v>180</v>
      </c>
      <c r="T285" s="53">
        <v>1</v>
      </c>
    </row>
    <row r="286" spans="1:20" x14ac:dyDescent="0.25">
      <c r="A286" s="53">
        <v>231</v>
      </c>
      <c r="B286" s="53" t="s">
        <v>41</v>
      </c>
      <c r="C286" s="53" t="s">
        <v>208</v>
      </c>
      <c r="D286" s="53" t="s">
        <v>197</v>
      </c>
      <c r="E286" s="57" t="s">
        <v>193</v>
      </c>
      <c r="F286" s="51"/>
      <c r="H286" s="49">
        <v>1</v>
      </c>
      <c r="K286" s="51"/>
      <c r="L286" s="51"/>
      <c r="M286" s="51"/>
      <c r="N286" s="108">
        <f>VLOOKUP($A286, Stat!$A$1:$C$501, 2,0)</f>
        <v>4</v>
      </c>
      <c r="O286" s="108">
        <f>VLOOKUP($A286, Stat!$A$1:$C$501, 3,0)</f>
        <v>3</v>
      </c>
      <c r="P286" s="53">
        <v>60</v>
      </c>
      <c r="Q286" s="53">
        <v>0</v>
      </c>
      <c r="S286" s="53" t="s">
        <v>248</v>
      </c>
      <c r="T286" s="53">
        <v>1</v>
      </c>
    </row>
    <row r="287" spans="1:20" ht="13.2" customHeight="1" x14ac:dyDescent="0.25">
      <c r="A287" s="53">
        <v>291</v>
      </c>
      <c r="B287" s="53" t="s">
        <v>41</v>
      </c>
      <c r="C287" s="53" t="s">
        <v>64</v>
      </c>
      <c r="D287" s="53" t="s">
        <v>181</v>
      </c>
      <c r="E287" s="53" t="s">
        <v>339</v>
      </c>
      <c r="H287" s="49">
        <v>1</v>
      </c>
      <c r="N287" s="108">
        <f>VLOOKUP($A287, Stat!$A$1:$C$501, 2,0)</f>
        <v>4</v>
      </c>
      <c r="O287" s="108">
        <f>VLOOKUP($A287, Stat!$A$1:$C$501, 3,0)</f>
        <v>2</v>
      </c>
      <c r="P287" s="53">
        <v>100</v>
      </c>
      <c r="Q287" s="53">
        <v>0</v>
      </c>
      <c r="S287" s="53" t="s">
        <v>345</v>
      </c>
      <c r="T287" s="53">
        <v>1</v>
      </c>
    </row>
    <row r="288" spans="1:20" ht="13.2" customHeight="1" x14ac:dyDescent="0.25">
      <c r="A288" s="53">
        <v>300</v>
      </c>
      <c r="B288" s="53" t="s">
        <v>39</v>
      </c>
      <c r="C288" s="53" t="s">
        <v>17</v>
      </c>
      <c r="D288" s="53" t="s">
        <v>158</v>
      </c>
      <c r="E288" s="53" t="s">
        <v>378</v>
      </c>
      <c r="N288" s="108">
        <f>VLOOKUP($A288, Stat!$A$1:$C$501, 2,0)</f>
        <v>4</v>
      </c>
      <c r="O288" s="108">
        <f>VLOOKUP($A288, Stat!$A$1:$C$501, 3,0)</f>
        <v>0</v>
      </c>
      <c r="P288" s="53">
        <v>0</v>
      </c>
      <c r="Q288" s="53">
        <v>0</v>
      </c>
      <c r="S288" s="53" t="s">
        <v>234</v>
      </c>
      <c r="T288" s="53">
        <v>1</v>
      </c>
    </row>
    <row r="289" spans="1:20" x14ac:dyDescent="0.25">
      <c r="A289" s="53">
        <v>311</v>
      </c>
      <c r="B289" s="53" t="s">
        <v>39</v>
      </c>
      <c r="C289" s="53" t="s">
        <v>7</v>
      </c>
      <c r="D289" s="53" t="s">
        <v>169</v>
      </c>
      <c r="E289" s="53" t="s">
        <v>396</v>
      </c>
      <c r="J289" s="49">
        <v>1</v>
      </c>
      <c r="N289" s="108">
        <f>VLOOKUP($A289, Stat!$A$1:$C$501, 2,0)</f>
        <v>2</v>
      </c>
      <c r="O289" s="108">
        <f>VLOOKUP($A289, Stat!$A$1:$C$501, 3,0)</f>
        <v>0</v>
      </c>
      <c r="P289" s="53">
        <v>0</v>
      </c>
      <c r="Q289" s="53">
        <v>0</v>
      </c>
      <c r="S289" s="53" t="s">
        <v>415</v>
      </c>
      <c r="T289" s="53">
        <v>1</v>
      </c>
    </row>
    <row r="290" spans="1:20" x14ac:dyDescent="0.25">
      <c r="A290" s="53">
        <v>313</v>
      </c>
      <c r="B290" s="53" t="s">
        <v>39</v>
      </c>
      <c r="C290" s="53" t="s">
        <v>7</v>
      </c>
      <c r="D290" s="53" t="s">
        <v>170</v>
      </c>
      <c r="E290" s="53" t="s">
        <v>368</v>
      </c>
      <c r="J290" s="49">
        <v>1</v>
      </c>
      <c r="N290" s="108">
        <f>VLOOKUP($A290, Stat!$A$1:$C$501, 2,0)</f>
        <v>2</v>
      </c>
      <c r="O290" s="108">
        <f>VLOOKUP($A290, Stat!$A$1:$C$501, 3,0)</f>
        <v>0</v>
      </c>
      <c r="P290" s="53">
        <v>0</v>
      </c>
      <c r="Q290" s="53">
        <v>0</v>
      </c>
      <c r="S290" s="53" t="s">
        <v>415</v>
      </c>
      <c r="T290" s="53">
        <v>1</v>
      </c>
    </row>
    <row r="291" spans="1:20" ht="13.2" customHeight="1" x14ac:dyDescent="0.25">
      <c r="A291" s="53">
        <v>321</v>
      </c>
      <c r="B291" s="53" t="s">
        <v>41</v>
      </c>
      <c r="C291" s="53" t="s">
        <v>18</v>
      </c>
      <c r="D291" s="53" t="s">
        <v>97</v>
      </c>
      <c r="E291" s="53" t="s">
        <v>435</v>
      </c>
      <c r="F291" s="49">
        <v>1</v>
      </c>
      <c r="H291" s="49">
        <v>1</v>
      </c>
      <c r="N291" s="108">
        <f>VLOOKUP($A291, Stat!$A$1:$C$501, 2,0)</f>
        <v>5</v>
      </c>
      <c r="O291" s="108">
        <f>VLOOKUP($A291, Stat!$A$1:$C$501, 3,0)</f>
        <v>1</v>
      </c>
      <c r="P291" s="53">
        <v>70</v>
      </c>
      <c r="Q291" s="53">
        <v>0</v>
      </c>
      <c r="T291" s="53">
        <v>1</v>
      </c>
    </row>
    <row r="292" spans="1:20" ht="13.2" customHeight="1" x14ac:dyDescent="0.25">
      <c r="A292" s="53">
        <v>322</v>
      </c>
      <c r="B292" s="53" t="s">
        <v>41</v>
      </c>
      <c r="C292" s="53" t="s">
        <v>64</v>
      </c>
      <c r="D292" s="53" t="s">
        <v>428</v>
      </c>
      <c r="E292" s="53" t="s">
        <v>451</v>
      </c>
      <c r="H292" s="49">
        <v>1</v>
      </c>
      <c r="N292" s="108">
        <f>VLOOKUP($A292, Stat!$A$1:$C$501, 2,0)</f>
        <v>4</v>
      </c>
      <c r="O292" s="108">
        <f>VLOOKUP($A292, Stat!$A$1:$C$501, 3,0)</f>
        <v>0</v>
      </c>
      <c r="P292" s="53">
        <v>30</v>
      </c>
      <c r="Q292" s="53">
        <v>0</v>
      </c>
      <c r="S292" s="53" t="s">
        <v>436</v>
      </c>
      <c r="T292" s="53">
        <v>1</v>
      </c>
    </row>
    <row r="293" spans="1:20" x14ac:dyDescent="0.25">
      <c r="A293" s="53">
        <v>328</v>
      </c>
      <c r="B293" s="53" t="s">
        <v>41</v>
      </c>
      <c r="C293" s="53" t="s">
        <v>251</v>
      </c>
      <c r="D293" s="53" t="s">
        <v>319</v>
      </c>
      <c r="E293" s="53" t="s">
        <v>461</v>
      </c>
      <c r="L293" s="49">
        <v>1</v>
      </c>
      <c r="N293" s="108">
        <f>VLOOKUP($A293, Stat!$A$1:$C$501, 2,0)</f>
        <v>4</v>
      </c>
      <c r="O293" s="108">
        <f>VLOOKUP($A293, Stat!$A$1:$C$501, 3,0)</f>
        <v>0</v>
      </c>
      <c r="P293" s="53">
        <v>60</v>
      </c>
      <c r="Q293" s="53">
        <v>0</v>
      </c>
      <c r="T293" s="53">
        <v>1</v>
      </c>
    </row>
    <row r="294" spans="1:20" x14ac:dyDescent="0.25">
      <c r="A294" s="53">
        <v>330</v>
      </c>
      <c r="B294" s="53" t="s">
        <v>41</v>
      </c>
      <c r="C294" s="53" t="s">
        <v>64</v>
      </c>
      <c r="D294" s="53" t="s">
        <v>214</v>
      </c>
      <c r="E294" s="53" t="s">
        <v>462</v>
      </c>
      <c r="H294" s="49">
        <v>1</v>
      </c>
      <c r="K294" s="49">
        <v>249</v>
      </c>
      <c r="N294" s="108">
        <f>VLOOKUP($A294, Stat!$A$1:$C$501, 2,0)</f>
        <v>4</v>
      </c>
      <c r="O294" s="108">
        <f>VLOOKUP($A294, Stat!$A$1:$C$501, 3,0)</f>
        <v>3</v>
      </c>
      <c r="P294" s="53">
        <v>0</v>
      </c>
      <c r="Q294" s="53">
        <v>1</v>
      </c>
      <c r="S294" s="53" t="s">
        <v>463</v>
      </c>
      <c r="T294" s="53">
        <v>1</v>
      </c>
    </row>
    <row r="295" spans="1:20" ht="13.2" customHeight="1" x14ac:dyDescent="0.25">
      <c r="A295" s="53">
        <v>353</v>
      </c>
      <c r="B295" s="53" t="s">
        <v>39</v>
      </c>
      <c r="C295" s="53" t="s">
        <v>17</v>
      </c>
      <c r="D295" s="53" t="s">
        <v>526</v>
      </c>
      <c r="E295" s="53" t="s">
        <v>527</v>
      </c>
      <c r="N295" s="108">
        <f>VLOOKUP($A295, Stat!$A$1:$C$501, 2,0)</f>
        <v>4</v>
      </c>
      <c r="O295" s="108">
        <f>VLOOKUP($A295, Stat!$A$1:$C$501, 3,0)</f>
        <v>1</v>
      </c>
      <c r="P295" s="53">
        <v>0</v>
      </c>
      <c r="Q295" s="53">
        <v>0</v>
      </c>
      <c r="S295" s="53" t="s">
        <v>234</v>
      </c>
      <c r="T295" s="53">
        <v>1</v>
      </c>
    </row>
    <row r="296" spans="1:20" ht="13.2" customHeight="1" x14ac:dyDescent="0.25">
      <c r="A296" s="53">
        <v>357</v>
      </c>
      <c r="B296" s="53" t="s">
        <v>41</v>
      </c>
      <c r="C296" s="53" t="s">
        <v>64</v>
      </c>
      <c r="D296" s="53" t="s">
        <v>530</v>
      </c>
      <c r="E296" s="53" t="s">
        <v>548</v>
      </c>
      <c r="N296" s="108">
        <f>VLOOKUP($A296, Stat!$A$1:$C$501, 2,0)</f>
        <v>4</v>
      </c>
      <c r="O296" s="108">
        <f>VLOOKUP($A296, Stat!$A$1:$C$501, 3,0)</f>
        <v>0</v>
      </c>
      <c r="P296" s="53">
        <v>40</v>
      </c>
      <c r="Q296" s="53">
        <v>0</v>
      </c>
      <c r="T296" s="53">
        <v>1</v>
      </c>
    </row>
    <row r="297" spans="1:20" ht="13.2" customHeight="1" x14ac:dyDescent="0.25">
      <c r="A297" s="53">
        <v>90</v>
      </c>
      <c r="B297" s="53" t="s">
        <v>41</v>
      </c>
      <c r="C297" s="53" t="s">
        <v>531</v>
      </c>
      <c r="D297" s="53" t="s">
        <v>538</v>
      </c>
      <c r="E297" s="57" t="s">
        <v>540</v>
      </c>
      <c r="F297" s="51"/>
      <c r="H297" s="49">
        <v>1</v>
      </c>
      <c r="K297" s="51"/>
      <c r="L297" s="51"/>
      <c r="M297" s="51"/>
      <c r="N297" s="108">
        <f>VLOOKUP($A297, Stat!$A$1:$C$501, 2,0)</f>
        <v>3</v>
      </c>
      <c r="O297" s="108">
        <f>VLOOKUP($A297, Stat!$A$1:$C$501, 3,0)</f>
        <v>1</v>
      </c>
      <c r="P297" s="53">
        <v>60</v>
      </c>
      <c r="Q297" s="53">
        <v>0</v>
      </c>
      <c r="T297" s="53">
        <v>1</v>
      </c>
    </row>
    <row r="298" spans="1:20" ht="13.2" customHeight="1" x14ac:dyDescent="0.25">
      <c r="A298" s="53">
        <v>94</v>
      </c>
      <c r="B298" s="53" t="s">
        <v>41</v>
      </c>
      <c r="C298" s="53" t="s">
        <v>64</v>
      </c>
      <c r="D298" s="53" t="s">
        <v>164</v>
      </c>
      <c r="E298" s="57" t="s">
        <v>314</v>
      </c>
      <c r="F298" s="51"/>
      <c r="J298" s="49">
        <v>1</v>
      </c>
      <c r="K298" s="50" t="s">
        <v>278</v>
      </c>
      <c r="L298" s="51"/>
      <c r="M298" s="51"/>
      <c r="N298" s="108">
        <f>VLOOKUP($A298, Stat!$A$1:$C$501, 2,0)</f>
        <v>4</v>
      </c>
      <c r="O298" s="108">
        <f>VLOOKUP($A298, Stat!$A$1:$C$501, 3,0)</f>
        <v>0</v>
      </c>
      <c r="P298" s="53">
        <v>40</v>
      </c>
      <c r="Q298" s="53">
        <v>0</v>
      </c>
      <c r="R298" s="53" t="s">
        <v>137</v>
      </c>
      <c r="T298" s="53">
        <v>1</v>
      </c>
    </row>
    <row r="299" spans="1:20" ht="13.2" customHeight="1" x14ac:dyDescent="0.25">
      <c r="A299" s="53">
        <v>153</v>
      </c>
      <c r="B299" s="53" t="s">
        <v>41</v>
      </c>
      <c r="C299" s="53" t="s">
        <v>60</v>
      </c>
      <c r="D299" s="53" t="s">
        <v>104</v>
      </c>
      <c r="E299" s="57" t="s">
        <v>106</v>
      </c>
      <c r="F299" s="51"/>
      <c r="H299" s="49">
        <v>1</v>
      </c>
      <c r="K299" s="51"/>
      <c r="L299" s="51"/>
      <c r="M299" s="51"/>
      <c r="N299" s="108">
        <f>VLOOKUP($A299, Stat!$A$1:$C$501, 2,0)</f>
        <v>3</v>
      </c>
      <c r="O299" s="108">
        <f>VLOOKUP($A299, Stat!$A$1:$C$501, 3,0)</f>
        <v>2</v>
      </c>
      <c r="P299" s="53">
        <v>30</v>
      </c>
      <c r="Q299" s="53">
        <v>0</v>
      </c>
      <c r="S299" s="53" t="s">
        <v>237</v>
      </c>
      <c r="T299" s="53">
        <v>1</v>
      </c>
    </row>
    <row r="300" spans="1:20" ht="13.2" customHeight="1" x14ac:dyDescent="0.25">
      <c r="A300" s="53">
        <v>159</v>
      </c>
      <c r="B300" s="53" t="s">
        <v>41</v>
      </c>
      <c r="C300" s="53" t="s">
        <v>60</v>
      </c>
      <c r="D300" s="53" t="s">
        <v>111</v>
      </c>
      <c r="E300" s="57" t="s">
        <v>106</v>
      </c>
      <c r="F300" s="51"/>
      <c r="H300" s="49">
        <v>1</v>
      </c>
      <c r="K300" s="51"/>
      <c r="L300" s="51"/>
      <c r="M300" s="51"/>
      <c r="N300" s="108">
        <f>VLOOKUP($A300, Stat!$A$1:$C$501, 2,0)</f>
        <v>3</v>
      </c>
      <c r="O300" s="108">
        <f>VLOOKUP($A300, Stat!$A$1:$C$501, 3,0)</f>
        <v>1</v>
      </c>
      <c r="P300" s="53">
        <v>30</v>
      </c>
      <c r="Q300" s="53">
        <v>0</v>
      </c>
      <c r="T300" s="53">
        <v>1</v>
      </c>
    </row>
    <row r="301" spans="1:20" ht="13.2" customHeight="1" x14ac:dyDescent="0.25">
      <c r="A301" s="53">
        <v>184</v>
      </c>
      <c r="B301" s="53" t="s">
        <v>39</v>
      </c>
      <c r="C301" s="53" t="s">
        <v>7</v>
      </c>
      <c r="D301" s="53" t="s">
        <v>119</v>
      </c>
      <c r="E301" s="57" t="s">
        <v>9</v>
      </c>
      <c r="F301" s="51"/>
      <c r="H301" s="49">
        <v>1</v>
      </c>
      <c r="K301" s="51"/>
      <c r="L301" s="51"/>
      <c r="M301" s="51"/>
      <c r="N301" s="108">
        <f>VLOOKUP($A301, Stat!$A$1:$C$501, 2,0)</f>
        <v>3</v>
      </c>
      <c r="O301" s="108">
        <f>VLOOKUP($A301, Stat!$A$1:$C$501, 3,0)</f>
        <v>1</v>
      </c>
      <c r="P301" s="53">
        <v>100</v>
      </c>
      <c r="Q301" s="53">
        <v>0</v>
      </c>
      <c r="T301" s="53">
        <v>1</v>
      </c>
    </row>
    <row r="302" spans="1:20" ht="13.2" customHeight="1" x14ac:dyDescent="0.25">
      <c r="A302" s="53">
        <v>190</v>
      </c>
      <c r="B302" s="53" t="s">
        <v>41</v>
      </c>
      <c r="C302" s="53" t="s">
        <v>64</v>
      </c>
      <c r="D302" s="53" t="s">
        <v>140</v>
      </c>
      <c r="E302" s="57" t="s">
        <v>52</v>
      </c>
      <c r="F302" s="51"/>
      <c r="J302" s="49">
        <v>1</v>
      </c>
      <c r="K302" s="50" t="s">
        <v>275</v>
      </c>
      <c r="L302" s="51"/>
      <c r="M302" s="51"/>
      <c r="N302" s="108">
        <f>VLOOKUP($A302, Stat!$A$1:$C$501, 2,0)</f>
        <v>3</v>
      </c>
      <c r="O302" s="108">
        <f>VLOOKUP($A302, Stat!$A$1:$C$501, 3,0)</f>
        <v>0</v>
      </c>
      <c r="P302" s="53">
        <v>60</v>
      </c>
      <c r="Q302" s="53">
        <v>0</v>
      </c>
      <c r="R302" s="53" t="s">
        <v>138</v>
      </c>
      <c r="T302" s="53">
        <v>1</v>
      </c>
    </row>
    <row r="303" spans="1:20" ht="13.2" customHeight="1" x14ac:dyDescent="0.25">
      <c r="A303" s="53">
        <v>217</v>
      </c>
      <c r="B303" s="53" t="s">
        <v>41</v>
      </c>
      <c r="C303" s="53" t="s">
        <v>64</v>
      </c>
      <c r="D303" s="53" t="s">
        <v>181</v>
      </c>
      <c r="E303" s="57" t="s">
        <v>185</v>
      </c>
      <c r="F303" s="51"/>
      <c r="H303" s="49">
        <v>1</v>
      </c>
      <c r="K303" s="51"/>
      <c r="L303" s="51"/>
      <c r="M303" s="51"/>
      <c r="N303" s="108">
        <f>VLOOKUP($A303, Stat!$A$1:$C$501, 2,0)</f>
        <v>3</v>
      </c>
      <c r="O303" s="108">
        <f>VLOOKUP($A303, Stat!$A$1:$C$501, 3,0)</f>
        <v>1</v>
      </c>
      <c r="P303" s="53">
        <v>0</v>
      </c>
      <c r="Q303" s="53">
        <v>0</v>
      </c>
      <c r="S303" s="53" t="s">
        <v>517</v>
      </c>
      <c r="T303" s="53">
        <v>1</v>
      </c>
    </row>
    <row r="304" spans="1:20" ht="13.2" customHeight="1" x14ac:dyDescent="0.25">
      <c r="A304" s="53">
        <v>222</v>
      </c>
      <c r="B304" s="53" t="s">
        <v>41</v>
      </c>
      <c r="C304" s="53" t="s">
        <v>64</v>
      </c>
      <c r="D304" s="53" t="s">
        <v>181</v>
      </c>
      <c r="E304" s="57" t="s">
        <v>187</v>
      </c>
      <c r="F304" s="51"/>
      <c r="H304" s="49">
        <v>1</v>
      </c>
      <c r="K304" s="51"/>
      <c r="L304" s="51"/>
      <c r="M304" s="51"/>
      <c r="N304" s="108">
        <f>VLOOKUP($A304, Stat!$A$1:$C$501, 2,0)</f>
        <v>4</v>
      </c>
      <c r="O304" s="108">
        <f>VLOOKUP($A304, Stat!$A$1:$C$501, 3,0)</f>
        <v>2</v>
      </c>
      <c r="P304" s="53">
        <v>0</v>
      </c>
      <c r="Q304" s="53">
        <v>1</v>
      </c>
      <c r="S304" s="53" t="s">
        <v>302</v>
      </c>
      <c r="T304" s="53">
        <v>1</v>
      </c>
    </row>
    <row r="305" spans="1:20" ht="13.2" customHeight="1" x14ac:dyDescent="0.25">
      <c r="A305" s="53">
        <v>232</v>
      </c>
      <c r="B305" s="53" t="s">
        <v>41</v>
      </c>
      <c r="C305" s="53" t="s">
        <v>208</v>
      </c>
      <c r="D305" s="53" t="s">
        <v>197</v>
      </c>
      <c r="E305" s="57" t="s">
        <v>211</v>
      </c>
      <c r="F305" s="51"/>
      <c r="H305" s="49">
        <v>1</v>
      </c>
      <c r="K305" s="51"/>
      <c r="L305" s="51"/>
      <c r="M305" s="51"/>
      <c r="N305" s="108">
        <f>VLOOKUP($A305, Stat!$A$1:$C$501, 2,0)</f>
        <v>3</v>
      </c>
      <c r="O305" s="108">
        <f>VLOOKUP($A305, Stat!$A$1:$C$501, 3,0)</f>
        <v>3</v>
      </c>
      <c r="P305" s="53">
        <v>60</v>
      </c>
      <c r="Q305" s="53">
        <v>0</v>
      </c>
      <c r="T305" s="53">
        <v>1</v>
      </c>
    </row>
    <row r="306" spans="1:20" ht="13.2" customHeight="1" x14ac:dyDescent="0.25">
      <c r="A306" s="53">
        <v>244</v>
      </c>
      <c r="B306" s="53" t="s">
        <v>41</v>
      </c>
      <c r="C306" s="54" t="s">
        <v>208</v>
      </c>
      <c r="D306" s="53" t="s">
        <v>374</v>
      </c>
      <c r="E306" s="57" t="s">
        <v>204</v>
      </c>
      <c r="F306" s="51"/>
      <c r="H306" s="49">
        <v>1</v>
      </c>
      <c r="K306" s="51"/>
      <c r="L306" s="51"/>
      <c r="M306" s="51"/>
      <c r="N306" s="108">
        <f>VLOOKUP($A306, Stat!$A$1:$C$501, 2,0)</f>
        <v>3</v>
      </c>
      <c r="O306" s="108">
        <f>VLOOKUP($A306, Stat!$A$1:$C$501, 3,0)</f>
        <v>3</v>
      </c>
      <c r="P306" s="53">
        <v>60</v>
      </c>
      <c r="Q306" s="53">
        <v>0</v>
      </c>
      <c r="T306" s="53">
        <v>1</v>
      </c>
    </row>
    <row r="307" spans="1:20" ht="13.2" customHeight="1" x14ac:dyDescent="0.25">
      <c r="A307" s="53">
        <v>263</v>
      </c>
      <c r="B307" s="53" t="s">
        <v>41</v>
      </c>
      <c r="C307" s="53" t="s">
        <v>251</v>
      </c>
      <c r="D307" s="53" t="s">
        <v>252</v>
      </c>
      <c r="E307" s="57" t="s">
        <v>256</v>
      </c>
      <c r="F307" s="51"/>
      <c r="K307" s="51"/>
      <c r="L307" s="50" t="s">
        <v>272</v>
      </c>
      <c r="M307" s="51"/>
      <c r="N307" s="108">
        <f>VLOOKUP($A307, Stat!$A$1:$C$501, 2,0)</f>
        <v>3</v>
      </c>
      <c r="O307" s="108">
        <f>VLOOKUP($A307, Stat!$A$1:$C$501, 3,0)</f>
        <v>0</v>
      </c>
      <c r="P307" s="53">
        <v>60</v>
      </c>
      <c r="Q307" s="53">
        <v>0</v>
      </c>
      <c r="S307" s="53" t="s">
        <v>442</v>
      </c>
      <c r="T307" s="53">
        <v>1</v>
      </c>
    </row>
    <row r="308" spans="1:20" ht="13.2" customHeight="1" x14ac:dyDescent="0.25">
      <c r="A308" s="53">
        <v>288</v>
      </c>
      <c r="B308" s="53" t="s">
        <v>41</v>
      </c>
      <c r="C308" s="53" t="s">
        <v>251</v>
      </c>
      <c r="D308" s="53" t="s">
        <v>340</v>
      </c>
      <c r="E308" s="53" t="s">
        <v>348</v>
      </c>
      <c r="N308" s="108">
        <f>VLOOKUP($A308, Stat!$A$1:$C$501, 2,0)</f>
        <v>3</v>
      </c>
      <c r="O308" s="108">
        <f>VLOOKUP($A308, Stat!$A$1:$C$501, 3,0)</f>
        <v>3</v>
      </c>
      <c r="P308" s="53">
        <v>40</v>
      </c>
      <c r="Q308" s="53">
        <v>0</v>
      </c>
      <c r="S308" s="53" t="s">
        <v>361</v>
      </c>
      <c r="T308" s="53">
        <v>1</v>
      </c>
    </row>
    <row r="309" spans="1:20" ht="13.2" customHeight="1" x14ac:dyDescent="0.25">
      <c r="A309" s="53">
        <v>294</v>
      </c>
      <c r="B309" s="53" t="s">
        <v>41</v>
      </c>
      <c r="C309" s="53" t="s">
        <v>251</v>
      </c>
      <c r="D309" s="53" t="s">
        <v>340</v>
      </c>
      <c r="E309" s="53" t="s">
        <v>349</v>
      </c>
      <c r="N309" s="108">
        <f>VLOOKUP($A309, Stat!$A$1:$C$501, 2,0)</f>
        <v>3</v>
      </c>
      <c r="O309" s="108">
        <f>VLOOKUP($A309, Stat!$A$1:$C$501, 3,0)</f>
        <v>2</v>
      </c>
      <c r="P309" s="53">
        <v>40</v>
      </c>
      <c r="Q309" s="53">
        <v>0</v>
      </c>
      <c r="S309" s="53" t="s">
        <v>363</v>
      </c>
      <c r="T309" s="53">
        <v>1</v>
      </c>
    </row>
    <row r="310" spans="1:20" ht="13.2" customHeight="1" x14ac:dyDescent="0.25">
      <c r="A310" s="53">
        <v>336</v>
      </c>
      <c r="B310" s="53" t="s">
        <v>41</v>
      </c>
      <c r="C310" s="53" t="s">
        <v>208</v>
      </c>
      <c r="D310" s="53" t="s">
        <v>487</v>
      </c>
      <c r="E310" s="53" t="s">
        <v>490</v>
      </c>
      <c r="N310" s="108">
        <f>VLOOKUP($A310, Stat!$A$1:$C$501, 2,0)</f>
        <v>3</v>
      </c>
      <c r="O310" s="108">
        <f>VLOOKUP($A310, Stat!$A$1:$C$501, 3,0)</f>
        <v>2</v>
      </c>
      <c r="P310" s="53">
        <v>60</v>
      </c>
      <c r="Q310" s="53">
        <v>0</v>
      </c>
      <c r="R310" s="53" t="s">
        <v>492</v>
      </c>
      <c r="S310" s="53" t="s">
        <v>493</v>
      </c>
      <c r="T310" s="53">
        <v>1</v>
      </c>
    </row>
    <row r="311" spans="1:20" ht="13.2" customHeight="1" x14ac:dyDescent="0.25">
      <c r="A311" s="53">
        <v>346</v>
      </c>
      <c r="B311" s="53" t="s">
        <v>39</v>
      </c>
      <c r="C311" s="53" t="s">
        <v>15</v>
      </c>
      <c r="D311" s="53" t="s">
        <v>507</v>
      </c>
      <c r="E311" s="53" t="s">
        <v>510</v>
      </c>
      <c r="N311" s="108">
        <f>VLOOKUP($A311, Stat!$A$1:$C$501, 2,0)</f>
        <v>3</v>
      </c>
      <c r="O311" s="108">
        <f>VLOOKUP($A311, Stat!$A$1:$C$501, 3,0)</f>
        <v>0</v>
      </c>
      <c r="P311" s="53">
        <v>0</v>
      </c>
      <c r="Q311" s="53">
        <v>0</v>
      </c>
      <c r="S311" s="53" t="s">
        <v>512</v>
      </c>
      <c r="T311" s="53">
        <v>1</v>
      </c>
    </row>
    <row r="312" spans="1:20" ht="13.2" customHeight="1" x14ac:dyDescent="0.25">
      <c r="A312" s="53">
        <v>111</v>
      </c>
      <c r="B312" s="53" t="s">
        <v>39</v>
      </c>
      <c r="C312" s="53" t="s">
        <v>83</v>
      </c>
      <c r="D312" s="53" t="s">
        <v>126</v>
      </c>
      <c r="E312" s="57" t="s">
        <v>51</v>
      </c>
      <c r="F312" s="51"/>
      <c r="K312" s="50" t="s">
        <v>267</v>
      </c>
      <c r="L312" s="51"/>
      <c r="M312" s="51"/>
      <c r="N312" s="108">
        <f>VLOOKUP($A312, Stat!$A$1:$C$501, 2,0)</f>
        <v>2</v>
      </c>
      <c r="O312" s="108">
        <f>VLOOKUP($A312, Stat!$A$1:$C$501, 3,0)</f>
        <v>0</v>
      </c>
      <c r="P312" s="53">
        <v>100</v>
      </c>
      <c r="Q312" s="53">
        <v>0</v>
      </c>
      <c r="T312" s="53">
        <v>1</v>
      </c>
    </row>
    <row r="313" spans="1:20" ht="13.2" customHeight="1" x14ac:dyDescent="0.25">
      <c r="A313" s="53">
        <v>151</v>
      </c>
      <c r="B313" s="53" t="s">
        <v>39</v>
      </c>
      <c r="C313" s="53" t="s">
        <v>83</v>
      </c>
      <c r="D313" s="53" t="s">
        <v>279</v>
      </c>
      <c r="E313" s="57" t="s">
        <v>51</v>
      </c>
      <c r="F313" s="51"/>
      <c r="K313" s="50" t="s">
        <v>288</v>
      </c>
      <c r="L313" s="51"/>
      <c r="M313" s="51"/>
      <c r="N313" s="108">
        <f>VLOOKUP($A313, Stat!$A$1:$C$501, 2,0)</f>
        <v>2</v>
      </c>
      <c r="O313" s="108">
        <f>VLOOKUP($A313, Stat!$A$1:$C$501, 3,0)</f>
        <v>0</v>
      </c>
      <c r="P313" s="53">
        <v>100</v>
      </c>
      <c r="Q313" s="53">
        <v>0</v>
      </c>
      <c r="R313" s="53" t="s">
        <v>280</v>
      </c>
      <c r="T313" s="53">
        <v>1</v>
      </c>
    </row>
    <row r="314" spans="1:20" ht="13.2" customHeight="1" x14ac:dyDescent="0.25">
      <c r="A314" s="53">
        <v>155</v>
      </c>
      <c r="B314" s="53" t="s">
        <v>41</v>
      </c>
      <c r="C314" s="53" t="s">
        <v>60</v>
      </c>
      <c r="D314" s="53" t="s">
        <v>104</v>
      </c>
      <c r="E314" s="57" t="s">
        <v>108</v>
      </c>
      <c r="F314" s="51"/>
      <c r="H314" s="49">
        <v>1</v>
      </c>
      <c r="K314" s="51"/>
      <c r="L314" s="51"/>
      <c r="M314" s="51"/>
      <c r="N314" s="108">
        <f>VLOOKUP($A314, Stat!$A$1:$C$501, 2,0)</f>
        <v>2</v>
      </c>
      <c r="O314" s="108">
        <f>VLOOKUP($A314, Stat!$A$1:$C$501, 3,0)</f>
        <v>1</v>
      </c>
      <c r="P314" s="53">
        <v>30</v>
      </c>
      <c r="Q314" s="53">
        <v>0</v>
      </c>
      <c r="S314" s="53" t="s">
        <v>238</v>
      </c>
      <c r="T314" s="53">
        <v>1</v>
      </c>
    </row>
    <row r="315" spans="1:20" ht="13.2" customHeight="1" x14ac:dyDescent="0.25">
      <c r="A315" s="53">
        <v>251</v>
      </c>
      <c r="B315" s="53" t="s">
        <v>41</v>
      </c>
      <c r="C315" s="53" t="s">
        <v>208</v>
      </c>
      <c r="D315" s="53" t="s">
        <v>374</v>
      </c>
      <c r="E315" s="57" t="s">
        <v>220</v>
      </c>
      <c r="F315" s="51"/>
      <c r="H315" s="49">
        <v>1</v>
      </c>
      <c r="K315" s="51"/>
      <c r="L315" s="51"/>
      <c r="M315" s="51"/>
      <c r="N315" s="108">
        <f>VLOOKUP($A315, Stat!$A$1:$C$501, 2,0)</f>
        <v>2</v>
      </c>
      <c r="O315" s="108">
        <f>VLOOKUP($A315, Stat!$A$1:$C$501, 3,0)</f>
        <v>2</v>
      </c>
      <c r="P315" s="53">
        <v>60</v>
      </c>
      <c r="Q315" s="53">
        <v>0</v>
      </c>
      <c r="T315" s="53">
        <v>1</v>
      </c>
    </row>
    <row r="316" spans="1:20" ht="13.2" customHeight="1" x14ac:dyDescent="0.25">
      <c r="A316" s="53">
        <v>260</v>
      </c>
      <c r="B316" s="53" t="s">
        <v>41</v>
      </c>
      <c r="C316" s="53" t="s">
        <v>251</v>
      </c>
      <c r="D316" s="53" t="s">
        <v>319</v>
      </c>
      <c r="E316" s="57" t="s">
        <v>323</v>
      </c>
      <c r="F316" s="51"/>
      <c r="K316" s="51"/>
      <c r="L316" s="50" t="s">
        <v>272</v>
      </c>
      <c r="M316" s="51"/>
      <c r="N316" s="108">
        <f>VLOOKUP($A316, Stat!$A$1:$C$501, 2,0)</f>
        <v>2</v>
      </c>
      <c r="O316" s="108">
        <f>VLOOKUP($A316, Stat!$A$1:$C$501, 3,0)</f>
        <v>0</v>
      </c>
      <c r="P316" s="53">
        <v>60</v>
      </c>
      <c r="Q316" s="53">
        <v>0</v>
      </c>
      <c r="S316" s="53" t="s">
        <v>359</v>
      </c>
      <c r="T316" s="53">
        <v>1</v>
      </c>
    </row>
    <row r="317" spans="1:20" ht="13.2" customHeight="1" x14ac:dyDescent="0.25">
      <c r="A317" s="53">
        <v>280</v>
      </c>
      <c r="B317" s="53" t="s">
        <v>41</v>
      </c>
      <c r="C317" s="53" t="s">
        <v>251</v>
      </c>
      <c r="D317" s="53" t="s">
        <v>319</v>
      </c>
      <c r="E317" s="53" t="s">
        <v>253</v>
      </c>
      <c r="L317" s="49">
        <v>1</v>
      </c>
      <c r="N317" s="108">
        <f>VLOOKUP($A317, Stat!$A$1:$C$501, 2,0)</f>
        <v>3</v>
      </c>
      <c r="O317" s="108">
        <f>VLOOKUP($A317, Stat!$A$1:$C$501, 3,0)</f>
        <v>0</v>
      </c>
      <c r="P317" s="53">
        <v>60</v>
      </c>
      <c r="Q317" s="53">
        <v>1</v>
      </c>
      <c r="T317" s="53">
        <v>1</v>
      </c>
    </row>
    <row r="318" spans="1:20" ht="13.2" customHeight="1" x14ac:dyDescent="0.25">
      <c r="A318" s="53">
        <v>295</v>
      </c>
      <c r="B318" s="53" t="s">
        <v>41</v>
      </c>
      <c r="C318" s="53" t="s">
        <v>64</v>
      </c>
      <c r="D318" s="53" t="s">
        <v>334</v>
      </c>
      <c r="E318" s="53" t="s">
        <v>350</v>
      </c>
      <c r="H318" s="49">
        <v>1</v>
      </c>
      <c r="N318" s="108">
        <f>VLOOKUP($A318, Stat!$A$1:$C$501, 2,0)</f>
        <v>2</v>
      </c>
      <c r="O318" s="108">
        <f>VLOOKUP($A318, Stat!$A$1:$C$501, 3,0)</f>
        <v>2</v>
      </c>
      <c r="P318" s="53">
        <v>100</v>
      </c>
      <c r="Q318" s="53">
        <v>0</v>
      </c>
      <c r="S318" s="53" t="s">
        <v>354</v>
      </c>
      <c r="T318" s="53">
        <v>1</v>
      </c>
    </row>
    <row r="319" spans="1:20" x14ac:dyDescent="0.25">
      <c r="A319" s="53">
        <v>309</v>
      </c>
      <c r="B319" s="53" t="s">
        <v>41</v>
      </c>
      <c r="C319" s="53" t="s">
        <v>18</v>
      </c>
      <c r="D319" s="53" t="s">
        <v>404</v>
      </c>
      <c r="E319" s="53" t="s">
        <v>471</v>
      </c>
      <c r="F319" s="49">
        <v>1</v>
      </c>
      <c r="H319" s="49">
        <v>1</v>
      </c>
      <c r="N319" s="108">
        <f>VLOOKUP($A319, Stat!$A$1:$C$501, 2,0)</f>
        <v>2</v>
      </c>
      <c r="O319" s="108">
        <f>VLOOKUP($A319, Stat!$A$1:$C$501, 3,0)</f>
        <v>1</v>
      </c>
      <c r="P319" s="53">
        <v>30</v>
      </c>
      <c r="Q319" s="53">
        <v>0</v>
      </c>
      <c r="S319" s="53" t="s">
        <v>473</v>
      </c>
      <c r="T319" s="53">
        <v>1</v>
      </c>
    </row>
    <row r="320" spans="1:20" ht="13.2" customHeight="1" x14ac:dyDescent="0.25">
      <c r="A320" s="53">
        <v>327</v>
      </c>
      <c r="B320" s="53" t="s">
        <v>41</v>
      </c>
      <c r="C320" s="53" t="s">
        <v>251</v>
      </c>
      <c r="D320" s="53" t="s">
        <v>252</v>
      </c>
      <c r="E320" s="53" t="s">
        <v>461</v>
      </c>
      <c r="L320" s="49">
        <v>1</v>
      </c>
      <c r="N320" s="108">
        <f>VLOOKUP($A320, Stat!$A$1:$C$501, 2,0)</f>
        <v>2</v>
      </c>
      <c r="O320" s="108">
        <f>VLOOKUP($A320, Stat!$A$1:$C$501, 3,0)</f>
        <v>0</v>
      </c>
      <c r="P320" s="53">
        <v>60</v>
      </c>
      <c r="Q320" s="53">
        <v>0</v>
      </c>
      <c r="T320" s="53">
        <v>1</v>
      </c>
    </row>
    <row r="321" spans="1:20" ht="13.2" customHeight="1" x14ac:dyDescent="0.25">
      <c r="A321" s="53">
        <v>347</v>
      </c>
      <c r="B321" s="53" t="s">
        <v>41</v>
      </c>
      <c r="C321" s="53" t="s">
        <v>64</v>
      </c>
      <c r="D321" s="53" t="s">
        <v>216</v>
      </c>
      <c r="E321" s="53" t="s">
        <v>513</v>
      </c>
      <c r="H321" s="49">
        <v>1</v>
      </c>
      <c r="N321" s="108">
        <f>VLOOKUP($A321, Stat!$A$1:$C$501, 2,0)</f>
        <v>0</v>
      </c>
      <c r="O321" s="108">
        <f>VLOOKUP($A321, Stat!$A$1:$C$501, 3,0)</f>
        <v>0</v>
      </c>
      <c r="P321" s="53">
        <v>30</v>
      </c>
      <c r="Q321" s="53">
        <v>0</v>
      </c>
      <c r="R321" s="53" t="s">
        <v>456</v>
      </c>
      <c r="S321" s="53" t="s">
        <v>514</v>
      </c>
      <c r="T321" s="53">
        <v>1</v>
      </c>
    </row>
    <row r="322" spans="1:20" ht="13.2" customHeight="1" x14ac:dyDescent="0.25">
      <c r="A322" s="53">
        <v>348</v>
      </c>
      <c r="B322" s="53" t="s">
        <v>39</v>
      </c>
      <c r="C322" s="53" t="s">
        <v>15</v>
      </c>
      <c r="D322" s="53" t="s">
        <v>168</v>
      </c>
      <c r="E322" s="53" t="s">
        <v>518</v>
      </c>
      <c r="N322" s="108">
        <f>VLOOKUP($A322, Stat!$A$1:$C$501, 2,0)</f>
        <v>2</v>
      </c>
      <c r="O322" s="108">
        <f>VLOOKUP($A322, Stat!$A$1:$C$501, 3,0)</f>
        <v>0</v>
      </c>
      <c r="P322" s="53">
        <v>20</v>
      </c>
      <c r="Q322" s="53">
        <v>0</v>
      </c>
      <c r="R322" s="53" t="s">
        <v>78</v>
      </c>
      <c r="S322" s="53" t="s">
        <v>519</v>
      </c>
      <c r="T322" s="53">
        <v>1</v>
      </c>
    </row>
    <row r="323" spans="1:20" x14ac:dyDescent="0.25">
      <c r="A323" s="53">
        <v>7</v>
      </c>
      <c r="B323" s="53" t="s">
        <v>39</v>
      </c>
      <c r="C323" s="53" t="s">
        <v>17</v>
      </c>
      <c r="D323" s="53" t="s">
        <v>17</v>
      </c>
      <c r="E323" s="57" t="s">
        <v>189</v>
      </c>
      <c r="F323" s="51"/>
      <c r="K323" s="51"/>
      <c r="L323" s="51"/>
      <c r="M323" s="51"/>
      <c r="N323" s="108">
        <f>VLOOKUP($A323, Stat!$A$1:$C$501, 2,0)</f>
        <v>1</v>
      </c>
      <c r="O323" s="108">
        <f>VLOOKUP($A323, Stat!$A$1:$C$501, 3,0)</f>
        <v>1</v>
      </c>
      <c r="P323" s="53">
        <v>70</v>
      </c>
      <c r="Q323" s="53">
        <v>0</v>
      </c>
      <c r="T323" s="53">
        <v>1</v>
      </c>
    </row>
    <row r="324" spans="1:20" x14ac:dyDescent="0.25">
      <c r="A324" s="53">
        <v>48</v>
      </c>
      <c r="B324" s="53" t="s">
        <v>41</v>
      </c>
      <c r="C324" s="53" t="s">
        <v>18</v>
      </c>
      <c r="D324" s="53" t="s">
        <v>404</v>
      </c>
      <c r="E324" s="57" t="s">
        <v>536</v>
      </c>
      <c r="F324" s="50"/>
      <c r="H324" s="49">
        <v>1</v>
      </c>
      <c r="K324" s="50"/>
      <c r="L324" s="51"/>
      <c r="M324" s="50" t="s">
        <v>270</v>
      </c>
      <c r="N324" s="108">
        <f>VLOOKUP($A324, Stat!$A$1:$C$501, 2,0)</f>
        <v>1</v>
      </c>
      <c r="O324" s="108">
        <f>VLOOKUP($A324, Stat!$A$1:$C$501, 3,0)</f>
        <v>0</v>
      </c>
      <c r="P324" s="53">
        <v>30</v>
      </c>
      <c r="Q324" s="53">
        <v>0</v>
      </c>
      <c r="S324" s="53" t="s">
        <v>551</v>
      </c>
      <c r="T324" s="53">
        <v>1</v>
      </c>
    </row>
    <row r="325" spans="1:20" ht="13.2" customHeight="1" x14ac:dyDescent="0.25">
      <c r="A325" s="53">
        <v>152</v>
      </c>
      <c r="B325" s="53" t="s">
        <v>41</v>
      </c>
      <c r="C325" s="53" t="s">
        <v>60</v>
      </c>
      <c r="D325" s="53" t="s">
        <v>104</v>
      </c>
      <c r="E325" s="57" t="s">
        <v>105</v>
      </c>
      <c r="F325" s="51"/>
      <c r="H325" s="49">
        <v>1</v>
      </c>
      <c r="K325" s="51"/>
      <c r="L325" s="51"/>
      <c r="M325" s="51"/>
      <c r="N325" s="108">
        <f>VLOOKUP($A325, Stat!$A$1:$C$501, 2,0)</f>
        <v>1</v>
      </c>
      <c r="O325" s="108">
        <f>VLOOKUP($A325, Stat!$A$1:$C$501, 3,0)</f>
        <v>1</v>
      </c>
      <c r="P325" s="53">
        <v>30</v>
      </c>
      <c r="Q325" s="53">
        <v>0</v>
      </c>
      <c r="S325" s="53" t="s">
        <v>237</v>
      </c>
      <c r="T325" s="53">
        <v>1</v>
      </c>
    </row>
    <row r="326" spans="1:20" ht="13.2" customHeight="1" x14ac:dyDescent="0.25">
      <c r="A326" s="53">
        <v>157</v>
      </c>
      <c r="B326" s="53" t="s">
        <v>41</v>
      </c>
      <c r="C326" s="53" t="s">
        <v>60</v>
      </c>
      <c r="D326" s="53" t="s">
        <v>104</v>
      </c>
      <c r="E326" s="57" t="s">
        <v>110</v>
      </c>
      <c r="F326" s="51"/>
      <c r="H326" s="49">
        <v>1</v>
      </c>
      <c r="K326" s="51"/>
      <c r="L326" s="51"/>
      <c r="M326" s="51"/>
      <c r="N326" s="108">
        <f>VLOOKUP($A326, Stat!$A$1:$C$501, 2,0)</f>
        <v>1</v>
      </c>
      <c r="O326" s="108">
        <f>VLOOKUP($A326, Stat!$A$1:$C$501, 3,0)</f>
        <v>1</v>
      </c>
      <c r="P326" s="53">
        <v>30</v>
      </c>
      <c r="Q326" s="53">
        <v>0</v>
      </c>
      <c r="S326" s="53" t="s">
        <v>238</v>
      </c>
      <c r="T326" s="53">
        <v>1</v>
      </c>
    </row>
    <row r="327" spans="1:20" ht="13.2" customHeight="1" x14ac:dyDescent="0.25">
      <c r="A327" s="53">
        <v>208</v>
      </c>
      <c r="B327" s="53" t="s">
        <v>41</v>
      </c>
      <c r="C327" s="53" t="s">
        <v>64</v>
      </c>
      <c r="D327" s="53" t="s">
        <v>175</v>
      </c>
      <c r="E327" s="57" t="s">
        <v>177</v>
      </c>
      <c r="F327" s="51"/>
      <c r="H327" s="49">
        <v>1</v>
      </c>
      <c r="K327" s="51"/>
      <c r="L327" s="51"/>
      <c r="M327" s="51"/>
      <c r="N327" s="108">
        <f>VLOOKUP($A327, Stat!$A$1:$C$501, 2,0)</f>
        <v>1</v>
      </c>
      <c r="O327" s="108">
        <f>VLOOKUP($A327, Stat!$A$1:$C$501, 3,0)</f>
        <v>1</v>
      </c>
      <c r="P327" s="53">
        <v>0</v>
      </c>
      <c r="Q327" s="53">
        <v>1</v>
      </c>
      <c r="R327" s="53" t="s">
        <v>179</v>
      </c>
      <c r="T327" s="53">
        <v>1</v>
      </c>
    </row>
    <row r="328" spans="1:20" x14ac:dyDescent="0.25">
      <c r="A328" s="53">
        <v>218</v>
      </c>
      <c r="B328" s="53" t="s">
        <v>41</v>
      </c>
      <c r="C328" s="53" t="s">
        <v>64</v>
      </c>
      <c r="D328" s="53" t="s">
        <v>181</v>
      </c>
      <c r="E328" s="57" t="s">
        <v>184</v>
      </c>
      <c r="F328" s="51"/>
      <c r="H328" s="49">
        <v>1</v>
      </c>
      <c r="K328" s="51"/>
      <c r="L328" s="51"/>
      <c r="M328" s="51"/>
      <c r="N328" s="108">
        <f>VLOOKUP($A328, Stat!$A$1:$C$501, 2,0)</f>
        <v>1</v>
      </c>
      <c r="O328" s="108">
        <f>VLOOKUP($A328, Stat!$A$1:$C$501, 3,0)</f>
        <v>1</v>
      </c>
      <c r="P328" s="53">
        <v>60</v>
      </c>
      <c r="Q328" s="53">
        <v>0</v>
      </c>
      <c r="S328" s="53" t="s">
        <v>241</v>
      </c>
      <c r="T328" s="53">
        <v>1</v>
      </c>
    </row>
    <row r="329" spans="1:20" x14ac:dyDescent="0.25">
      <c r="A329" s="53">
        <v>253</v>
      </c>
      <c r="B329" s="53" t="s">
        <v>41</v>
      </c>
      <c r="C329" s="53" t="s">
        <v>208</v>
      </c>
      <c r="D329" s="53" t="s">
        <v>75</v>
      </c>
      <c r="E329" s="57" t="s">
        <v>223</v>
      </c>
      <c r="F329" s="51"/>
      <c r="G329" s="52"/>
      <c r="H329" s="49">
        <v>1</v>
      </c>
      <c r="I329" s="52"/>
      <c r="J329" s="49">
        <v>1</v>
      </c>
      <c r="K329" s="51"/>
      <c r="L329" s="51"/>
      <c r="M329" s="51"/>
      <c r="N329" s="108">
        <f>VLOOKUP($A329, Stat!$A$1:$C$501, 2,0)</f>
        <v>1</v>
      </c>
      <c r="O329" s="108">
        <f>VLOOKUP($A329, Stat!$A$1:$C$501, 3,0)</f>
        <v>1</v>
      </c>
      <c r="P329" s="53">
        <v>60</v>
      </c>
      <c r="Q329" s="53">
        <v>0</v>
      </c>
      <c r="T329" s="53">
        <v>1</v>
      </c>
    </row>
    <row r="330" spans="1:20" ht="13.2" customHeight="1" x14ac:dyDescent="0.25">
      <c r="A330" s="53">
        <v>277</v>
      </c>
      <c r="B330" s="53" t="s">
        <v>41</v>
      </c>
      <c r="C330" s="53" t="s">
        <v>64</v>
      </c>
      <c r="D330" s="53" t="s">
        <v>76</v>
      </c>
      <c r="E330" s="57" t="s">
        <v>306</v>
      </c>
      <c r="H330" s="49">
        <v>1</v>
      </c>
      <c r="N330" s="108">
        <f>VLOOKUP($A330, Stat!$A$1:$C$501, 2,0)</f>
        <v>1</v>
      </c>
      <c r="O330" s="108">
        <f>VLOOKUP($A330, Stat!$A$1:$C$501, 3,0)</f>
        <v>1</v>
      </c>
      <c r="P330" s="53">
        <v>60</v>
      </c>
      <c r="Q330" s="53">
        <v>0</v>
      </c>
      <c r="S330" s="53" t="s">
        <v>372</v>
      </c>
      <c r="T330" s="53">
        <v>1</v>
      </c>
    </row>
    <row r="331" spans="1:20" ht="13.2" customHeight="1" x14ac:dyDescent="0.25">
      <c r="A331" s="53">
        <v>292</v>
      </c>
      <c r="B331" s="53" t="s">
        <v>41</v>
      </c>
      <c r="C331" s="53" t="s">
        <v>64</v>
      </c>
      <c r="D331" s="53" t="s">
        <v>334</v>
      </c>
      <c r="E331" s="53" t="s">
        <v>351</v>
      </c>
      <c r="H331" s="49">
        <v>1</v>
      </c>
      <c r="N331" s="108">
        <f>VLOOKUP($A331, Stat!$A$1:$C$501, 2,0)</f>
        <v>1</v>
      </c>
      <c r="O331" s="108">
        <f>VLOOKUP($A331, Stat!$A$1:$C$501, 3,0)</f>
        <v>1</v>
      </c>
      <c r="P331" s="53">
        <v>60</v>
      </c>
      <c r="Q331" s="53">
        <v>0</v>
      </c>
      <c r="S331" s="53" t="s">
        <v>346</v>
      </c>
      <c r="T331" s="53">
        <v>1</v>
      </c>
    </row>
    <row r="332" spans="1:20" ht="13.2" customHeight="1" x14ac:dyDescent="0.25">
      <c r="A332" s="53">
        <v>304</v>
      </c>
      <c r="B332" s="53" t="s">
        <v>39</v>
      </c>
      <c r="C332" s="53" t="s">
        <v>17</v>
      </c>
      <c r="D332" s="53" t="s">
        <v>17</v>
      </c>
      <c r="E332" s="53" t="s">
        <v>390</v>
      </c>
      <c r="N332" s="108">
        <f>VLOOKUP($A332, Stat!$A$1:$C$501, 2,0)</f>
        <v>1</v>
      </c>
      <c r="O332" s="108">
        <f>VLOOKUP($A332, Stat!$A$1:$C$501, 3,0)</f>
        <v>1</v>
      </c>
      <c r="P332" s="53">
        <v>70</v>
      </c>
      <c r="Q332" s="53">
        <v>0</v>
      </c>
      <c r="T332" s="53">
        <v>1</v>
      </c>
    </row>
    <row r="333" spans="1:20" ht="13.2" customHeight="1" x14ac:dyDescent="0.25">
      <c r="A333" s="53">
        <v>308</v>
      </c>
      <c r="B333" s="53" t="s">
        <v>41</v>
      </c>
      <c r="C333" s="53" t="s">
        <v>18</v>
      </c>
      <c r="D333" s="53" t="s">
        <v>404</v>
      </c>
      <c r="E333" s="53" t="s">
        <v>470</v>
      </c>
      <c r="F333" s="49">
        <v>1</v>
      </c>
      <c r="H333" s="49">
        <v>1</v>
      </c>
      <c r="N333" s="108">
        <f>VLOOKUP($A333, Stat!$A$1:$C$501, 2,0)</f>
        <v>1</v>
      </c>
      <c r="O333" s="108">
        <f>VLOOKUP($A333, Stat!$A$1:$C$501, 3,0)</f>
        <v>1</v>
      </c>
      <c r="P333" s="53">
        <v>30</v>
      </c>
      <c r="Q333" s="53">
        <v>0</v>
      </c>
      <c r="S333" s="53" t="s">
        <v>472</v>
      </c>
      <c r="T333" s="53">
        <v>1</v>
      </c>
    </row>
    <row r="334" spans="1:20" ht="13.2" customHeight="1" x14ac:dyDescent="0.25">
      <c r="A334" s="53">
        <v>343</v>
      </c>
      <c r="B334" s="53" t="s">
        <v>39</v>
      </c>
      <c r="C334" s="53" t="s">
        <v>16</v>
      </c>
      <c r="D334" s="53" t="s">
        <v>503</v>
      </c>
      <c r="E334" s="53" t="s">
        <v>50</v>
      </c>
      <c r="N334" s="108">
        <f>VLOOKUP($A334, Stat!$A$1:$C$501, 2,0)</f>
        <v>1</v>
      </c>
      <c r="O334" s="108">
        <f>VLOOKUP($A334, Stat!$A$1:$C$501, 3,0)</f>
        <v>1</v>
      </c>
      <c r="P334" s="53">
        <v>60</v>
      </c>
      <c r="Q334" s="53">
        <v>0</v>
      </c>
      <c r="R334" s="53" t="s">
        <v>505</v>
      </c>
      <c r="T334" s="53">
        <v>1</v>
      </c>
    </row>
    <row r="335" spans="1:20" ht="13.2" customHeight="1" x14ac:dyDescent="0.25">
      <c r="A335" s="53">
        <v>30</v>
      </c>
      <c r="B335" s="53" t="s">
        <v>41</v>
      </c>
      <c r="C335" s="53" t="s">
        <v>64</v>
      </c>
      <c r="D335" s="53" t="s">
        <v>139</v>
      </c>
      <c r="E335" s="57" t="s">
        <v>117</v>
      </c>
      <c r="F335" s="51"/>
      <c r="H335" s="49">
        <v>1</v>
      </c>
      <c r="K335" s="51"/>
      <c r="L335" s="51"/>
      <c r="M335" s="51"/>
      <c r="N335" s="108">
        <f>VLOOKUP($A335, Stat!$A$1:$C$501, 2,0)</f>
        <v>0</v>
      </c>
      <c r="O335" s="108">
        <f>VLOOKUP($A335, Stat!$A$1:$C$501, 3,0)</f>
        <v>0</v>
      </c>
      <c r="P335" s="53">
        <v>100</v>
      </c>
      <c r="Q335" s="53">
        <v>0</v>
      </c>
      <c r="T335" s="53">
        <v>1</v>
      </c>
    </row>
    <row r="336" spans="1:20" ht="13.2" customHeight="1" x14ac:dyDescent="0.25">
      <c r="A336" s="53">
        <v>100</v>
      </c>
      <c r="B336" s="53" t="s">
        <v>39</v>
      </c>
      <c r="C336" s="53" t="s">
        <v>87</v>
      </c>
      <c r="D336" s="53" t="s">
        <v>82</v>
      </c>
      <c r="E336" s="57" t="s">
        <v>91</v>
      </c>
      <c r="F336" s="51"/>
      <c r="K336" s="51"/>
      <c r="L336" s="51"/>
      <c r="M336" s="51"/>
      <c r="N336" s="108">
        <f>VLOOKUP($A336, Stat!$A$1:$C$501, 2,0)</f>
        <v>0</v>
      </c>
      <c r="O336" s="108">
        <f>VLOOKUP($A336, Stat!$A$1:$C$501, 3,0)</f>
        <v>0</v>
      </c>
      <c r="P336" s="53">
        <v>0</v>
      </c>
      <c r="Q336" s="53">
        <v>0</v>
      </c>
      <c r="R336" s="53" t="s">
        <v>439</v>
      </c>
      <c r="T336" s="53">
        <v>1</v>
      </c>
    </row>
    <row r="337" spans="1:20" x14ac:dyDescent="0.25">
      <c r="A337" s="53">
        <v>104</v>
      </c>
      <c r="B337" s="53" t="s">
        <v>39</v>
      </c>
      <c r="C337" s="53" t="s">
        <v>87</v>
      </c>
      <c r="D337" s="53" t="s">
        <v>81</v>
      </c>
      <c r="E337" s="57" t="s">
        <v>91</v>
      </c>
      <c r="F337" s="51"/>
      <c r="K337" s="51"/>
      <c r="L337" s="51"/>
      <c r="M337" s="51"/>
      <c r="N337" s="108">
        <f>VLOOKUP($A337, Stat!$A$1:$C$501, 2,0)</f>
        <v>0</v>
      </c>
      <c r="O337" s="108">
        <f>VLOOKUP($A337, Stat!$A$1:$C$501, 3,0)</f>
        <v>0</v>
      </c>
      <c r="P337" s="53">
        <v>0</v>
      </c>
      <c r="Q337" s="53">
        <v>0</v>
      </c>
      <c r="T337" s="53">
        <v>1</v>
      </c>
    </row>
    <row r="338" spans="1:20" x14ac:dyDescent="0.25">
      <c r="A338" s="53">
        <v>106</v>
      </c>
      <c r="B338" s="53" t="s">
        <v>39</v>
      </c>
      <c r="C338" s="53" t="s">
        <v>87</v>
      </c>
      <c r="D338" s="53" t="s">
        <v>81</v>
      </c>
      <c r="E338" s="57" t="s">
        <v>5</v>
      </c>
      <c r="F338" s="51"/>
      <c r="K338" s="51"/>
      <c r="L338" s="51"/>
      <c r="M338" s="51"/>
      <c r="N338" s="108">
        <f>VLOOKUP($A338, Stat!$A$1:$C$501, 2,0)</f>
        <v>0</v>
      </c>
      <c r="O338" s="108">
        <f>VLOOKUP($A338, Stat!$A$1:$C$501, 3,0)</f>
        <v>0</v>
      </c>
      <c r="P338" s="53">
        <v>40</v>
      </c>
      <c r="Q338" s="53">
        <v>0</v>
      </c>
      <c r="T338" s="53">
        <v>1</v>
      </c>
    </row>
    <row r="339" spans="1:20" x14ac:dyDescent="0.25">
      <c r="A339" s="53">
        <v>107</v>
      </c>
      <c r="B339" s="53" t="s">
        <v>39</v>
      </c>
      <c r="C339" s="53" t="s">
        <v>87</v>
      </c>
      <c r="D339" s="53" t="s">
        <v>81</v>
      </c>
      <c r="E339" s="57" t="s">
        <v>51</v>
      </c>
      <c r="F339" s="51"/>
      <c r="K339" s="51"/>
      <c r="L339" s="51"/>
      <c r="M339" s="51"/>
      <c r="N339" s="108">
        <f>VLOOKUP($A339, Stat!$A$1:$C$501, 2,0)</f>
        <v>0</v>
      </c>
      <c r="O339" s="108">
        <f>VLOOKUP($A339, Stat!$A$1:$C$501, 3,0)</f>
        <v>0</v>
      </c>
      <c r="P339" s="53">
        <v>60</v>
      </c>
      <c r="Q339" s="53">
        <v>0</v>
      </c>
      <c r="T339" s="53">
        <v>1</v>
      </c>
    </row>
    <row r="340" spans="1:20" x14ac:dyDescent="0.25">
      <c r="A340" s="53">
        <v>123</v>
      </c>
      <c r="B340" s="53" t="s">
        <v>39</v>
      </c>
      <c r="C340" s="53" t="s">
        <v>87</v>
      </c>
      <c r="D340" s="53" t="s">
        <v>98</v>
      </c>
      <c r="E340" s="57" t="s">
        <v>51</v>
      </c>
      <c r="F340" s="51"/>
      <c r="I340" s="49">
        <v>999</v>
      </c>
      <c r="K340" s="50"/>
      <c r="L340" s="51"/>
      <c r="M340" s="51"/>
      <c r="N340" s="108">
        <f>VLOOKUP($A340, Stat!$A$1:$C$501, 2,0)</f>
        <v>0</v>
      </c>
      <c r="O340" s="108">
        <f>VLOOKUP($A340, Stat!$A$1:$C$501, 3,0)</f>
        <v>0</v>
      </c>
      <c r="P340" s="53">
        <v>60</v>
      </c>
      <c r="Q340" s="53">
        <v>0</v>
      </c>
      <c r="S340" s="53" t="s">
        <v>444</v>
      </c>
      <c r="T340" s="53">
        <v>1</v>
      </c>
    </row>
    <row r="341" spans="1:20" x14ac:dyDescent="0.25">
      <c r="A341" s="53">
        <v>144</v>
      </c>
      <c r="B341" s="53" t="s">
        <v>39</v>
      </c>
      <c r="C341" s="53" t="s">
        <v>87</v>
      </c>
      <c r="D341" s="53" t="s">
        <v>397</v>
      </c>
      <c r="E341" s="57" t="s">
        <v>3</v>
      </c>
      <c r="F341" s="51"/>
      <c r="K341" s="51"/>
      <c r="L341" s="51"/>
      <c r="M341" s="51"/>
      <c r="N341" s="108">
        <f>VLOOKUP($A341, Stat!$A$1:$C$501, 2,0)</f>
        <v>0</v>
      </c>
      <c r="O341" s="108">
        <f>VLOOKUP($A341, Stat!$A$1:$C$501, 3,0)</f>
        <v>0</v>
      </c>
      <c r="P341" s="53">
        <v>0</v>
      </c>
      <c r="Q341" s="53">
        <v>-1</v>
      </c>
      <c r="R341" s="53" t="s">
        <v>440</v>
      </c>
      <c r="T341" s="53">
        <v>1</v>
      </c>
    </row>
    <row r="342" spans="1:20" x14ac:dyDescent="0.25">
      <c r="A342" s="53">
        <v>191</v>
      </c>
      <c r="B342" s="53" t="s">
        <v>39</v>
      </c>
      <c r="C342" s="53" t="s">
        <v>87</v>
      </c>
      <c r="D342" s="53" t="s">
        <v>99</v>
      </c>
      <c r="E342" s="57" t="s">
        <v>147</v>
      </c>
      <c r="F342" s="51"/>
      <c r="K342" s="51"/>
      <c r="L342" s="51"/>
      <c r="M342" s="51"/>
      <c r="N342" s="108">
        <f>VLOOKUP($A342, Stat!$A$1:$C$501, 2,0)</f>
        <v>0</v>
      </c>
      <c r="O342" s="108">
        <f>VLOOKUP($A342, Stat!$A$1:$C$501, 3,0)</f>
        <v>0</v>
      </c>
      <c r="P342" s="53">
        <v>60</v>
      </c>
      <c r="Q342" s="53">
        <v>0</v>
      </c>
      <c r="R342" s="53" t="s">
        <v>88</v>
      </c>
      <c r="S342" s="53" t="s">
        <v>228</v>
      </c>
      <c r="T342" s="53">
        <v>1</v>
      </c>
    </row>
    <row r="343" spans="1:20" x14ac:dyDescent="0.25">
      <c r="A343" s="53">
        <v>192</v>
      </c>
      <c r="B343" s="53" t="s">
        <v>39</v>
      </c>
      <c r="C343" s="53" t="s">
        <v>87</v>
      </c>
      <c r="D343" s="53" t="s">
        <v>98</v>
      </c>
      <c r="E343" s="57" t="s">
        <v>147</v>
      </c>
      <c r="F343" s="51"/>
      <c r="K343" s="51"/>
      <c r="L343" s="51"/>
      <c r="M343" s="51"/>
      <c r="N343" s="108">
        <f>VLOOKUP($A343, Stat!$A$1:$C$501, 2,0)</f>
        <v>0</v>
      </c>
      <c r="O343" s="108">
        <f>VLOOKUP($A343, Stat!$A$1:$C$501, 3,0)</f>
        <v>0</v>
      </c>
      <c r="P343" s="53">
        <v>60</v>
      </c>
      <c r="Q343" s="53">
        <v>0</v>
      </c>
      <c r="S343" s="53" t="s">
        <v>228</v>
      </c>
      <c r="T343" s="53">
        <v>1</v>
      </c>
    </row>
    <row r="344" spans="1:20" x14ac:dyDescent="0.25">
      <c r="A344" s="53">
        <v>194</v>
      </c>
      <c r="B344" s="53" t="s">
        <v>41</v>
      </c>
      <c r="C344" s="53" t="s">
        <v>18</v>
      </c>
      <c r="D344" s="53" t="s">
        <v>450</v>
      </c>
      <c r="E344" s="57" t="s">
        <v>151</v>
      </c>
      <c r="F344" s="50" t="s">
        <v>272</v>
      </c>
      <c r="K344" s="51"/>
      <c r="L344" s="51"/>
      <c r="M344" s="51"/>
      <c r="N344" s="108">
        <f>VLOOKUP($A344, Stat!$A$1:$C$501, 2,0)</f>
        <v>0</v>
      </c>
      <c r="O344" s="108">
        <f>VLOOKUP($A344, Stat!$A$1:$C$501, 3,0)</f>
        <v>0</v>
      </c>
      <c r="P344" s="53">
        <v>0</v>
      </c>
      <c r="Q344" s="53">
        <v>-1</v>
      </c>
      <c r="R344" s="53" t="s">
        <v>403</v>
      </c>
      <c r="T344" s="53">
        <v>1</v>
      </c>
    </row>
    <row r="345" spans="1:20" x14ac:dyDescent="0.25">
      <c r="A345" s="53">
        <v>195</v>
      </c>
      <c r="B345" s="53" t="s">
        <v>41</v>
      </c>
      <c r="C345" s="53" t="s">
        <v>18</v>
      </c>
      <c r="D345" s="53" t="s">
        <v>450</v>
      </c>
      <c r="E345" s="57" t="s">
        <v>66</v>
      </c>
      <c r="F345" s="50" t="s">
        <v>272</v>
      </c>
      <c r="K345" s="51"/>
      <c r="L345" s="51"/>
      <c r="M345" s="51"/>
      <c r="N345" s="108">
        <f>VLOOKUP($A345, Stat!$A$1:$C$501, 2,0)</f>
        <v>0</v>
      </c>
      <c r="O345" s="108">
        <f>VLOOKUP($A345, Stat!$A$1:$C$501, 3,0)</f>
        <v>0</v>
      </c>
      <c r="P345" s="53">
        <v>0</v>
      </c>
      <c r="Q345" s="53">
        <v>-1</v>
      </c>
      <c r="R345" s="53" t="s">
        <v>403</v>
      </c>
      <c r="T345" s="53">
        <v>1</v>
      </c>
    </row>
    <row r="346" spans="1:20" x14ac:dyDescent="0.25">
      <c r="A346" s="53">
        <v>216</v>
      </c>
      <c r="B346" s="53" t="s">
        <v>41</v>
      </c>
      <c r="C346" s="53" t="s">
        <v>64</v>
      </c>
      <c r="D346" s="53" t="s">
        <v>181</v>
      </c>
      <c r="E346" s="57" t="s">
        <v>186</v>
      </c>
      <c r="F346" s="51"/>
      <c r="H346" s="49">
        <v>1</v>
      </c>
      <c r="K346" s="51"/>
      <c r="L346" s="51"/>
      <c r="M346" s="51"/>
      <c r="N346" s="108">
        <f>VLOOKUP($A346, Stat!$A$1:$C$501, 2,0)</f>
        <v>0</v>
      </c>
      <c r="O346" s="108">
        <f>VLOOKUP($A346, Stat!$A$1:$C$501, 3,0)</f>
        <v>0</v>
      </c>
      <c r="P346" s="53">
        <v>60</v>
      </c>
      <c r="Q346" s="53">
        <v>0</v>
      </c>
      <c r="S346" s="53" t="s">
        <v>516</v>
      </c>
      <c r="T346" s="53">
        <v>1</v>
      </c>
    </row>
    <row r="347" spans="1:20" x14ac:dyDescent="0.25">
      <c r="A347" s="53">
        <v>248</v>
      </c>
      <c r="B347" s="53" t="s">
        <v>41</v>
      </c>
      <c r="C347" s="53" t="s">
        <v>64</v>
      </c>
      <c r="D347" s="53" t="s">
        <v>216</v>
      </c>
      <c r="E347" s="57" t="s">
        <v>213</v>
      </c>
      <c r="F347" s="51"/>
      <c r="H347" s="49">
        <v>1</v>
      </c>
      <c r="K347" s="51"/>
      <c r="L347" s="51"/>
      <c r="M347" s="51"/>
      <c r="N347" s="108">
        <f>VLOOKUP($A347, Stat!$A$1:$C$501, 2,0)</f>
        <v>18</v>
      </c>
      <c r="O347" s="108">
        <f>VLOOKUP($A347, Stat!$A$1:$C$501, 3,0)</f>
        <v>2</v>
      </c>
      <c r="P347" s="53">
        <v>0</v>
      </c>
      <c r="Q347" s="53">
        <v>1</v>
      </c>
      <c r="R347" s="53" t="s">
        <v>456</v>
      </c>
      <c r="T347" s="53">
        <v>1</v>
      </c>
    </row>
    <row r="348" spans="1:20" x14ac:dyDescent="0.25">
      <c r="A348" s="53">
        <v>262</v>
      </c>
      <c r="B348" s="53" t="s">
        <v>41</v>
      </c>
      <c r="C348" s="53" t="s">
        <v>251</v>
      </c>
      <c r="D348" s="53" t="s">
        <v>324</v>
      </c>
      <c r="E348" s="57" t="s">
        <v>321</v>
      </c>
      <c r="F348" s="51"/>
      <c r="K348" s="51"/>
      <c r="L348" s="51"/>
      <c r="M348" s="51"/>
      <c r="N348" s="121">
        <f>VLOOKUP($A348, Stat!$A$1:$C$501, 2,0)</f>
        <v>0</v>
      </c>
      <c r="O348" s="108">
        <f>VLOOKUP($A348, Stat!$A$1:$C$501, 3,0)</f>
        <v>0</v>
      </c>
      <c r="P348" s="53">
        <v>0</v>
      </c>
      <c r="Q348" s="53">
        <v>1</v>
      </c>
      <c r="S348" s="53" t="s">
        <v>327</v>
      </c>
      <c r="T348" s="53">
        <v>1</v>
      </c>
    </row>
    <row r="349" spans="1:20" x14ac:dyDescent="0.25">
      <c r="A349" s="53">
        <v>264</v>
      </c>
      <c r="B349" s="53" t="s">
        <v>41</v>
      </c>
      <c r="C349" s="53" t="s">
        <v>251</v>
      </c>
      <c r="D349" s="53" t="s">
        <v>252</v>
      </c>
      <c r="E349" s="57" t="s">
        <v>257</v>
      </c>
      <c r="F349" s="51"/>
      <c r="H349" s="122"/>
      <c r="K349" s="51"/>
      <c r="L349" s="50" t="s">
        <v>272</v>
      </c>
      <c r="M349" s="51"/>
      <c r="N349" s="108">
        <f>VLOOKUP($A349, Stat!$A$1:$C$501, 2,0)</f>
        <v>1</v>
      </c>
      <c r="O349" s="122">
        <f>VLOOKUP($A349, Stat!$A$1:$C$501, 3,0)</f>
        <v>0</v>
      </c>
      <c r="P349" s="53">
        <v>60</v>
      </c>
      <c r="Q349" s="53">
        <v>1</v>
      </c>
      <c r="S349" s="53" t="s">
        <v>317</v>
      </c>
      <c r="T349" s="53">
        <v>1</v>
      </c>
    </row>
    <row r="350" spans="1:20" x14ac:dyDescent="0.25">
      <c r="A350" s="53">
        <v>281</v>
      </c>
      <c r="B350" s="53" t="s">
        <v>41</v>
      </c>
      <c r="C350" s="53" t="s">
        <v>251</v>
      </c>
      <c r="D350" s="53" t="s">
        <v>319</v>
      </c>
      <c r="E350" s="53" t="s">
        <v>254</v>
      </c>
      <c r="H350" s="122"/>
      <c r="L350" s="49">
        <v>1</v>
      </c>
      <c r="N350" s="108">
        <f>VLOOKUP($A350, Stat!$A$1:$C$501, 2,0)</f>
        <v>1</v>
      </c>
      <c r="O350" s="122">
        <f>VLOOKUP($A350, Stat!$A$1:$C$501, 3,0)</f>
        <v>0</v>
      </c>
      <c r="P350" s="53">
        <v>60</v>
      </c>
      <c r="Q350" s="53">
        <v>0</v>
      </c>
      <c r="T350" s="53">
        <v>1</v>
      </c>
    </row>
    <row r="351" spans="1:20" x14ac:dyDescent="0.25">
      <c r="A351" s="53">
        <v>283</v>
      </c>
      <c r="B351" s="53" t="s">
        <v>41</v>
      </c>
      <c r="C351" s="53" t="s">
        <v>251</v>
      </c>
      <c r="D351" s="53" t="s">
        <v>324</v>
      </c>
      <c r="E351" s="53" t="s">
        <v>132</v>
      </c>
      <c r="N351" s="121">
        <f>VLOOKUP($A351, Stat!$A$1:$C$501, 2,0)</f>
        <v>0</v>
      </c>
      <c r="O351" s="108">
        <f>VLOOKUP($A351, Stat!$A$1:$C$501, 3,0)</f>
        <v>0</v>
      </c>
      <c r="P351" s="53">
        <v>60</v>
      </c>
      <c r="Q351" s="53">
        <v>1</v>
      </c>
      <c r="S351" s="53" t="s">
        <v>329</v>
      </c>
      <c r="T351" s="53">
        <v>1</v>
      </c>
    </row>
    <row r="352" spans="1:20" x14ac:dyDescent="0.25">
      <c r="A352" s="53">
        <v>284</v>
      </c>
      <c r="B352" s="53" t="s">
        <v>41</v>
      </c>
      <c r="C352" s="53" t="s">
        <v>251</v>
      </c>
      <c r="D352" s="53" t="s">
        <v>324</v>
      </c>
      <c r="E352" s="53" t="s">
        <v>326</v>
      </c>
      <c r="N352" s="121">
        <f>VLOOKUP($A352, Stat!$A$1:$C$501, 2,0)</f>
        <v>0</v>
      </c>
      <c r="O352" s="108">
        <f>VLOOKUP($A352, Stat!$A$1:$C$501, 3,0)</f>
        <v>0</v>
      </c>
      <c r="P352" s="53">
        <v>60</v>
      </c>
      <c r="Q352" s="53">
        <v>1</v>
      </c>
      <c r="S352" s="53" t="s">
        <v>330</v>
      </c>
      <c r="T352" s="53">
        <v>1</v>
      </c>
    </row>
    <row r="353" spans="1:20" x14ac:dyDescent="0.25">
      <c r="A353" s="53">
        <v>285</v>
      </c>
      <c r="B353" s="53" t="s">
        <v>41</v>
      </c>
      <c r="C353" s="53" t="s">
        <v>251</v>
      </c>
      <c r="D353" s="53" t="s">
        <v>324</v>
      </c>
      <c r="E353" s="53" t="s">
        <v>325</v>
      </c>
      <c r="N353" s="121">
        <f>VLOOKUP($A353, Stat!$A$1:$C$501, 2,0)</f>
        <v>0</v>
      </c>
      <c r="O353" s="108">
        <f>VLOOKUP($A353, Stat!$A$1:$C$501, 3,0)</f>
        <v>0</v>
      </c>
      <c r="P353" s="53">
        <v>60</v>
      </c>
      <c r="Q353" s="53">
        <v>1</v>
      </c>
      <c r="S353" s="53" t="s">
        <v>331</v>
      </c>
      <c r="T353" s="53">
        <v>1</v>
      </c>
    </row>
    <row r="354" spans="1:20" x14ac:dyDescent="0.25">
      <c r="A354" s="53">
        <v>323</v>
      </c>
      <c r="B354" s="53" t="s">
        <v>41</v>
      </c>
      <c r="C354" s="53" t="s">
        <v>251</v>
      </c>
      <c r="D354" s="53" t="s">
        <v>252</v>
      </c>
      <c r="E354" s="53" t="s">
        <v>441</v>
      </c>
      <c r="H354" s="49">
        <v>1</v>
      </c>
      <c r="N354" s="122">
        <f>VLOOKUP($A354, Stat!$A$1:$C$501, 2,0)</f>
        <v>0</v>
      </c>
      <c r="O354" s="122">
        <f>VLOOKUP($A354, Stat!$A$1:$C$501, 2,0)</f>
        <v>0</v>
      </c>
      <c r="P354" s="53">
        <v>40</v>
      </c>
      <c r="Q354" s="53">
        <v>1</v>
      </c>
      <c r="S354" s="53" t="s">
        <v>443</v>
      </c>
      <c r="T354" s="53">
        <v>1</v>
      </c>
    </row>
    <row r="355" spans="1:20" x14ac:dyDescent="0.25">
      <c r="A355" s="53">
        <v>331</v>
      </c>
      <c r="B355" s="53" t="s">
        <v>41</v>
      </c>
      <c r="C355" s="53" t="s">
        <v>64</v>
      </c>
      <c r="D355" s="53" t="s">
        <v>68</v>
      </c>
      <c r="E355" s="53" t="s">
        <v>465</v>
      </c>
      <c r="H355" s="49">
        <v>1</v>
      </c>
      <c r="N355" s="122">
        <f>VLOOKUP($A355, Stat!$A$1:$C$501, 2,0)</f>
        <v>0</v>
      </c>
      <c r="O355" s="122">
        <f>VLOOKUP($A355, Stat!$A$1:$C$501, 2,0)</f>
        <v>0</v>
      </c>
      <c r="P355" s="53">
        <v>0</v>
      </c>
      <c r="Q355" s="53">
        <v>1</v>
      </c>
      <c r="S355" s="53" t="s">
        <v>466</v>
      </c>
      <c r="T355" s="53">
        <v>1</v>
      </c>
    </row>
    <row r="356" spans="1:20" x14ac:dyDescent="0.25">
      <c r="A356" s="53">
        <v>339</v>
      </c>
      <c r="B356" s="53" t="s">
        <v>41</v>
      </c>
      <c r="C356" s="53" t="s">
        <v>208</v>
      </c>
      <c r="D356" s="53" t="s">
        <v>487</v>
      </c>
      <c r="E356" s="53" t="s">
        <v>489</v>
      </c>
      <c r="H356" s="49">
        <v>1</v>
      </c>
      <c r="N356" s="108">
        <f>VLOOKUP($A356, Stat!$A$1:$C$501, 2,0)</f>
        <v>2</v>
      </c>
      <c r="O356" s="108">
        <f>VLOOKUP($A356, Stat!$A$1:$C$501, 3,0)</f>
        <v>2</v>
      </c>
      <c r="P356" s="53">
        <v>60</v>
      </c>
      <c r="Q356" s="53">
        <v>0</v>
      </c>
      <c r="R356" s="53" t="s">
        <v>492</v>
      </c>
      <c r="S356" s="53" t="s">
        <v>496</v>
      </c>
      <c r="T356" s="53">
        <v>1</v>
      </c>
    </row>
    <row r="357" spans="1:20" x14ac:dyDescent="0.25">
      <c r="A357" s="53">
        <v>342</v>
      </c>
      <c r="B357" s="53" t="s">
        <v>39</v>
      </c>
      <c r="C357" s="53" t="s">
        <v>16</v>
      </c>
      <c r="D357" s="53" t="s">
        <v>503</v>
      </c>
      <c r="E357" s="53" t="s">
        <v>49</v>
      </c>
      <c r="N357" s="121">
        <f>VLOOKUP($A357, Stat!$A$1:$C$501, 2,0)</f>
        <v>0</v>
      </c>
      <c r="O357" s="108">
        <f>VLOOKUP($A357, Stat!$A$1:$C$501, 3,0)</f>
        <v>0</v>
      </c>
      <c r="P357" s="53">
        <v>0</v>
      </c>
      <c r="Q357" s="53">
        <v>1</v>
      </c>
      <c r="R357" s="53" t="s">
        <v>505</v>
      </c>
      <c r="T357" s="53">
        <v>1</v>
      </c>
    </row>
    <row r="358" spans="1:20" x14ac:dyDescent="0.25">
      <c r="N358" s="108"/>
      <c r="O358" s="108"/>
    </row>
  </sheetData>
  <autoFilter ref="A1:T336">
    <sortState ref="A2:T360">
      <sortCondition descending="1" ref="N1:N33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9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9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7" t="s">
        <v>562</v>
      </c>
      <c r="B1" s="107" t="s">
        <v>560</v>
      </c>
      <c r="C1" s="107" t="s">
        <v>561</v>
      </c>
    </row>
    <row r="2" spans="1:3" x14ac:dyDescent="0.25">
      <c r="A2" s="107">
        <v>0</v>
      </c>
      <c r="B2" s="107">
        <v>0</v>
      </c>
      <c r="C2" s="107">
        <v>0</v>
      </c>
    </row>
    <row r="3" spans="1:3" x14ac:dyDescent="0.25">
      <c r="A3" s="107">
        <v>1</v>
      </c>
      <c r="B3" s="107">
        <v>17</v>
      </c>
      <c r="C3" s="107">
        <v>1</v>
      </c>
    </row>
    <row r="4" spans="1:3" x14ac:dyDescent="0.25">
      <c r="A4" s="107">
        <v>2</v>
      </c>
      <c r="B4" s="107">
        <v>26</v>
      </c>
      <c r="C4" s="107">
        <v>1</v>
      </c>
    </row>
    <row r="5" spans="1:3" x14ac:dyDescent="0.25">
      <c r="A5" s="107">
        <v>3</v>
      </c>
      <c r="B5" s="107">
        <v>8</v>
      </c>
      <c r="C5" s="107">
        <v>0</v>
      </c>
    </row>
    <row r="6" spans="1:3" x14ac:dyDescent="0.25">
      <c r="A6" s="107">
        <v>4</v>
      </c>
      <c r="B6" s="107">
        <v>19</v>
      </c>
      <c r="C6" s="107">
        <v>0</v>
      </c>
    </row>
    <row r="7" spans="1:3" x14ac:dyDescent="0.25">
      <c r="A7" s="107">
        <v>5</v>
      </c>
      <c r="B7" s="107">
        <v>34</v>
      </c>
      <c r="C7" s="107">
        <v>0</v>
      </c>
    </row>
    <row r="8" spans="1:3" x14ac:dyDescent="0.25">
      <c r="A8" s="107">
        <v>6</v>
      </c>
      <c r="B8" s="107">
        <v>80</v>
      </c>
      <c r="C8" s="107">
        <v>22</v>
      </c>
    </row>
    <row r="9" spans="1:3" x14ac:dyDescent="0.25">
      <c r="A9" s="107">
        <v>7</v>
      </c>
      <c r="B9" s="107">
        <v>1</v>
      </c>
      <c r="C9" s="107">
        <v>1</v>
      </c>
    </row>
    <row r="10" spans="1:3" x14ac:dyDescent="0.25">
      <c r="A10" s="107">
        <v>8</v>
      </c>
      <c r="B10" s="107">
        <v>438</v>
      </c>
      <c r="C10" s="107">
        <v>1</v>
      </c>
    </row>
    <row r="11" spans="1:3" x14ac:dyDescent="0.25">
      <c r="A11" s="107">
        <v>9</v>
      </c>
      <c r="B11" s="107">
        <v>121</v>
      </c>
      <c r="C11" s="107">
        <v>35</v>
      </c>
    </row>
    <row r="12" spans="1:3" x14ac:dyDescent="0.25">
      <c r="A12" s="107">
        <v>10</v>
      </c>
      <c r="B12" s="107">
        <v>35</v>
      </c>
      <c r="C12" s="107">
        <v>1</v>
      </c>
    </row>
    <row r="13" spans="1:3" x14ac:dyDescent="0.25">
      <c r="A13" s="107">
        <v>11</v>
      </c>
      <c r="B13" s="107">
        <v>112</v>
      </c>
      <c r="C13" s="107">
        <v>2</v>
      </c>
    </row>
    <row r="14" spans="1:3" x14ac:dyDescent="0.25">
      <c r="A14" s="107">
        <v>12</v>
      </c>
      <c r="B14" s="107">
        <v>102</v>
      </c>
      <c r="C14" s="107">
        <v>38</v>
      </c>
    </row>
    <row r="15" spans="1:3" x14ac:dyDescent="0.25">
      <c r="A15" s="107">
        <v>13</v>
      </c>
      <c r="B15" s="107">
        <v>57</v>
      </c>
      <c r="C15" s="107">
        <v>8</v>
      </c>
    </row>
    <row r="16" spans="1:3" x14ac:dyDescent="0.25">
      <c r="A16" s="107">
        <v>14</v>
      </c>
      <c r="B16" s="107">
        <v>177</v>
      </c>
      <c r="C16" s="107">
        <v>25</v>
      </c>
    </row>
    <row r="17" spans="1:3" x14ac:dyDescent="0.25">
      <c r="A17" s="107">
        <v>15</v>
      </c>
      <c r="B17" s="107">
        <v>87</v>
      </c>
      <c r="C17" s="107">
        <v>2</v>
      </c>
    </row>
    <row r="18" spans="1:3" x14ac:dyDescent="0.25">
      <c r="A18" s="107">
        <v>16</v>
      </c>
      <c r="B18" s="107">
        <v>38</v>
      </c>
      <c r="C18" s="107">
        <v>1</v>
      </c>
    </row>
    <row r="19" spans="1:3" x14ac:dyDescent="0.25">
      <c r="A19" s="107">
        <v>17</v>
      </c>
      <c r="B19" s="107">
        <v>35</v>
      </c>
      <c r="C19" s="107">
        <v>1</v>
      </c>
    </row>
    <row r="20" spans="1:3" x14ac:dyDescent="0.25">
      <c r="A20" s="107">
        <v>18</v>
      </c>
      <c r="B20" s="107">
        <v>18</v>
      </c>
      <c r="C20" s="107">
        <v>0</v>
      </c>
    </row>
    <row r="21" spans="1:3" x14ac:dyDescent="0.25">
      <c r="A21" s="107">
        <v>19</v>
      </c>
      <c r="B21" s="107">
        <v>27</v>
      </c>
      <c r="C21" s="107">
        <v>3</v>
      </c>
    </row>
    <row r="22" spans="1:3" x14ac:dyDescent="0.25">
      <c r="A22" s="107">
        <v>20</v>
      </c>
      <c r="B22" s="107">
        <v>103</v>
      </c>
      <c r="C22" s="107">
        <v>1</v>
      </c>
    </row>
    <row r="23" spans="1:3" x14ac:dyDescent="0.25">
      <c r="A23" s="107">
        <v>21</v>
      </c>
      <c r="B23" s="107">
        <v>176</v>
      </c>
      <c r="C23" s="107">
        <v>1</v>
      </c>
    </row>
    <row r="24" spans="1:3" x14ac:dyDescent="0.25">
      <c r="A24" s="107">
        <v>22</v>
      </c>
      <c r="B24" s="107">
        <v>23</v>
      </c>
      <c r="C24" s="107">
        <v>1</v>
      </c>
    </row>
    <row r="25" spans="1:3" x14ac:dyDescent="0.25">
      <c r="A25" s="107">
        <v>23</v>
      </c>
      <c r="B25" s="107">
        <v>16</v>
      </c>
      <c r="C25" s="107">
        <v>1</v>
      </c>
    </row>
    <row r="26" spans="1:3" x14ac:dyDescent="0.25">
      <c r="A26" s="107">
        <v>24</v>
      </c>
      <c r="B26" s="107">
        <v>46</v>
      </c>
      <c r="C26" s="107">
        <v>6</v>
      </c>
    </row>
    <row r="27" spans="1:3" x14ac:dyDescent="0.25">
      <c r="A27" s="107">
        <v>25</v>
      </c>
      <c r="B27" s="107">
        <v>23</v>
      </c>
      <c r="C27" s="107">
        <v>0</v>
      </c>
    </row>
    <row r="28" spans="1:3" x14ac:dyDescent="0.25">
      <c r="A28" s="107">
        <v>26</v>
      </c>
      <c r="B28" s="107">
        <v>29</v>
      </c>
      <c r="C28" s="107">
        <v>0</v>
      </c>
    </row>
    <row r="29" spans="1:3" x14ac:dyDescent="0.25">
      <c r="A29" s="107">
        <v>27</v>
      </c>
      <c r="B29" s="107">
        <v>54</v>
      </c>
      <c r="C29" s="107">
        <v>1</v>
      </c>
    </row>
    <row r="30" spans="1:3" x14ac:dyDescent="0.25">
      <c r="A30" s="107">
        <v>28</v>
      </c>
      <c r="B30" s="107">
        <v>10</v>
      </c>
      <c r="C30" s="107">
        <v>0</v>
      </c>
    </row>
    <row r="31" spans="1:3" x14ac:dyDescent="0.25">
      <c r="A31" s="107">
        <v>29</v>
      </c>
      <c r="B31" s="107">
        <v>302</v>
      </c>
      <c r="C31" s="107">
        <v>0</v>
      </c>
    </row>
    <row r="32" spans="1:3" x14ac:dyDescent="0.25">
      <c r="A32" s="107">
        <v>30</v>
      </c>
      <c r="B32" s="107">
        <v>0</v>
      </c>
      <c r="C32" s="107">
        <v>0</v>
      </c>
    </row>
    <row r="33" spans="1:3" x14ac:dyDescent="0.25">
      <c r="A33" s="107">
        <v>31</v>
      </c>
      <c r="B33" s="107">
        <v>48</v>
      </c>
      <c r="C33" s="107">
        <v>0</v>
      </c>
    </row>
    <row r="34" spans="1:3" x14ac:dyDescent="0.25">
      <c r="A34" s="107">
        <v>32</v>
      </c>
      <c r="B34" s="107">
        <v>51</v>
      </c>
      <c r="C34" s="107">
        <v>3</v>
      </c>
    </row>
    <row r="35" spans="1:3" x14ac:dyDescent="0.25">
      <c r="A35" s="107">
        <v>33</v>
      </c>
      <c r="B35" s="107">
        <v>50</v>
      </c>
      <c r="C35" s="107">
        <v>3</v>
      </c>
    </row>
    <row r="36" spans="1:3" x14ac:dyDescent="0.25">
      <c r="A36" s="107">
        <v>34</v>
      </c>
      <c r="B36" s="107">
        <v>38</v>
      </c>
      <c r="C36" s="107">
        <v>1</v>
      </c>
    </row>
    <row r="37" spans="1:3" x14ac:dyDescent="0.25">
      <c r="A37" s="107">
        <v>35</v>
      </c>
      <c r="B37" s="107">
        <v>152</v>
      </c>
      <c r="C37" s="107">
        <v>0</v>
      </c>
    </row>
    <row r="38" spans="1:3" x14ac:dyDescent="0.25">
      <c r="A38" s="107">
        <v>36</v>
      </c>
      <c r="B38" s="107">
        <v>46</v>
      </c>
      <c r="C38" s="107">
        <v>1</v>
      </c>
    </row>
    <row r="39" spans="1:3" x14ac:dyDescent="0.25">
      <c r="A39" s="107">
        <v>37</v>
      </c>
      <c r="B39" s="107">
        <v>27</v>
      </c>
      <c r="C39" s="107">
        <v>1</v>
      </c>
    </row>
    <row r="40" spans="1:3" x14ac:dyDescent="0.25">
      <c r="A40" s="107">
        <v>38</v>
      </c>
      <c r="B40" s="107">
        <v>147</v>
      </c>
      <c r="C40" s="107">
        <v>3</v>
      </c>
    </row>
    <row r="41" spans="1:3" x14ac:dyDescent="0.25">
      <c r="A41" s="107">
        <v>39</v>
      </c>
      <c r="B41" s="107">
        <v>21</v>
      </c>
      <c r="C41" s="107">
        <v>0</v>
      </c>
    </row>
    <row r="42" spans="1:3" x14ac:dyDescent="0.25">
      <c r="A42" s="107">
        <v>40</v>
      </c>
      <c r="B42" s="107">
        <v>27</v>
      </c>
      <c r="C42" s="107">
        <v>2</v>
      </c>
    </row>
    <row r="43" spans="1:3" x14ac:dyDescent="0.25">
      <c r="A43" s="107">
        <v>41</v>
      </c>
      <c r="B43" s="107">
        <v>15</v>
      </c>
      <c r="C43" s="107">
        <v>12</v>
      </c>
    </row>
    <row r="44" spans="1:3" x14ac:dyDescent="0.25">
      <c r="A44" s="107">
        <v>42</v>
      </c>
      <c r="B44" s="107">
        <v>186</v>
      </c>
      <c r="C44" s="107">
        <v>0</v>
      </c>
    </row>
    <row r="45" spans="1:3" x14ac:dyDescent="0.25">
      <c r="A45" s="107">
        <v>43</v>
      </c>
      <c r="B45" s="107">
        <v>76</v>
      </c>
      <c r="C45" s="107">
        <v>0</v>
      </c>
    </row>
    <row r="46" spans="1:3" x14ac:dyDescent="0.25">
      <c r="A46" s="107">
        <v>44</v>
      </c>
      <c r="B46" s="107">
        <v>65</v>
      </c>
      <c r="C46" s="107">
        <v>0</v>
      </c>
    </row>
    <row r="47" spans="1:3" x14ac:dyDescent="0.25">
      <c r="A47" s="107">
        <v>45</v>
      </c>
      <c r="B47" s="107">
        <v>14</v>
      </c>
      <c r="C47" s="107">
        <v>0</v>
      </c>
    </row>
    <row r="48" spans="1:3" x14ac:dyDescent="0.25">
      <c r="A48" s="107">
        <v>46</v>
      </c>
      <c r="B48" s="107">
        <v>54</v>
      </c>
      <c r="C48" s="107">
        <v>0</v>
      </c>
    </row>
    <row r="49" spans="1:3" x14ac:dyDescent="0.25">
      <c r="A49" s="107">
        <v>47</v>
      </c>
      <c r="B49" s="107">
        <v>90</v>
      </c>
      <c r="C49" s="107">
        <v>4</v>
      </c>
    </row>
    <row r="50" spans="1:3" x14ac:dyDescent="0.25">
      <c r="A50" s="107">
        <v>48</v>
      </c>
      <c r="B50" s="107">
        <v>1</v>
      </c>
      <c r="C50" s="107">
        <v>0</v>
      </c>
    </row>
    <row r="51" spans="1:3" x14ac:dyDescent="0.25">
      <c r="A51" s="107">
        <v>49</v>
      </c>
      <c r="B51" s="107">
        <v>5</v>
      </c>
      <c r="C51" s="107">
        <v>0</v>
      </c>
    </row>
    <row r="52" spans="1:3" x14ac:dyDescent="0.25">
      <c r="A52" s="107">
        <v>50</v>
      </c>
      <c r="B52" s="107">
        <v>24</v>
      </c>
      <c r="C52" s="107">
        <v>1</v>
      </c>
    </row>
    <row r="53" spans="1:3" x14ac:dyDescent="0.25">
      <c r="A53" s="107">
        <v>51</v>
      </c>
      <c r="B53" s="107">
        <v>19</v>
      </c>
      <c r="C53" s="107">
        <v>2</v>
      </c>
    </row>
    <row r="54" spans="1:3" x14ac:dyDescent="0.25">
      <c r="A54" s="107">
        <v>52</v>
      </c>
      <c r="B54" s="107">
        <v>0</v>
      </c>
      <c r="C54" s="107">
        <v>0</v>
      </c>
    </row>
    <row r="55" spans="1:3" x14ac:dyDescent="0.25">
      <c r="A55" s="107">
        <v>53</v>
      </c>
      <c r="B55" s="107">
        <v>36</v>
      </c>
      <c r="C55" s="107">
        <v>0</v>
      </c>
    </row>
    <row r="56" spans="1:3" x14ac:dyDescent="0.25">
      <c r="A56" s="107">
        <v>54</v>
      </c>
      <c r="B56" s="107">
        <v>21</v>
      </c>
      <c r="C56" s="107">
        <v>0</v>
      </c>
    </row>
    <row r="57" spans="1:3" x14ac:dyDescent="0.25">
      <c r="A57" s="107">
        <v>55</v>
      </c>
      <c r="B57" s="107">
        <v>37</v>
      </c>
      <c r="C57" s="107">
        <v>0</v>
      </c>
    </row>
    <row r="58" spans="1:3" x14ac:dyDescent="0.25">
      <c r="A58" s="107">
        <v>56</v>
      </c>
      <c r="B58" s="107">
        <v>22</v>
      </c>
      <c r="C58" s="107">
        <v>0</v>
      </c>
    </row>
    <row r="59" spans="1:3" x14ac:dyDescent="0.25">
      <c r="A59" s="107">
        <v>57</v>
      </c>
      <c r="B59" s="107">
        <v>448</v>
      </c>
      <c r="C59" s="107">
        <v>1</v>
      </c>
    </row>
    <row r="60" spans="1:3" x14ac:dyDescent="0.25">
      <c r="A60" s="107">
        <v>58</v>
      </c>
      <c r="B60" s="107">
        <v>155</v>
      </c>
      <c r="C60" s="107">
        <v>13</v>
      </c>
    </row>
    <row r="61" spans="1:3" x14ac:dyDescent="0.25">
      <c r="A61" s="107">
        <v>59</v>
      </c>
      <c r="B61" s="107">
        <v>185</v>
      </c>
      <c r="C61" s="107">
        <v>0</v>
      </c>
    </row>
    <row r="62" spans="1:3" x14ac:dyDescent="0.25">
      <c r="A62" s="107">
        <v>60</v>
      </c>
      <c r="B62" s="107">
        <v>52</v>
      </c>
      <c r="C62" s="107">
        <v>0</v>
      </c>
    </row>
    <row r="63" spans="1:3" x14ac:dyDescent="0.25">
      <c r="A63" s="107">
        <v>61</v>
      </c>
      <c r="B63" s="107">
        <v>44</v>
      </c>
      <c r="C63" s="107">
        <v>1</v>
      </c>
    </row>
    <row r="64" spans="1:3" x14ac:dyDescent="0.25">
      <c r="A64" s="107">
        <v>62</v>
      </c>
      <c r="B64" s="107">
        <v>30</v>
      </c>
      <c r="C64" s="107">
        <v>0</v>
      </c>
    </row>
    <row r="65" spans="1:3" x14ac:dyDescent="0.25">
      <c r="A65" s="107">
        <v>63</v>
      </c>
      <c r="B65" s="107">
        <v>22</v>
      </c>
      <c r="C65" s="107">
        <v>0</v>
      </c>
    </row>
    <row r="66" spans="1:3" x14ac:dyDescent="0.25">
      <c r="A66" s="107">
        <v>64</v>
      </c>
      <c r="B66" s="107">
        <v>5</v>
      </c>
      <c r="C66" s="107">
        <v>0</v>
      </c>
    </row>
    <row r="67" spans="1:3" x14ac:dyDescent="0.25">
      <c r="A67" s="107">
        <v>65</v>
      </c>
      <c r="B67" s="107">
        <v>7</v>
      </c>
      <c r="C67" s="107">
        <v>1</v>
      </c>
    </row>
    <row r="68" spans="1:3" x14ac:dyDescent="0.25">
      <c r="A68" s="107">
        <v>66</v>
      </c>
      <c r="B68" s="107">
        <v>5</v>
      </c>
      <c r="C68" s="107">
        <v>0</v>
      </c>
    </row>
    <row r="69" spans="1:3" x14ac:dyDescent="0.25">
      <c r="A69" s="107">
        <v>67</v>
      </c>
      <c r="B69" s="107">
        <v>162</v>
      </c>
      <c r="C69" s="107">
        <v>29</v>
      </c>
    </row>
    <row r="70" spans="1:3" x14ac:dyDescent="0.25">
      <c r="A70" s="107">
        <v>68</v>
      </c>
      <c r="B70" s="107">
        <v>19</v>
      </c>
      <c r="C70" s="107">
        <v>9</v>
      </c>
    </row>
    <row r="71" spans="1:3" x14ac:dyDescent="0.25">
      <c r="A71" s="107">
        <v>69</v>
      </c>
      <c r="B71" s="107">
        <v>62</v>
      </c>
      <c r="C71" s="107">
        <v>15</v>
      </c>
    </row>
    <row r="72" spans="1:3" x14ac:dyDescent="0.25">
      <c r="A72" s="107">
        <v>70</v>
      </c>
      <c r="B72" s="107">
        <v>35</v>
      </c>
      <c r="C72" s="107">
        <v>0</v>
      </c>
    </row>
    <row r="73" spans="1:3" x14ac:dyDescent="0.25">
      <c r="A73" s="107">
        <v>71</v>
      </c>
      <c r="B73" s="107">
        <v>9</v>
      </c>
      <c r="C73" s="107">
        <v>1</v>
      </c>
    </row>
    <row r="74" spans="1:3" x14ac:dyDescent="0.25">
      <c r="A74" s="107">
        <v>72</v>
      </c>
      <c r="B74" s="107">
        <v>22</v>
      </c>
      <c r="C74" s="107">
        <v>0</v>
      </c>
    </row>
    <row r="75" spans="1:3" x14ac:dyDescent="0.25">
      <c r="A75" s="107">
        <v>73</v>
      </c>
      <c r="B75" s="107">
        <v>22</v>
      </c>
      <c r="C75" s="107">
        <v>0</v>
      </c>
    </row>
    <row r="76" spans="1:3" x14ac:dyDescent="0.25">
      <c r="A76" s="107">
        <v>74</v>
      </c>
      <c r="B76" s="107">
        <v>23</v>
      </c>
      <c r="C76" s="107">
        <v>4</v>
      </c>
    </row>
    <row r="77" spans="1:3" x14ac:dyDescent="0.25">
      <c r="A77" s="107">
        <v>75</v>
      </c>
      <c r="B77" s="107">
        <v>28</v>
      </c>
      <c r="C77" s="107">
        <v>15</v>
      </c>
    </row>
    <row r="78" spans="1:3" x14ac:dyDescent="0.25">
      <c r="A78" s="107">
        <v>76</v>
      </c>
      <c r="B78" s="107">
        <v>44</v>
      </c>
      <c r="C78" s="107">
        <v>1</v>
      </c>
    </row>
    <row r="79" spans="1:3" x14ac:dyDescent="0.25">
      <c r="A79" s="107">
        <v>77</v>
      </c>
      <c r="B79" s="107">
        <v>536</v>
      </c>
      <c r="C79" s="107">
        <v>0</v>
      </c>
    </row>
    <row r="80" spans="1:3" x14ac:dyDescent="0.25">
      <c r="A80" s="107">
        <v>78</v>
      </c>
      <c r="B80" s="107">
        <v>66</v>
      </c>
      <c r="C80" s="107">
        <v>1</v>
      </c>
    </row>
    <row r="81" spans="1:3" x14ac:dyDescent="0.25">
      <c r="A81" s="107">
        <v>79</v>
      </c>
      <c r="B81" s="107">
        <v>81</v>
      </c>
      <c r="C81" s="107">
        <v>0</v>
      </c>
    </row>
    <row r="82" spans="1:3" x14ac:dyDescent="0.25">
      <c r="A82" s="107">
        <v>80</v>
      </c>
      <c r="B82" s="107">
        <v>304</v>
      </c>
      <c r="C82" s="107">
        <v>2</v>
      </c>
    </row>
    <row r="83" spans="1:3" x14ac:dyDescent="0.25">
      <c r="A83" s="107">
        <v>81</v>
      </c>
      <c r="B83" s="107">
        <v>51</v>
      </c>
      <c r="C83" s="107">
        <v>2</v>
      </c>
    </row>
    <row r="84" spans="1:3" x14ac:dyDescent="0.25">
      <c r="A84" s="107">
        <v>82</v>
      </c>
      <c r="B84" s="107">
        <v>46</v>
      </c>
      <c r="C84" s="107">
        <v>8</v>
      </c>
    </row>
    <row r="85" spans="1:3" x14ac:dyDescent="0.25">
      <c r="A85" s="107">
        <v>83</v>
      </c>
      <c r="B85" s="107">
        <v>187</v>
      </c>
      <c r="C85" s="107">
        <v>5</v>
      </c>
    </row>
    <row r="86" spans="1:3" x14ac:dyDescent="0.25">
      <c r="A86" s="107">
        <v>84</v>
      </c>
      <c r="B86" s="107">
        <v>94</v>
      </c>
      <c r="C86" s="107">
        <v>5</v>
      </c>
    </row>
    <row r="87" spans="1:3" x14ac:dyDescent="0.25">
      <c r="A87" s="107">
        <v>85</v>
      </c>
      <c r="B87" s="107">
        <v>11</v>
      </c>
      <c r="C87" s="107">
        <v>1</v>
      </c>
    </row>
    <row r="88" spans="1:3" x14ac:dyDescent="0.25">
      <c r="A88" s="107">
        <v>86</v>
      </c>
      <c r="B88" s="107">
        <v>136</v>
      </c>
      <c r="C88" s="107">
        <v>1</v>
      </c>
    </row>
    <row r="89" spans="1:3" x14ac:dyDescent="0.25">
      <c r="A89" s="107">
        <v>87</v>
      </c>
      <c r="B89" s="107">
        <v>0</v>
      </c>
      <c r="C89" s="107">
        <v>0</v>
      </c>
    </row>
    <row r="90" spans="1:3" x14ac:dyDescent="0.25">
      <c r="A90" s="107">
        <v>88</v>
      </c>
      <c r="B90" s="107">
        <v>24</v>
      </c>
      <c r="C90" s="107">
        <v>9</v>
      </c>
    </row>
    <row r="91" spans="1:3" x14ac:dyDescent="0.25">
      <c r="A91" s="107">
        <v>89</v>
      </c>
      <c r="B91" s="107">
        <v>38</v>
      </c>
      <c r="C91" s="107">
        <v>0</v>
      </c>
    </row>
    <row r="92" spans="1:3" x14ac:dyDescent="0.25">
      <c r="A92" s="107">
        <v>90</v>
      </c>
      <c r="B92" s="107">
        <v>3</v>
      </c>
      <c r="C92" s="107">
        <v>1</v>
      </c>
    </row>
    <row r="93" spans="1:3" x14ac:dyDescent="0.25">
      <c r="A93" s="107">
        <v>91</v>
      </c>
      <c r="B93" s="107">
        <v>5</v>
      </c>
      <c r="C93" s="107">
        <v>2</v>
      </c>
    </row>
    <row r="94" spans="1:3" x14ac:dyDescent="0.25">
      <c r="A94" s="107">
        <v>92</v>
      </c>
      <c r="B94" s="107">
        <v>88</v>
      </c>
      <c r="C94" s="107">
        <v>1</v>
      </c>
    </row>
    <row r="95" spans="1:3" x14ac:dyDescent="0.25">
      <c r="A95" s="107">
        <v>93</v>
      </c>
      <c r="B95" s="107">
        <v>34</v>
      </c>
      <c r="C95" s="107">
        <v>0</v>
      </c>
    </row>
    <row r="96" spans="1:3" x14ac:dyDescent="0.25">
      <c r="A96" s="107">
        <v>94</v>
      </c>
      <c r="B96" s="107">
        <v>4</v>
      </c>
      <c r="C96" s="107">
        <v>0</v>
      </c>
    </row>
    <row r="97" spans="1:3" x14ac:dyDescent="0.25">
      <c r="A97" s="107">
        <v>95</v>
      </c>
      <c r="B97" s="107">
        <v>21</v>
      </c>
      <c r="C97" s="107">
        <v>0</v>
      </c>
    </row>
    <row r="98" spans="1:3" x14ac:dyDescent="0.25">
      <c r="A98" s="107">
        <v>96</v>
      </c>
      <c r="B98" s="107">
        <v>14</v>
      </c>
      <c r="C98" s="107">
        <v>0</v>
      </c>
    </row>
    <row r="99" spans="1:3" x14ac:dyDescent="0.25">
      <c r="A99" s="107">
        <v>97</v>
      </c>
      <c r="B99" s="107">
        <v>4</v>
      </c>
      <c r="C99" s="107">
        <v>0</v>
      </c>
    </row>
    <row r="100" spans="1:3" x14ac:dyDescent="0.25">
      <c r="A100" s="107">
        <v>98</v>
      </c>
      <c r="B100" s="107">
        <v>17</v>
      </c>
      <c r="C100" s="107">
        <v>0</v>
      </c>
    </row>
    <row r="101" spans="1:3" x14ac:dyDescent="0.25">
      <c r="A101" s="107">
        <v>99</v>
      </c>
      <c r="B101" s="107">
        <v>147</v>
      </c>
      <c r="C101" s="107">
        <v>5</v>
      </c>
    </row>
    <row r="102" spans="1:3" x14ac:dyDescent="0.25">
      <c r="A102" s="107">
        <v>100</v>
      </c>
      <c r="B102" s="107">
        <v>0</v>
      </c>
      <c r="C102" s="107">
        <v>0</v>
      </c>
    </row>
    <row r="103" spans="1:3" x14ac:dyDescent="0.25">
      <c r="A103" s="107">
        <v>101</v>
      </c>
      <c r="B103" s="107">
        <v>77</v>
      </c>
      <c r="C103" s="107">
        <v>0</v>
      </c>
    </row>
    <row r="104" spans="1:3" x14ac:dyDescent="0.25">
      <c r="A104" s="107">
        <v>102</v>
      </c>
      <c r="B104" s="107">
        <v>64</v>
      </c>
      <c r="C104" s="107">
        <v>0</v>
      </c>
    </row>
    <row r="105" spans="1:3" x14ac:dyDescent="0.25">
      <c r="A105" s="107">
        <v>103</v>
      </c>
      <c r="B105" s="107">
        <v>39</v>
      </c>
      <c r="C105" s="107">
        <v>0</v>
      </c>
    </row>
    <row r="106" spans="1:3" x14ac:dyDescent="0.25">
      <c r="A106" s="107">
        <v>104</v>
      </c>
      <c r="B106" s="107">
        <v>0</v>
      </c>
      <c r="C106" s="107">
        <v>0</v>
      </c>
    </row>
    <row r="107" spans="1:3" x14ac:dyDescent="0.25">
      <c r="A107" s="107">
        <v>105</v>
      </c>
      <c r="B107" s="107">
        <v>23</v>
      </c>
      <c r="C107" s="107">
        <v>0</v>
      </c>
    </row>
    <row r="108" spans="1:3" x14ac:dyDescent="0.25">
      <c r="A108" s="107">
        <v>106</v>
      </c>
      <c r="B108" s="107">
        <v>0</v>
      </c>
      <c r="C108" s="107">
        <v>0</v>
      </c>
    </row>
    <row r="109" spans="1:3" x14ac:dyDescent="0.25">
      <c r="A109" s="107">
        <v>107</v>
      </c>
      <c r="B109" s="107">
        <v>0</v>
      </c>
      <c r="C109" s="107">
        <v>0</v>
      </c>
    </row>
    <row r="110" spans="1:3" x14ac:dyDescent="0.25">
      <c r="A110" s="107">
        <v>108</v>
      </c>
      <c r="B110" s="107">
        <v>68</v>
      </c>
      <c r="C110" s="107">
        <v>0</v>
      </c>
    </row>
    <row r="111" spans="1:3" x14ac:dyDescent="0.25">
      <c r="A111" s="107">
        <v>109</v>
      </c>
      <c r="B111" s="107">
        <v>10</v>
      </c>
      <c r="C111" s="107">
        <v>0</v>
      </c>
    </row>
    <row r="112" spans="1:3" x14ac:dyDescent="0.25">
      <c r="A112" s="107">
        <v>110</v>
      </c>
      <c r="B112" s="107">
        <v>9</v>
      </c>
      <c r="C112" s="107">
        <v>1</v>
      </c>
    </row>
    <row r="113" spans="1:3" x14ac:dyDescent="0.25">
      <c r="A113" s="107">
        <v>111</v>
      </c>
      <c r="B113" s="107">
        <v>2</v>
      </c>
      <c r="C113" s="107">
        <v>0</v>
      </c>
    </row>
    <row r="114" spans="1:3" x14ac:dyDescent="0.25">
      <c r="A114" s="107">
        <v>112</v>
      </c>
      <c r="B114" s="107">
        <v>135</v>
      </c>
      <c r="C114" s="107">
        <v>0</v>
      </c>
    </row>
    <row r="115" spans="1:3" x14ac:dyDescent="0.25">
      <c r="A115" s="107">
        <v>113</v>
      </c>
      <c r="B115" s="107">
        <v>19</v>
      </c>
      <c r="C115" s="107">
        <v>0</v>
      </c>
    </row>
    <row r="116" spans="1:3" x14ac:dyDescent="0.25">
      <c r="A116" s="107">
        <v>114</v>
      </c>
      <c r="B116" s="107">
        <v>15</v>
      </c>
      <c r="C116" s="107">
        <v>0</v>
      </c>
    </row>
    <row r="117" spans="1:3" x14ac:dyDescent="0.25">
      <c r="A117" s="107">
        <v>115</v>
      </c>
      <c r="B117" s="107">
        <v>21</v>
      </c>
      <c r="C117" s="107">
        <v>0</v>
      </c>
    </row>
    <row r="118" spans="1:3" x14ac:dyDescent="0.25">
      <c r="A118" s="107">
        <v>116</v>
      </c>
      <c r="B118" s="107">
        <v>38</v>
      </c>
      <c r="C118" s="107">
        <v>0</v>
      </c>
    </row>
    <row r="119" spans="1:3" x14ac:dyDescent="0.25">
      <c r="A119" s="107">
        <v>117</v>
      </c>
      <c r="B119" s="107">
        <v>47</v>
      </c>
      <c r="C119" s="107">
        <v>0</v>
      </c>
    </row>
    <row r="120" spans="1:3" x14ac:dyDescent="0.25">
      <c r="A120" s="107">
        <v>118</v>
      </c>
      <c r="B120" s="107">
        <v>29</v>
      </c>
      <c r="C120" s="107">
        <v>0</v>
      </c>
    </row>
    <row r="121" spans="1:3" x14ac:dyDescent="0.25">
      <c r="A121" s="107">
        <v>119</v>
      </c>
      <c r="B121" s="107">
        <v>21</v>
      </c>
      <c r="C121" s="107">
        <v>0</v>
      </c>
    </row>
    <row r="122" spans="1:3" x14ac:dyDescent="0.25">
      <c r="A122" s="107">
        <v>120</v>
      </c>
      <c r="B122" s="107">
        <v>84</v>
      </c>
      <c r="C122" s="107">
        <v>0</v>
      </c>
    </row>
    <row r="123" spans="1:3" x14ac:dyDescent="0.25">
      <c r="A123" s="107">
        <v>121</v>
      </c>
      <c r="B123" s="107">
        <v>51</v>
      </c>
      <c r="C123" s="107">
        <v>0</v>
      </c>
    </row>
    <row r="124" spans="1:3" x14ac:dyDescent="0.25">
      <c r="A124" s="107">
        <v>122</v>
      </c>
      <c r="B124" s="107">
        <v>11</v>
      </c>
      <c r="C124" s="107">
        <v>0</v>
      </c>
    </row>
    <row r="125" spans="1:3" x14ac:dyDescent="0.25">
      <c r="A125" s="107">
        <v>123</v>
      </c>
      <c r="B125" s="107">
        <v>0</v>
      </c>
      <c r="C125" s="107">
        <v>0</v>
      </c>
    </row>
    <row r="126" spans="1:3" x14ac:dyDescent="0.25">
      <c r="A126" s="107">
        <v>124</v>
      </c>
      <c r="B126" s="107">
        <v>31</v>
      </c>
      <c r="C126" s="107">
        <v>1</v>
      </c>
    </row>
    <row r="127" spans="1:3" x14ac:dyDescent="0.25">
      <c r="A127" s="107">
        <v>125</v>
      </c>
      <c r="B127" s="107">
        <v>22</v>
      </c>
      <c r="C127" s="107">
        <v>1</v>
      </c>
    </row>
    <row r="128" spans="1:3" x14ac:dyDescent="0.25">
      <c r="A128" s="107">
        <v>126</v>
      </c>
      <c r="B128" s="107">
        <v>87</v>
      </c>
      <c r="C128" s="107">
        <v>1</v>
      </c>
    </row>
    <row r="129" spans="1:3" x14ac:dyDescent="0.25">
      <c r="A129" s="107">
        <v>127</v>
      </c>
      <c r="B129" s="107">
        <v>96</v>
      </c>
      <c r="C129" s="107">
        <v>1</v>
      </c>
    </row>
    <row r="130" spans="1:3" x14ac:dyDescent="0.25">
      <c r="A130" s="107">
        <v>128</v>
      </c>
      <c r="B130" s="107">
        <v>134</v>
      </c>
      <c r="C130" s="107">
        <v>0</v>
      </c>
    </row>
    <row r="131" spans="1:3" x14ac:dyDescent="0.25">
      <c r="A131" s="107">
        <v>129</v>
      </c>
      <c r="B131" s="107">
        <v>61</v>
      </c>
      <c r="C131" s="107">
        <v>0</v>
      </c>
    </row>
    <row r="132" spans="1:3" x14ac:dyDescent="0.25">
      <c r="A132" s="107">
        <v>130</v>
      </c>
      <c r="B132" s="107">
        <v>38</v>
      </c>
      <c r="C132" s="107">
        <v>1</v>
      </c>
    </row>
    <row r="133" spans="1:3" x14ac:dyDescent="0.25">
      <c r="A133" s="107">
        <v>131</v>
      </c>
      <c r="B133" s="107">
        <v>29</v>
      </c>
      <c r="C133" s="107">
        <v>0</v>
      </c>
    </row>
    <row r="134" spans="1:3" x14ac:dyDescent="0.25">
      <c r="A134" s="107">
        <v>132</v>
      </c>
      <c r="B134" s="107">
        <v>168</v>
      </c>
      <c r="C134" s="107">
        <v>0</v>
      </c>
    </row>
    <row r="135" spans="1:3" x14ac:dyDescent="0.25">
      <c r="A135" s="107">
        <v>133</v>
      </c>
      <c r="B135" s="107">
        <v>53</v>
      </c>
      <c r="C135" s="107">
        <v>0</v>
      </c>
    </row>
    <row r="136" spans="1:3" x14ac:dyDescent="0.25">
      <c r="A136" s="107">
        <v>134</v>
      </c>
      <c r="B136" s="107">
        <v>32</v>
      </c>
      <c r="C136" s="107">
        <v>2</v>
      </c>
    </row>
    <row r="137" spans="1:3" x14ac:dyDescent="0.25">
      <c r="A137" s="107">
        <v>135</v>
      </c>
      <c r="B137" s="107">
        <v>12</v>
      </c>
      <c r="C137" s="107">
        <v>0</v>
      </c>
    </row>
    <row r="138" spans="1:3" x14ac:dyDescent="0.25">
      <c r="A138" s="107">
        <v>136</v>
      </c>
      <c r="B138" s="107">
        <v>7</v>
      </c>
      <c r="C138" s="107">
        <v>2</v>
      </c>
    </row>
    <row r="139" spans="1:3" x14ac:dyDescent="0.25">
      <c r="A139" s="107">
        <v>137</v>
      </c>
      <c r="B139" s="107">
        <v>12</v>
      </c>
      <c r="C139" s="107">
        <v>2</v>
      </c>
    </row>
    <row r="140" spans="1:3" x14ac:dyDescent="0.25">
      <c r="A140" s="107">
        <v>138</v>
      </c>
      <c r="B140" s="107">
        <v>9</v>
      </c>
      <c r="C140" s="107">
        <v>4</v>
      </c>
    </row>
    <row r="141" spans="1:3" x14ac:dyDescent="0.25">
      <c r="A141" s="107">
        <v>139</v>
      </c>
      <c r="B141" s="107">
        <v>9</v>
      </c>
      <c r="C141" s="107">
        <v>7</v>
      </c>
    </row>
    <row r="142" spans="1:3" x14ac:dyDescent="0.25">
      <c r="A142" s="107">
        <v>140</v>
      </c>
      <c r="B142" s="107">
        <v>68</v>
      </c>
      <c r="C142" s="107">
        <v>0</v>
      </c>
    </row>
    <row r="143" spans="1:3" x14ac:dyDescent="0.25">
      <c r="A143" s="107">
        <v>141</v>
      </c>
      <c r="B143" s="107">
        <v>27</v>
      </c>
      <c r="C143" s="107">
        <v>0</v>
      </c>
    </row>
    <row r="144" spans="1:3" x14ac:dyDescent="0.25">
      <c r="A144" s="107">
        <v>142</v>
      </c>
      <c r="B144" s="107">
        <v>13</v>
      </c>
      <c r="C144" s="107">
        <v>1</v>
      </c>
    </row>
    <row r="145" spans="1:3" x14ac:dyDescent="0.25">
      <c r="A145" s="107">
        <v>143</v>
      </c>
      <c r="B145" s="107">
        <v>5</v>
      </c>
      <c r="C145" s="107">
        <v>0</v>
      </c>
    </row>
    <row r="146" spans="1:3" x14ac:dyDescent="0.25">
      <c r="A146" s="107">
        <v>144</v>
      </c>
      <c r="B146" s="107">
        <v>0</v>
      </c>
      <c r="C146" s="107">
        <v>0</v>
      </c>
    </row>
    <row r="147" spans="1:3" x14ac:dyDescent="0.25">
      <c r="A147" s="107">
        <v>145</v>
      </c>
      <c r="B147" s="107">
        <v>46</v>
      </c>
      <c r="C147" s="107">
        <v>0</v>
      </c>
    </row>
    <row r="148" spans="1:3" x14ac:dyDescent="0.25">
      <c r="A148" s="107">
        <v>146</v>
      </c>
      <c r="B148" s="107">
        <v>31</v>
      </c>
      <c r="C148" s="107">
        <v>0</v>
      </c>
    </row>
    <row r="149" spans="1:3" x14ac:dyDescent="0.25">
      <c r="A149" s="107">
        <v>147</v>
      </c>
      <c r="B149" s="107">
        <v>10</v>
      </c>
      <c r="C149" s="107">
        <v>0</v>
      </c>
    </row>
    <row r="150" spans="1:3" x14ac:dyDescent="0.25">
      <c r="A150" s="107">
        <v>148</v>
      </c>
      <c r="B150" s="107">
        <v>46</v>
      </c>
      <c r="C150" s="107">
        <v>0</v>
      </c>
    </row>
    <row r="151" spans="1:3" x14ac:dyDescent="0.25">
      <c r="A151" s="107">
        <v>149</v>
      </c>
      <c r="B151" s="107">
        <v>5</v>
      </c>
      <c r="C151" s="107">
        <v>0</v>
      </c>
    </row>
    <row r="152" spans="1:3" x14ac:dyDescent="0.25">
      <c r="A152" s="107">
        <v>150</v>
      </c>
      <c r="B152" s="107">
        <v>11</v>
      </c>
      <c r="C152" s="107">
        <v>3</v>
      </c>
    </row>
    <row r="153" spans="1:3" x14ac:dyDescent="0.25">
      <c r="A153" s="107">
        <v>151</v>
      </c>
      <c r="B153" s="107">
        <v>2</v>
      </c>
      <c r="C153" s="107">
        <v>0</v>
      </c>
    </row>
    <row r="154" spans="1:3" x14ac:dyDescent="0.25">
      <c r="A154" s="107">
        <v>152</v>
      </c>
      <c r="B154" s="107">
        <v>1</v>
      </c>
      <c r="C154" s="107">
        <v>1</v>
      </c>
    </row>
    <row r="155" spans="1:3" x14ac:dyDescent="0.25">
      <c r="A155" s="107">
        <v>153</v>
      </c>
      <c r="B155" s="107">
        <v>3</v>
      </c>
      <c r="C155" s="107">
        <v>2</v>
      </c>
    </row>
    <row r="156" spans="1:3" x14ac:dyDescent="0.25">
      <c r="A156" s="107">
        <v>154</v>
      </c>
      <c r="B156" s="107">
        <v>11</v>
      </c>
      <c r="C156" s="107">
        <v>3</v>
      </c>
    </row>
    <row r="157" spans="1:3" x14ac:dyDescent="0.25">
      <c r="A157" s="107">
        <v>155</v>
      </c>
      <c r="B157" s="107">
        <v>2</v>
      </c>
      <c r="C157" s="107">
        <v>1</v>
      </c>
    </row>
    <row r="158" spans="1:3" x14ac:dyDescent="0.25">
      <c r="A158" s="107">
        <v>156</v>
      </c>
      <c r="B158" s="107">
        <v>4</v>
      </c>
      <c r="C158" s="107">
        <v>3</v>
      </c>
    </row>
    <row r="159" spans="1:3" x14ac:dyDescent="0.25">
      <c r="A159" s="107">
        <v>157</v>
      </c>
      <c r="B159" s="107">
        <v>1</v>
      </c>
      <c r="C159" s="107">
        <v>1</v>
      </c>
    </row>
    <row r="160" spans="1:3" x14ac:dyDescent="0.25">
      <c r="A160" s="107">
        <v>158</v>
      </c>
      <c r="B160" s="107">
        <v>7</v>
      </c>
      <c r="C160" s="107">
        <v>3</v>
      </c>
    </row>
    <row r="161" spans="1:3" x14ac:dyDescent="0.25">
      <c r="A161" s="107">
        <v>159</v>
      </c>
      <c r="B161" s="107">
        <v>3</v>
      </c>
      <c r="C161" s="107">
        <v>1</v>
      </c>
    </row>
    <row r="162" spans="1:3" x14ac:dyDescent="0.25">
      <c r="A162" s="107">
        <v>160</v>
      </c>
      <c r="B162" s="107">
        <v>16</v>
      </c>
      <c r="C162" s="107">
        <v>3</v>
      </c>
    </row>
    <row r="163" spans="1:3" x14ac:dyDescent="0.25">
      <c r="A163" s="107">
        <v>161</v>
      </c>
      <c r="B163" s="107">
        <v>18</v>
      </c>
      <c r="C163" s="107">
        <v>4</v>
      </c>
    </row>
    <row r="164" spans="1:3" x14ac:dyDescent="0.25">
      <c r="A164" s="107">
        <v>162</v>
      </c>
      <c r="B164" s="107">
        <v>9</v>
      </c>
      <c r="C164" s="107">
        <v>1</v>
      </c>
    </row>
    <row r="165" spans="1:3" x14ac:dyDescent="0.25">
      <c r="A165" s="107">
        <v>163</v>
      </c>
      <c r="B165" s="107">
        <v>18</v>
      </c>
      <c r="C165" s="107">
        <v>2</v>
      </c>
    </row>
    <row r="166" spans="1:3" x14ac:dyDescent="0.25">
      <c r="A166" s="107">
        <v>164</v>
      </c>
      <c r="B166" s="107">
        <v>9</v>
      </c>
      <c r="C166" s="107">
        <v>2</v>
      </c>
    </row>
    <row r="167" spans="1:3" x14ac:dyDescent="0.25">
      <c r="A167" s="107">
        <v>165</v>
      </c>
      <c r="B167" s="107">
        <v>11</v>
      </c>
      <c r="C167" s="107">
        <v>4</v>
      </c>
    </row>
    <row r="168" spans="1:3" x14ac:dyDescent="0.25">
      <c r="A168" s="107">
        <v>166</v>
      </c>
      <c r="B168" s="107">
        <v>30</v>
      </c>
      <c r="C168" s="107">
        <v>3</v>
      </c>
    </row>
    <row r="169" spans="1:3" x14ac:dyDescent="0.25">
      <c r="A169" s="107">
        <v>167</v>
      </c>
      <c r="B169" s="107">
        <v>23</v>
      </c>
      <c r="C169" s="107">
        <v>3</v>
      </c>
    </row>
    <row r="170" spans="1:3" x14ac:dyDescent="0.25">
      <c r="A170" s="107">
        <v>168</v>
      </c>
      <c r="B170" s="107">
        <v>61</v>
      </c>
      <c r="C170" s="107">
        <v>4</v>
      </c>
    </row>
    <row r="171" spans="1:3" x14ac:dyDescent="0.25">
      <c r="A171" s="107">
        <v>169</v>
      </c>
      <c r="B171" s="107">
        <v>694</v>
      </c>
      <c r="C171" s="107">
        <v>3</v>
      </c>
    </row>
    <row r="172" spans="1:3" x14ac:dyDescent="0.25">
      <c r="A172" s="107">
        <v>170</v>
      </c>
      <c r="B172" s="107">
        <v>4</v>
      </c>
      <c r="C172" s="107">
        <v>1</v>
      </c>
    </row>
    <row r="173" spans="1:3" x14ac:dyDescent="0.25">
      <c r="A173" s="107">
        <v>171</v>
      </c>
      <c r="B173" s="107">
        <v>6</v>
      </c>
      <c r="C173" s="107">
        <v>2</v>
      </c>
    </row>
    <row r="174" spans="1:3" x14ac:dyDescent="0.25">
      <c r="A174" s="107">
        <v>172</v>
      </c>
      <c r="B174" s="107">
        <v>10</v>
      </c>
      <c r="C174" s="107">
        <v>2</v>
      </c>
    </row>
    <row r="175" spans="1:3" x14ac:dyDescent="0.25">
      <c r="A175" s="107">
        <v>173</v>
      </c>
      <c r="B175" s="107">
        <v>7</v>
      </c>
      <c r="C175" s="107">
        <v>3</v>
      </c>
    </row>
    <row r="176" spans="1:3" x14ac:dyDescent="0.25">
      <c r="A176" s="107">
        <v>174</v>
      </c>
      <c r="B176" s="107">
        <v>11</v>
      </c>
      <c r="C176" s="107">
        <v>2</v>
      </c>
    </row>
    <row r="177" spans="1:3" x14ac:dyDescent="0.25">
      <c r="A177" s="107">
        <v>175</v>
      </c>
      <c r="B177" s="107">
        <v>60</v>
      </c>
      <c r="C177" s="107">
        <v>5</v>
      </c>
    </row>
    <row r="178" spans="1:3" x14ac:dyDescent="0.25">
      <c r="A178" s="107">
        <v>176</v>
      </c>
      <c r="B178" s="107">
        <v>68</v>
      </c>
      <c r="C178" s="107">
        <v>4</v>
      </c>
    </row>
    <row r="179" spans="1:3" x14ac:dyDescent="0.25">
      <c r="A179" s="107">
        <v>177</v>
      </c>
      <c r="B179" s="107">
        <v>6</v>
      </c>
      <c r="C179" s="107">
        <v>3</v>
      </c>
    </row>
    <row r="180" spans="1:3" x14ac:dyDescent="0.25">
      <c r="A180" s="107">
        <v>178</v>
      </c>
      <c r="B180" s="107">
        <v>6</v>
      </c>
      <c r="C180" s="107">
        <v>4</v>
      </c>
    </row>
    <row r="181" spans="1:3" x14ac:dyDescent="0.25">
      <c r="A181" s="107">
        <v>179</v>
      </c>
      <c r="B181" s="107">
        <v>32</v>
      </c>
      <c r="C181" s="107">
        <v>5</v>
      </c>
    </row>
    <row r="182" spans="1:3" x14ac:dyDescent="0.25">
      <c r="A182" s="107">
        <v>180</v>
      </c>
      <c r="B182" s="107">
        <v>6</v>
      </c>
      <c r="C182" s="107">
        <v>6</v>
      </c>
    </row>
    <row r="183" spans="1:3" x14ac:dyDescent="0.25">
      <c r="A183" s="107">
        <v>181</v>
      </c>
      <c r="B183" s="107">
        <v>48</v>
      </c>
      <c r="C183" s="107">
        <v>5</v>
      </c>
    </row>
    <row r="184" spans="1:3" x14ac:dyDescent="0.25">
      <c r="A184" s="107">
        <v>182</v>
      </c>
      <c r="B184" s="107">
        <v>33</v>
      </c>
      <c r="C184" s="107">
        <v>4</v>
      </c>
    </row>
    <row r="185" spans="1:3" x14ac:dyDescent="0.25">
      <c r="A185" s="107">
        <v>183</v>
      </c>
      <c r="B185" s="107">
        <v>6</v>
      </c>
      <c r="C185" s="107">
        <v>4</v>
      </c>
    </row>
    <row r="186" spans="1:3" x14ac:dyDescent="0.25">
      <c r="A186" s="107">
        <v>184</v>
      </c>
      <c r="B186" s="107">
        <v>3</v>
      </c>
      <c r="C186" s="107">
        <v>1</v>
      </c>
    </row>
    <row r="187" spans="1:3" x14ac:dyDescent="0.25">
      <c r="A187" s="107">
        <v>185</v>
      </c>
      <c r="B187" s="107">
        <v>31</v>
      </c>
      <c r="C187" s="107">
        <v>5</v>
      </c>
    </row>
    <row r="188" spans="1:3" x14ac:dyDescent="0.25">
      <c r="A188" s="107">
        <v>186</v>
      </c>
      <c r="B188" s="107">
        <v>5</v>
      </c>
      <c r="C188" s="107">
        <v>4</v>
      </c>
    </row>
    <row r="189" spans="1:3" x14ac:dyDescent="0.25">
      <c r="A189" s="107">
        <v>187</v>
      </c>
      <c r="B189" s="107">
        <v>108</v>
      </c>
      <c r="C189" s="107">
        <v>8</v>
      </c>
    </row>
    <row r="190" spans="1:3" x14ac:dyDescent="0.25">
      <c r="A190" s="107">
        <v>188</v>
      </c>
      <c r="B190" s="107">
        <v>19</v>
      </c>
      <c r="C190" s="107">
        <v>2</v>
      </c>
    </row>
    <row r="191" spans="1:3" x14ac:dyDescent="0.25">
      <c r="A191" s="107">
        <v>189</v>
      </c>
      <c r="B191" s="107">
        <v>14</v>
      </c>
      <c r="C191" s="107">
        <v>0</v>
      </c>
    </row>
    <row r="192" spans="1:3" x14ac:dyDescent="0.25">
      <c r="A192" s="107">
        <v>190</v>
      </c>
      <c r="B192" s="107">
        <v>3</v>
      </c>
      <c r="C192" s="107">
        <v>0</v>
      </c>
    </row>
    <row r="193" spans="1:3" x14ac:dyDescent="0.25">
      <c r="A193" s="107">
        <v>191</v>
      </c>
      <c r="B193" s="107">
        <v>0</v>
      </c>
      <c r="C193" s="107">
        <v>0</v>
      </c>
    </row>
    <row r="194" spans="1:3" x14ac:dyDescent="0.25">
      <c r="A194" s="107">
        <v>192</v>
      </c>
      <c r="B194" s="107">
        <v>0</v>
      </c>
      <c r="C194" s="107">
        <v>0</v>
      </c>
    </row>
    <row r="195" spans="1:3" x14ac:dyDescent="0.25">
      <c r="A195" s="107">
        <v>193</v>
      </c>
      <c r="B195" s="107">
        <v>172</v>
      </c>
      <c r="C195" s="107">
        <v>0</v>
      </c>
    </row>
    <row r="196" spans="1:3" x14ac:dyDescent="0.25">
      <c r="A196" s="107">
        <v>194</v>
      </c>
      <c r="B196" s="107">
        <v>0</v>
      </c>
      <c r="C196" s="107">
        <v>0</v>
      </c>
    </row>
    <row r="197" spans="1:3" x14ac:dyDescent="0.25">
      <c r="A197" s="107">
        <v>195</v>
      </c>
      <c r="B197" s="107">
        <v>0</v>
      </c>
      <c r="C197" s="107">
        <v>0</v>
      </c>
    </row>
    <row r="198" spans="1:3" x14ac:dyDescent="0.25">
      <c r="A198" s="107">
        <v>196</v>
      </c>
      <c r="B198" s="107">
        <v>7</v>
      </c>
      <c r="C198" s="107">
        <v>0</v>
      </c>
    </row>
    <row r="199" spans="1:3" x14ac:dyDescent="0.25">
      <c r="A199" s="107">
        <v>197</v>
      </c>
      <c r="B199" s="107">
        <v>4</v>
      </c>
      <c r="C199" s="107">
        <v>3</v>
      </c>
    </row>
    <row r="200" spans="1:3" x14ac:dyDescent="0.25">
      <c r="A200" s="107">
        <v>198</v>
      </c>
      <c r="B200" s="107">
        <v>7</v>
      </c>
      <c r="C200" s="107">
        <v>0</v>
      </c>
    </row>
    <row r="201" spans="1:3" x14ac:dyDescent="0.25">
      <c r="A201" s="107">
        <v>199</v>
      </c>
      <c r="B201" s="107">
        <v>44</v>
      </c>
      <c r="C201" s="107">
        <v>2</v>
      </c>
    </row>
    <row r="202" spans="1:3" x14ac:dyDescent="0.25">
      <c r="A202" s="107">
        <v>200</v>
      </c>
      <c r="B202" s="107">
        <v>24</v>
      </c>
      <c r="C202" s="107">
        <v>6</v>
      </c>
    </row>
    <row r="203" spans="1:3" x14ac:dyDescent="0.25">
      <c r="A203" s="107">
        <v>201</v>
      </c>
      <c r="B203" s="107">
        <v>6</v>
      </c>
      <c r="C203" s="107">
        <v>2</v>
      </c>
    </row>
    <row r="204" spans="1:3" x14ac:dyDescent="0.25">
      <c r="A204" s="107">
        <v>202</v>
      </c>
      <c r="B204" s="107">
        <v>5</v>
      </c>
      <c r="C204" s="107">
        <v>0</v>
      </c>
    </row>
    <row r="205" spans="1:3" x14ac:dyDescent="0.25">
      <c r="A205" s="107">
        <v>203</v>
      </c>
      <c r="B205" s="107">
        <v>8</v>
      </c>
      <c r="C205" s="107">
        <v>0</v>
      </c>
    </row>
    <row r="206" spans="1:3" x14ac:dyDescent="0.25">
      <c r="A206" s="107">
        <v>204</v>
      </c>
      <c r="B206" s="107">
        <v>62</v>
      </c>
      <c r="C206" s="107">
        <v>0</v>
      </c>
    </row>
    <row r="207" spans="1:3" x14ac:dyDescent="0.25">
      <c r="A207" s="107">
        <v>205</v>
      </c>
      <c r="B207" s="107">
        <v>16</v>
      </c>
      <c r="C207" s="107">
        <v>0</v>
      </c>
    </row>
    <row r="208" spans="1:3" x14ac:dyDescent="0.25">
      <c r="A208" s="107">
        <v>206</v>
      </c>
      <c r="B208" s="107">
        <v>29</v>
      </c>
      <c r="C208" s="107">
        <v>0</v>
      </c>
    </row>
    <row r="209" spans="1:3" x14ac:dyDescent="0.25">
      <c r="A209" s="107">
        <v>207</v>
      </c>
      <c r="B209" s="107">
        <v>17</v>
      </c>
      <c r="C209" s="107">
        <v>0</v>
      </c>
    </row>
    <row r="210" spans="1:3" x14ac:dyDescent="0.25">
      <c r="A210" s="107">
        <v>208</v>
      </c>
      <c r="B210" s="107">
        <v>1</v>
      </c>
      <c r="C210" s="107">
        <v>1</v>
      </c>
    </row>
    <row r="211" spans="1:3" x14ac:dyDescent="0.25">
      <c r="A211" s="107">
        <v>209</v>
      </c>
      <c r="B211" s="107">
        <v>26</v>
      </c>
      <c r="C211" s="107">
        <v>2</v>
      </c>
    </row>
    <row r="212" spans="1:3" x14ac:dyDescent="0.25">
      <c r="A212" s="107">
        <v>210</v>
      </c>
      <c r="B212" s="107">
        <v>17</v>
      </c>
      <c r="C212" s="107">
        <v>7</v>
      </c>
    </row>
    <row r="213" spans="1:3" x14ac:dyDescent="0.25">
      <c r="A213" s="107">
        <v>211</v>
      </c>
      <c r="B213" s="107">
        <v>7</v>
      </c>
      <c r="C213" s="107">
        <v>3</v>
      </c>
    </row>
    <row r="214" spans="1:3" x14ac:dyDescent="0.25">
      <c r="A214" s="107">
        <v>212</v>
      </c>
      <c r="B214" s="107">
        <v>4</v>
      </c>
      <c r="C214" s="107">
        <v>1</v>
      </c>
    </row>
    <row r="215" spans="1:3" x14ac:dyDescent="0.25">
      <c r="A215" s="107">
        <v>213</v>
      </c>
      <c r="B215" s="107">
        <v>20</v>
      </c>
      <c r="C215" s="107">
        <v>7</v>
      </c>
    </row>
    <row r="216" spans="1:3" x14ac:dyDescent="0.25">
      <c r="A216" s="107">
        <v>214</v>
      </c>
      <c r="B216" s="107">
        <v>16</v>
      </c>
      <c r="C216" s="107">
        <v>5</v>
      </c>
    </row>
    <row r="217" spans="1:3" x14ac:dyDescent="0.25">
      <c r="A217" s="107">
        <v>215</v>
      </c>
      <c r="B217" s="107">
        <v>8</v>
      </c>
      <c r="C217" s="107">
        <v>8</v>
      </c>
    </row>
    <row r="218" spans="1:3" x14ac:dyDescent="0.25">
      <c r="A218" s="107">
        <v>216</v>
      </c>
      <c r="B218" s="107">
        <v>0</v>
      </c>
      <c r="C218" s="107">
        <v>0</v>
      </c>
    </row>
    <row r="219" spans="1:3" x14ac:dyDescent="0.25">
      <c r="A219" s="107">
        <v>217</v>
      </c>
      <c r="B219" s="107">
        <v>3</v>
      </c>
      <c r="C219" s="107">
        <v>1</v>
      </c>
    </row>
    <row r="220" spans="1:3" x14ac:dyDescent="0.25">
      <c r="A220" s="107">
        <v>218</v>
      </c>
      <c r="B220" s="107">
        <v>1</v>
      </c>
      <c r="C220" s="107">
        <v>1</v>
      </c>
    </row>
    <row r="221" spans="1:3" x14ac:dyDescent="0.25">
      <c r="A221" s="107">
        <v>219</v>
      </c>
      <c r="B221" s="107">
        <v>25</v>
      </c>
      <c r="C221" s="107">
        <v>5</v>
      </c>
    </row>
    <row r="222" spans="1:3" x14ac:dyDescent="0.25">
      <c r="A222" s="107">
        <v>220</v>
      </c>
      <c r="B222" s="107">
        <v>15</v>
      </c>
      <c r="C222" s="107">
        <v>11</v>
      </c>
    </row>
    <row r="223" spans="1:3" x14ac:dyDescent="0.25">
      <c r="A223" s="107">
        <v>221</v>
      </c>
      <c r="B223" s="107">
        <v>15</v>
      </c>
      <c r="C223" s="107">
        <v>7</v>
      </c>
    </row>
    <row r="224" spans="1:3" x14ac:dyDescent="0.25">
      <c r="A224" s="107">
        <v>222</v>
      </c>
      <c r="B224" s="107">
        <v>4</v>
      </c>
      <c r="C224" s="107">
        <v>2</v>
      </c>
    </row>
    <row r="225" spans="1:3" x14ac:dyDescent="0.25">
      <c r="A225" s="107">
        <v>223</v>
      </c>
      <c r="B225" s="107">
        <v>17</v>
      </c>
      <c r="C225" s="107">
        <v>3</v>
      </c>
    </row>
    <row r="226" spans="1:3" x14ac:dyDescent="0.25">
      <c r="A226" s="107">
        <v>224</v>
      </c>
      <c r="B226" s="107">
        <v>8</v>
      </c>
      <c r="C226" s="107">
        <v>4</v>
      </c>
    </row>
    <row r="227" spans="1:3" x14ac:dyDescent="0.25">
      <c r="A227" s="107">
        <v>225</v>
      </c>
      <c r="B227" s="107">
        <v>393</v>
      </c>
      <c r="C227" s="107">
        <v>2</v>
      </c>
    </row>
    <row r="228" spans="1:3" x14ac:dyDescent="0.25">
      <c r="A228" s="107">
        <v>226</v>
      </c>
      <c r="B228" s="107">
        <v>6</v>
      </c>
      <c r="C228" s="107">
        <v>4</v>
      </c>
    </row>
    <row r="229" spans="1:3" x14ac:dyDescent="0.25">
      <c r="A229" s="107">
        <v>227</v>
      </c>
      <c r="B229" s="107">
        <v>44</v>
      </c>
      <c r="C229" s="107">
        <v>5</v>
      </c>
    </row>
    <row r="230" spans="1:3" x14ac:dyDescent="0.25">
      <c r="A230" s="107">
        <v>228</v>
      </c>
      <c r="B230" s="107">
        <v>17</v>
      </c>
      <c r="C230" s="107">
        <v>7</v>
      </c>
    </row>
    <row r="231" spans="1:3" x14ac:dyDescent="0.25">
      <c r="A231" s="107">
        <v>229</v>
      </c>
      <c r="B231" s="107">
        <v>38</v>
      </c>
      <c r="C231" s="107">
        <v>6</v>
      </c>
    </row>
    <row r="232" spans="1:3" x14ac:dyDescent="0.25">
      <c r="A232" s="107">
        <v>230</v>
      </c>
      <c r="B232" s="107">
        <v>11</v>
      </c>
      <c r="C232" s="107">
        <v>3</v>
      </c>
    </row>
    <row r="233" spans="1:3" x14ac:dyDescent="0.25">
      <c r="A233" s="107">
        <v>231</v>
      </c>
      <c r="B233" s="107">
        <v>4</v>
      </c>
      <c r="C233" s="107">
        <v>3</v>
      </c>
    </row>
    <row r="234" spans="1:3" x14ac:dyDescent="0.25">
      <c r="A234" s="107">
        <v>232</v>
      </c>
      <c r="B234" s="107">
        <v>3</v>
      </c>
      <c r="C234" s="107">
        <v>3</v>
      </c>
    </row>
    <row r="235" spans="1:3" x14ac:dyDescent="0.25">
      <c r="A235" s="107">
        <v>233</v>
      </c>
      <c r="B235" s="107">
        <v>21</v>
      </c>
      <c r="C235" s="107">
        <v>4</v>
      </c>
    </row>
    <row r="236" spans="1:3" x14ac:dyDescent="0.25">
      <c r="A236" s="107">
        <v>234</v>
      </c>
      <c r="B236" s="107">
        <v>8</v>
      </c>
      <c r="C236" s="107">
        <v>8</v>
      </c>
    </row>
    <row r="237" spans="1:3" x14ac:dyDescent="0.25">
      <c r="A237" s="107">
        <v>235</v>
      </c>
      <c r="B237" s="107">
        <v>20</v>
      </c>
      <c r="C237" s="107">
        <v>17</v>
      </c>
    </row>
    <row r="238" spans="1:3" x14ac:dyDescent="0.25">
      <c r="A238" s="107">
        <v>236</v>
      </c>
      <c r="B238" s="107">
        <v>11</v>
      </c>
      <c r="C238" s="107">
        <v>8</v>
      </c>
    </row>
    <row r="239" spans="1:3" x14ac:dyDescent="0.25">
      <c r="A239" s="107">
        <v>237</v>
      </c>
      <c r="B239" s="107">
        <v>19</v>
      </c>
      <c r="C239" s="107">
        <v>16</v>
      </c>
    </row>
    <row r="240" spans="1:3" x14ac:dyDescent="0.25">
      <c r="A240" s="107">
        <v>238</v>
      </c>
      <c r="B240" s="107">
        <v>19</v>
      </c>
      <c r="C240" s="107">
        <v>6</v>
      </c>
    </row>
    <row r="241" spans="1:3" x14ac:dyDescent="0.25">
      <c r="A241" s="107">
        <v>239</v>
      </c>
      <c r="B241" s="107">
        <v>62</v>
      </c>
      <c r="C241" s="107">
        <v>15</v>
      </c>
    </row>
    <row r="242" spans="1:3" x14ac:dyDescent="0.25">
      <c r="A242" s="107">
        <v>240</v>
      </c>
      <c r="B242" s="107">
        <v>7</v>
      </c>
      <c r="C242" s="107">
        <v>6</v>
      </c>
    </row>
    <row r="243" spans="1:3" x14ac:dyDescent="0.25">
      <c r="A243" s="107">
        <v>241</v>
      </c>
      <c r="B243" s="107">
        <v>69</v>
      </c>
      <c r="C243" s="107">
        <v>14</v>
      </c>
    </row>
    <row r="244" spans="1:3" x14ac:dyDescent="0.25">
      <c r="A244" s="107">
        <v>242</v>
      </c>
      <c r="B244" s="107">
        <v>29</v>
      </c>
      <c r="C244" s="107">
        <v>8</v>
      </c>
    </row>
    <row r="245" spans="1:3" x14ac:dyDescent="0.25">
      <c r="A245" s="107">
        <v>243</v>
      </c>
      <c r="B245" s="107">
        <v>15</v>
      </c>
      <c r="C245" s="107">
        <v>3</v>
      </c>
    </row>
    <row r="246" spans="1:3" x14ac:dyDescent="0.25">
      <c r="A246" s="107">
        <v>244</v>
      </c>
      <c r="B246" s="107">
        <v>3</v>
      </c>
      <c r="C246" s="107">
        <v>3</v>
      </c>
    </row>
    <row r="247" spans="1:3" x14ac:dyDescent="0.25">
      <c r="A247" s="107">
        <v>245</v>
      </c>
      <c r="B247" s="107">
        <v>20</v>
      </c>
      <c r="C247" s="107">
        <v>3</v>
      </c>
    </row>
    <row r="248" spans="1:3" x14ac:dyDescent="0.25">
      <c r="A248" s="107">
        <v>246</v>
      </c>
      <c r="B248" s="107">
        <v>7</v>
      </c>
      <c r="C248" s="107">
        <v>2</v>
      </c>
    </row>
    <row r="249" spans="1:3" x14ac:dyDescent="0.25">
      <c r="A249" s="107">
        <v>247</v>
      </c>
      <c r="B249" s="107">
        <v>27</v>
      </c>
      <c r="C249" s="107">
        <v>11</v>
      </c>
    </row>
    <row r="250" spans="1:3" x14ac:dyDescent="0.25">
      <c r="A250" s="107">
        <v>248</v>
      </c>
      <c r="B250" s="107">
        <v>18</v>
      </c>
      <c r="C250" s="107">
        <v>2</v>
      </c>
    </row>
    <row r="251" spans="1:3" x14ac:dyDescent="0.25">
      <c r="A251" s="107">
        <v>249</v>
      </c>
      <c r="B251" s="107">
        <v>93</v>
      </c>
      <c r="C251" s="107">
        <v>17</v>
      </c>
    </row>
    <row r="252" spans="1:3" x14ac:dyDescent="0.25">
      <c r="A252" s="107">
        <v>250</v>
      </c>
      <c r="B252" s="107">
        <v>60</v>
      </c>
      <c r="C252" s="107">
        <v>12</v>
      </c>
    </row>
    <row r="253" spans="1:3" x14ac:dyDescent="0.25">
      <c r="A253" s="107">
        <v>251</v>
      </c>
      <c r="B253" s="107">
        <v>2</v>
      </c>
      <c r="C253" s="107">
        <v>2</v>
      </c>
    </row>
    <row r="254" spans="1:3" x14ac:dyDescent="0.25">
      <c r="A254" s="107">
        <v>252</v>
      </c>
      <c r="B254" s="107">
        <v>24</v>
      </c>
      <c r="C254" s="107">
        <v>4</v>
      </c>
    </row>
    <row r="255" spans="1:3" x14ac:dyDescent="0.25">
      <c r="A255" s="107">
        <v>253</v>
      </c>
      <c r="B255" s="107">
        <v>1</v>
      </c>
      <c r="C255" s="107">
        <v>1</v>
      </c>
    </row>
    <row r="256" spans="1:3" x14ac:dyDescent="0.25">
      <c r="A256" s="107">
        <v>254</v>
      </c>
      <c r="B256" s="107">
        <v>18</v>
      </c>
      <c r="C256" s="107">
        <v>15</v>
      </c>
    </row>
    <row r="257" spans="1:3" x14ac:dyDescent="0.25">
      <c r="A257" s="107">
        <v>255</v>
      </c>
      <c r="B257" s="107">
        <v>11</v>
      </c>
      <c r="C257" s="107">
        <v>6</v>
      </c>
    </row>
    <row r="258" spans="1:3" x14ac:dyDescent="0.25">
      <c r="A258" s="107">
        <v>256</v>
      </c>
      <c r="B258" s="107">
        <v>29</v>
      </c>
      <c r="C258" s="107">
        <v>0</v>
      </c>
    </row>
    <row r="259" spans="1:3" x14ac:dyDescent="0.25">
      <c r="A259" s="107">
        <v>257</v>
      </c>
      <c r="B259" s="107">
        <v>7</v>
      </c>
      <c r="C259" s="107">
        <v>0</v>
      </c>
    </row>
    <row r="260" spans="1:3" x14ac:dyDescent="0.25">
      <c r="A260" s="107">
        <v>258</v>
      </c>
      <c r="B260" s="107">
        <v>33</v>
      </c>
      <c r="C260" s="107">
        <v>0</v>
      </c>
    </row>
    <row r="261" spans="1:3" x14ac:dyDescent="0.25">
      <c r="A261" s="107">
        <v>259</v>
      </c>
      <c r="B261" s="107">
        <v>7</v>
      </c>
      <c r="C261" s="107">
        <v>0</v>
      </c>
    </row>
    <row r="262" spans="1:3" x14ac:dyDescent="0.25">
      <c r="A262" s="107">
        <v>260</v>
      </c>
      <c r="B262" s="107">
        <v>2</v>
      </c>
      <c r="C262" s="107">
        <v>0</v>
      </c>
    </row>
    <row r="263" spans="1:3" x14ac:dyDescent="0.25">
      <c r="A263" s="107">
        <v>261</v>
      </c>
      <c r="B263" s="107">
        <v>15</v>
      </c>
      <c r="C263" s="107">
        <v>0</v>
      </c>
    </row>
    <row r="264" spans="1:3" x14ac:dyDescent="0.25">
      <c r="A264" s="107">
        <v>262</v>
      </c>
      <c r="B264" s="107">
        <v>0</v>
      </c>
      <c r="C264" s="107">
        <v>0</v>
      </c>
    </row>
    <row r="265" spans="1:3" x14ac:dyDescent="0.25">
      <c r="A265" s="107">
        <v>263</v>
      </c>
      <c r="B265" s="107">
        <v>3</v>
      </c>
      <c r="C265" s="107">
        <v>0</v>
      </c>
    </row>
    <row r="266" spans="1:3" x14ac:dyDescent="0.25">
      <c r="A266" s="107">
        <v>264</v>
      </c>
      <c r="B266" s="107">
        <v>1</v>
      </c>
      <c r="C266" s="107">
        <v>0</v>
      </c>
    </row>
    <row r="267" spans="1:3" x14ac:dyDescent="0.25">
      <c r="A267" s="107">
        <v>265</v>
      </c>
      <c r="B267" s="107">
        <v>11</v>
      </c>
      <c r="C267" s="107">
        <v>0</v>
      </c>
    </row>
    <row r="268" spans="1:3" x14ac:dyDescent="0.25">
      <c r="A268" s="107">
        <v>266</v>
      </c>
      <c r="B268" s="107">
        <v>5</v>
      </c>
      <c r="C268" s="107">
        <v>0</v>
      </c>
    </row>
    <row r="269" spans="1:3" x14ac:dyDescent="0.25">
      <c r="A269" s="107">
        <v>267</v>
      </c>
      <c r="B269" s="107">
        <v>46</v>
      </c>
      <c r="C269" s="107">
        <v>17</v>
      </c>
    </row>
    <row r="270" spans="1:3" x14ac:dyDescent="0.25">
      <c r="A270" s="107">
        <v>268</v>
      </c>
      <c r="B270" s="107">
        <v>270</v>
      </c>
      <c r="C270" s="107">
        <v>3</v>
      </c>
    </row>
    <row r="271" spans="1:3" x14ac:dyDescent="0.25">
      <c r="A271" s="107">
        <v>269</v>
      </c>
      <c r="B271" s="107">
        <v>47</v>
      </c>
      <c r="C271" s="107">
        <v>2</v>
      </c>
    </row>
    <row r="272" spans="1:3" x14ac:dyDescent="0.25">
      <c r="A272" s="107">
        <v>270</v>
      </c>
      <c r="B272" s="107">
        <v>24</v>
      </c>
      <c r="C272" s="107">
        <v>4</v>
      </c>
    </row>
    <row r="273" spans="1:3" x14ac:dyDescent="0.25">
      <c r="A273" s="107">
        <v>271</v>
      </c>
      <c r="B273" s="107">
        <v>11</v>
      </c>
      <c r="C273" s="107">
        <v>2</v>
      </c>
    </row>
    <row r="274" spans="1:3" x14ac:dyDescent="0.25">
      <c r="A274" s="107">
        <v>272</v>
      </c>
      <c r="B274" s="107">
        <v>36</v>
      </c>
      <c r="C274" s="107">
        <v>9</v>
      </c>
    </row>
    <row r="275" spans="1:3" x14ac:dyDescent="0.25">
      <c r="A275" s="107">
        <v>273</v>
      </c>
      <c r="B275" s="107">
        <v>44</v>
      </c>
      <c r="C275" s="107">
        <v>7</v>
      </c>
    </row>
    <row r="276" spans="1:3" x14ac:dyDescent="0.25">
      <c r="A276" s="107">
        <v>274</v>
      </c>
      <c r="B276" s="107">
        <v>6</v>
      </c>
      <c r="C276" s="107">
        <v>6</v>
      </c>
    </row>
    <row r="277" spans="1:3" x14ac:dyDescent="0.25">
      <c r="A277" s="107">
        <v>275</v>
      </c>
      <c r="B277" s="107">
        <v>10</v>
      </c>
      <c r="C277" s="107">
        <v>2</v>
      </c>
    </row>
    <row r="278" spans="1:3" x14ac:dyDescent="0.25">
      <c r="A278" s="107">
        <v>276</v>
      </c>
      <c r="B278" s="107">
        <v>5</v>
      </c>
      <c r="C278" s="107">
        <v>3</v>
      </c>
    </row>
    <row r="279" spans="1:3" x14ac:dyDescent="0.25">
      <c r="A279" s="107">
        <v>277</v>
      </c>
      <c r="B279" s="107">
        <v>1</v>
      </c>
      <c r="C279" s="107">
        <v>1</v>
      </c>
    </row>
    <row r="280" spans="1:3" x14ac:dyDescent="0.25">
      <c r="A280" s="107">
        <v>278</v>
      </c>
      <c r="B280" s="107">
        <v>6</v>
      </c>
      <c r="C280" s="107">
        <v>1</v>
      </c>
    </row>
    <row r="281" spans="1:3" x14ac:dyDescent="0.25">
      <c r="A281" s="107">
        <v>279</v>
      </c>
      <c r="B281" s="107">
        <v>18</v>
      </c>
      <c r="C281" s="107">
        <v>0</v>
      </c>
    </row>
    <row r="282" spans="1:3" x14ac:dyDescent="0.25">
      <c r="A282" s="107">
        <v>280</v>
      </c>
      <c r="B282" s="107">
        <v>3</v>
      </c>
      <c r="C282" s="107">
        <v>0</v>
      </c>
    </row>
    <row r="283" spans="1:3" x14ac:dyDescent="0.25">
      <c r="A283" s="107">
        <v>281</v>
      </c>
      <c r="B283" s="107">
        <v>1</v>
      </c>
      <c r="C283" s="107">
        <v>0</v>
      </c>
    </row>
    <row r="284" spans="1:3" x14ac:dyDescent="0.25">
      <c r="A284" s="107">
        <v>282</v>
      </c>
      <c r="B284" s="107">
        <v>42</v>
      </c>
      <c r="C284" s="107">
        <v>1</v>
      </c>
    </row>
    <row r="285" spans="1:3" x14ac:dyDescent="0.25">
      <c r="A285" s="107">
        <v>283</v>
      </c>
      <c r="B285" s="107">
        <v>0</v>
      </c>
      <c r="C285" s="107">
        <v>0</v>
      </c>
    </row>
    <row r="286" spans="1:3" x14ac:dyDescent="0.25">
      <c r="A286" s="107">
        <v>284</v>
      </c>
      <c r="B286" s="107">
        <v>0</v>
      </c>
      <c r="C286" s="107">
        <v>0</v>
      </c>
    </row>
    <row r="287" spans="1:3" x14ac:dyDescent="0.25">
      <c r="A287" s="107">
        <v>285</v>
      </c>
      <c r="B287" s="107">
        <v>0</v>
      </c>
      <c r="C287" s="107">
        <v>0</v>
      </c>
    </row>
    <row r="288" spans="1:3" x14ac:dyDescent="0.25">
      <c r="A288" s="107">
        <v>286</v>
      </c>
      <c r="B288" s="107">
        <v>15</v>
      </c>
      <c r="C288" s="107">
        <v>14</v>
      </c>
    </row>
    <row r="289" spans="1:3" x14ac:dyDescent="0.25">
      <c r="A289" s="107">
        <v>287</v>
      </c>
      <c r="B289" s="107">
        <v>56</v>
      </c>
      <c r="C289" s="107">
        <v>21</v>
      </c>
    </row>
    <row r="290" spans="1:3" x14ac:dyDescent="0.25">
      <c r="A290" s="107">
        <v>288</v>
      </c>
      <c r="B290" s="107">
        <v>3</v>
      </c>
      <c r="C290" s="107">
        <v>3</v>
      </c>
    </row>
    <row r="291" spans="1:3" x14ac:dyDescent="0.25">
      <c r="A291" s="107">
        <v>289</v>
      </c>
      <c r="B291" s="107">
        <v>15</v>
      </c>
      <c r="C291" s="107">
        <v>5</v>
      </c>
    </row>
    <row r="292" spans="1:3" x14ac:dyDescent="0.25">
      <c r="A292" s="107">
        <v>290</v>
      </c>
      <c r="B292" s="107">
        <v>35</v>
      </c>
      <c r="C292" s="107">
        <v>17</v>
      </c>
    </row>
    <row r="293" spans="1:3" x14ac:dyDescent="0.25">
      <c r="A293" s="107">
        <v>291</v>
      </c>
      <c r="B293" s="107">
        <v>4</v>
      </c>
      <c r="C293" s="107">
        <v>2</v>
      </c>
    </row>
    <row r="294" spans="1:3" x14ac:dyDescent="0.25">
      <c r="A294" s="107">
        <v>292</v>
      </c>
      <c r="B294" s="107">
        <v>1</v>
      </c>
      <c r="C294" s="107">
        <v>1</v>
      </c>
    </row>
    <row r="295" spans="1:3" x14ac:dyDescent="0.25">
      <c r="A295" s="107">
        <v>293</v>
      </c>
      <c r="B295" s="107">
        <v>14</v>
      </c>
      <c r="C295" s="107">
        <v>9</v>
      </c>
    </row>
    <row r="296" spans="1:3" x14ac:dyDescent="0.25">
      <c r="A296" s="107">
        <v>294</v>
      </c>
      <c r="B296" s="107">
        <v>3</v>
      </c>
      <c r="C296" s="107">
        <v>2</v>
      </c>
    </row>
    <row r="297" spans="1:3" x14ac:dyDescent="0.25">
      <c r="A297" s="107">
        <v>295</v>
      </c>
      <c r="B297" s="107">
        <v>2</v>
      </c>
      <c r="C297" s="107">
        <v>2</v>
      </c>
    </row>
    <row r="298" spans="1:3" x14ac:dyDescent="0.25">
      <c r="A298" s="107">
        <v>296</v>
      </c>
      <c r="B298" s="107">
        <v>10</v>
      </c>
      <c r="C298" s="107">
        <v>4</v>
      </c>
    </row>
    <row r="299" spans="1:3" x14ac:dyDescent="0.25">
      <c r="A299" s="107">
        <v>297</v>
      </c>
      <c r="B299" s="107">
        <v>6</v>
      </c>
      <c r="C299" s="107">
        <v>0</v>
      </c>
    </row>
    <row r="300" spans="1:3" x14ac:dyDescent="0.25">
      <c r="A300" s="107">
        <v>298</v>
      </c>
      <c r="B300" s="107">
        <v>14</v>
      </c>
      <c r="C300" s="107">
        <v>1</v>
      </c>
    </row>
    <row r="301" spans="1:3" x14ac:dyDescent="0.25">
      <c r="A301" s="107">
        <v>299</v>
      </c>
      <c r="B301" s="107">
        <v>6</v>
      </c>
      <c r="C301" s="107">
        <v>4</v>
      </c>
    </row>
    <row r="302" spans="1:3" x14ac:dyDescent="0.25">
      <c r="A302" s="107">
        <v>300</v>
      </c>
      <c r="B302" s="107">
        <v>4</v>
      </c>
      <c r="C302" s="107">
        <v>0</v>
      </c>
    </row>
    <row r="303" spans="1:3" x14ac:dyDescent="0.25">
      <c r="A303" s="107">
        <v>301</v>
      </c>
      <c r="B303" s="107">
        <v>22</v>
      </c>
      <c r="C303" s="107">
        <v>3</v>
      </c>
    </row>
    <row r="304" spans="1:3" x14ac:dyDescent="0.25">
      <c r="A304" s="107">
        <v>302</v>
      </c>
      <c r="B304" s="107">
        <v>12</v>
      </c>
      <c r="C304" s="107">
        <v>0</v>
      </c>
    </row>
    <row r="305" spans="1:3" x14ac:dyDescent="0.25">
      <c r="A305" s="107">
        <v>303</v>
      </c>
      <c r="B305" s="107">
        <v>6</v>
      </c>
      <c r="C305" s="107">
        <v>0</v>
      </c>
    </row>
    <row r="306" spans="1:3" x14ac:dyDescent="0.25">
      <c r="A306" s="107">
        <v>304</v>
      </c>
      <c r="B306" s="107">
        <v>1</v>
      </c>
      <c r="C306" s="107">
        <v>1</v>
      </c>
    </row>
    <row r="307" spans="1:3" x14ac:dyDescent="0.25">
      <c r="A307" s="107">
        <v>305</v>
      </c>
      <c r="B307" s="107">
        <v>34</v>
      </c>
      <c r="C307" s="107">
        <v>1</v>
      </c>
    </row>
    <row r="308" spans="1:3" x14ac:dyDescent="0.25">
      <c r="A308" s="107">
        <v>306</v>
      </c>
      <c r="B308" s="107">
        <v>67</v>
      </c>
      <c r="C308" s="107">
        <v>5</v>
      </c>
    </row>
    <row r="309" spans="1:3" x14ac:dyDescent="0.25">
      <c r="A309" s="107">
        <v>307</v>
      </c>
      <c r="B309" s="107">
        <v>109</v>
      </c>
      <c r="C309" s="107">
        <v>3</v>
      </c>
    </row>
    <row r="310" spans="1:3" x14ac:dyDescent="0.25">
      <c r="A310" s="107">
        <v>308</v>
      </c>
      <c r="B310" s="107">
        <v>1</v>
      </c>
      <c r="C310" s="107">
        <v>1</v>
      </c>
    </row>
    <row r="311" spans="1:3" x14ac:dyDescent="0.25">
      <c r="A311" s="107">
        <v>309</v>
      </c>
      <c r="B311" s="107">
        <v>2</v>
      </c>
      <c r="C311" s="107">
        <v>1</v>
      </c>
    </row>
    <row r="312" spans="1:3" x14ac:dyDescent="0.25">
      <c r="A312" s="107">
        <v>310</v>
      </c>
      <c r="B312" s="107">
        <v>13</v>
      </c>
      <c r="C312" s="107">
        <v>0</v>
      </c>
    </row>
    <row r="313" spans="1:3" x14ac:dyDescent="0.25">
      <c r="A313" s="107">
        <v>311</v>
      </c>
      <c r="B313" s="107">
        <v>2</v>
      </c>
      <c r="C313" s="107">
        <v>0</v>
      </c>
    </row>
    <row r="314" spans="1:3" x14ac:dyDescent="0.25">
      <c r="A314" s="107">
        <v>312</v>
      </c>
      <c r="B314" s="107">
        <v>11</v>
      </c>
      <c r="C314" s="107">
        <v>0</v>
      </c>
    </row>
    <row r="315" spans="1:3" x14ac:dyDescent="0.25">
      <c r="A315" s="107">
        <v>313</v>
      </c>
      <c r="B315" s="107">
        <v>2</v>
      </c>
      <c r="C315" s="107">
        <v>0</v>
      </c>
    </row>
    <row r="316" spans="1:3" x14ac:dyDescent="0.25">
      <c r="A316" s="107">
        <v>314</v>
      </c>
      <c r="B316" s="107">
        <v>11</v>
      </c>
      <c r="C316" s="107">
        <v>0</v>
      </c>
    </row>
    <row r="317" spans="1:3" x14ac:dyDescent="0.25">
      <c r="A317" s="107">
        <v>315</v>
      </c>
      <c r="B317" s="107">
        <v>12</v>
      </c>
      <c r="C317" s="107">
        <v>10</v>
      </c>
    </row>
    <row r="318" spans="1:3" x14ac:dyDescent="0.25">
      <c r="A318" s="107">
        <v>316</v>
      </c>
      <c r="B318" s="107">
        <v>48</v>
      </c>
      <c r="C318" s="107">
        <v>10</v>
      </c>
    </row>
    <row r="319" spans="1:3" x14ac:dyDescent="0.25">
      <c r="A319" s="107">
        <v>317</v>
      </c>
      <c r="B319" s="107">
        <v>19</v>
      </c>
      <c r="C319" s="107">
        <v>4</v>
      </c>
    </row>
    <row r="320" spans="1:3" x14ac:dyDescent="0.25">
      <c r="A320" s="107">
        <v>318</v>
      </c>
      <c r="B320" s="107">
        <v>18</v>
      </c>
      <c r="C320" s="107">
        <v>6</v>
      </c>
    </row>
    <row r="321" spans="1:3" x14ac:dyDescent="0.25">
      <c r="A321" s="107">
        <v>319</v>
      </c>
      <c r="B321" s="107">
        <v>23</v>
      </c>
      <c r="C321" s="107">
        <v>4</v>
      </c>
    </row>
    <row r="322" spans="1:3" x14ac:dyDescent="0.25">
      <c r="A322" s="107">
        <v>320</v>
      </c>
      <c r="B322" s="107">
        <v>7</v>
      </c>
      <c r="C322" s="107">
        <v>1</v>
      </c>
    </row>
    <row r="323" spans="1:3" x14ac:dyDescent="0.25">
      <c r="A323" s="107">
        <v>321</v>
      </c>
      <c r="B323" s="107">
        <v>5</v>
      </c>
      <c r="C323" s="107">
        <v>1</v>
      </c>
    </row>
    <row r="324" spans="1:3" x14ac:dyDescent="0.25">
      <c r="A324" s="107">
        <v>322</v>
      </c>
      <c r="B324" s="107">
        <v>4</v>
      </c>
      <c r="C324" s="107">
        <v>0</v>
      </c>
    </row>
    <row r="325" spans="1:3" x14ac:dyDescent="0.25">
      <c r="A325" s="107">
        <v>323</v>
      </c>
      <c r="B325" s="107">
        <v>0</v>
      </c>
      <c r="C325" s="107">
        <v>0</v>
      </c>
    </row>
    <row r="326" spans="1:3" x14ac:dyDescent="0.25">
      <c r="A326" s="107">
        <v>324</v>
      </c>
      <c r="B326" s="107">
        <v>17</v>
      </c>
      <c r="C326" s="107">
        <v>7</v>
      </c>
    </row>
    <row r="327" spans="1:3" x14ac:dyDescent="0.25">
      <c r="A327" s="107">
        <v>325</v>
      </c>
      <c r="B327" s="107">
        <v>23</v>
      </c>
      <c r="C327" s="107">
        <v>10</v>
      </c>
    </row>
    <row r="328" spans="1:3" x14ac:dyDescent="0.25">
      <c r="A328" s="107">
        <v>326</v>
      </c>
      <c r="B328" s="107">
        <v>21</v>
      </c>
      <c r="C328" s="107">
        <v>12</v>
      </c>
    </row>
    <row r="329" spans="1:3" x14ac:dyDescent="0.25">
      <c r="A329" s="107">
        <v>327</v>
      </c>
      <c r="B329" s="107">
        <v>2</v>
      </c>
      <c r="C329" s="107">
        <v>0</v>
      </c>
    </row>
    <row r="330" spans="1:3" x14ac:dyDescent="0.25">
      <c r="A330" s="107">
        <v>328</v>
      </c>
      <c r="B330" s="107">
        <v>4</v>
      </c>
      <c r="C330" s="107">
        <v>0</v>
      </c>
    </row>
    <row r="331" spans="1:3" x14ac:dyDescent="0.25">
      <c r="A331" s="107">
        <v>329</v>
      </c>
      <c r="B331" s="107">
        <v>32</v>
      </c>
      <c r="C331" s="107">
        <v>1</v>
      </c>
    </row>
    <row r="332" spans="1:3" x14ac:dyDescent="0.25">
      <c r="A332" s="107">
        <v>330</v>
      </c>
      <c r="B332" s="107">
        <v>4</v>
      </c>
      <c r="C332" s="107">
        <v>3</v>
      </c>
    </row>
    <row r="333" spans="1:3" x14ac:dyDescent="0.25">
      <c r="A333" s="107">
        <v>331</v>
      </c>
      <c r="B333" s="107">
        <v>0</v>
      </c>
      <c r="C333" s="107">
        <v>0</v>
      </c>
    </row>
    <row r="334" spans="1:3" x14ac:dyDescent="0.25">
      <c r="A334" s="107">
        <v>332</v>
      </c>
      <c r="B334" s="107">
        <v>14</v>
      </c>
      <c r="C334" s="107">
        <v>13</v>
      </c>
    </row>
    <row r="335" spans="1:3" x14ac:dyDescent="0.25">
      <c r="A335" s="107">
        <v>333</v>
      </c>
      <c r="B335" s="107">
        <v>7</v>
      </c>
      <c r="C335" s="107">
        <v>5</v>
      </c>
    </row>
    <row r="336" spans="1:3" x14ac:dyDescent="0.25">
      <c r="A336" s="107">
        <v>334</v>
      </c>
      <c r="B336" s="107">
        <v>6</v>
      </c>
      <c r="C336" s="107">
        <v>4</v>
      </c>
    </row>
    <row r="337" spans="1:3" x14ac:dyDescent="0.25">
      <c r="A337" s="107">
        <v>335</v>
      </c>
      <c r="B337" s="107">
        <v>121</v>
      </c>
      <c r="C337" s="107">
        <v>0</v>
      </c>
    </row>
    <row r="338" spans="1:3" x14ac:dyDescent="0.25">
      <c r="A338" s="107">
        <v>336</v>
      </c>
      <c r="B338" s="107">
        <v>3</v>
      </c>
      <c r="C338" s="107">
        <v>2</v>
      </c>
    </row>
    <row r="339" spans="1:3" x14ac:dyDescent="0.25">
      <c r="A339" s="107">
        <v>337</v>
      </c>
      <c r="B339" s="107">
        <v>6</v>
      </c>
      <c r="C339" s="107">
        <v>6</v>
      </c>
    </row>
    <row r="340" spans="1:3" x14ac:dyDescent="0.25">
      <c r="A340" s="107">
        <v>338</v>
      </c>
      <c r="B340" s="107">
        <v>44</v>
      </c>
      <c r="C340" s="107">
        <v>6</v>
      </c>
    </row>
    <row r="341" spans="1:3" x14ac:dyDescent="0.25">
      <c r="A341" s="107">
        <v>339</v>
      </c>
      <c r="B341" s="107">
        <v>2</v>
      </c>
      <c r="C341" s="107">
        <v>2</v>
      </c>
    </row>
    <row r="342" spans="1:3" x14ac:dyDescent="0.25">
      <c r="A342" s="107">
        <v>340</v>
      </c>
      <c r="B342" s="107">
        <v>5</v>
      </c>
      <c r="C342" s="107">
        <v>4</v>
      </c>
    </row>
    <row r="343" spans="1:3" x14ac:dyDescent="0.25">
      <c r="A343" s="107">
        <v>341</v>
      </c>
      <c r="B343" s="107">
        <v>29</v>
      </c>
      <c r="C343" s="107">
        <v>0</v>
      </c>
    </row>
    <row r="344" spans="1:3" x14ac:dyDescent="0.25">
      <c r="A344" s="107">
        <v>342</v>
      </c>
      <c r="B344" s="107">
        <v>0</v>
      </c>
      <c r="C344" s="107">
        <v>0</v>
      </c>
    </row>
    <row r="345" spans="1:3" x14ac:dyDescent="0.25">
      <c r="A345" s="107">
        <v>343</v>
      </c>
      <c r="B345" s="107">
        <v>1</v>
      </c>
      <c r="C345" s="107">
        <v>1</v>
      </c>
    </row>
    <row r="346" spans="1:3" x14ac:dyDescent="0.25">
      <c r="A346" s="107">
        <v>344</v>
      </c>
      <c r="B346" s="107">
        <v>17</v>
      </c>
      <c r="C346" s="107">
        <v>0</v>
      </c>
    </row>
    <row r="347" spans="1:3" x14ac:dyDescent="0.25">
      <c r="A347" s="107">
        <v>345</v>
      </c>
      <c r="B347" s="107">
        <v>27</v>
      </c>
      <c r="C347" s="107">
        <v>0</v>
      </c>
    </row>
    <row r="348" spans="1:3" x14ac:dyDescent="0.25">
      <c r="A348" s="107">
        <v>346</v>
      </c>
      <c r="B348" s="107">
        <v>3</v>
      </c>
      <c r="C348" s="107">
        <v>0</v>
      </c>
    </row>
    <row r="349" spans="1:3" x14ac:dyDescent="0.25">
      <c r="A349" s="107">
        <v>347</v>
      </c>
      <c r="B349" s="107">
        <v>0</v>
      </c>
      <c r="C349" s="107">
        <v>0</v>
      </c>
    </row>
    <row r="350" spans="1:3" x14ac:dyDescent="0.25">
      <c r="A350" s="107">
        <v>348</v>
      </c>
      <c r="B350" s="107">
        <v>2</v>
      </c>
      <c r="C350" s="107">
        <v>0</v>
      </c>
    </row>
    <row r="351" spans="1:3" x14ac:dyDescent="0.25">
      <c r="A351" s="107">
        <v>349</v>
      </c>
      <c r="B351" s="107">
        <v>40</v>
      </c>
      <c r="C351" s="107">
        <v>1</v>
      </c>
    </row>
    <row r="352" spans="1:3" x14ac:dyDescent="0.25">
      <c r="A352" s="107">
        <v>350</v>
      </c>
      <c r="B352" s="107">
        <v>30</v>
      </c>
      <c r="C352" s="107">
        <v>0</v>
      </c>
    </row>
    <row r="353" spans="1:3" x14ac:dyDescent="0.25">
      <c r="A353" s="107">
        <v>351</v>
      </c>
      <c r="B353" s="107">
        <v>6</v>
      </c>
      <c r="C353" s="107">
        <v>0</v>
      </c>
    </row>
    <row r="354" spans="1:3" x14ac:dyDescent="0.25">
      <c r="A354" s="107">
        <v>352</v>
      </c>
      <c r="B354" s="107">
        <v>9</v>
      </c>
      <c r="C354" s="107">
        <v>1</v>
      </c>
    </row>
    <row r="355" spans="1:3" x14ac:dyDescent="0.25">
      <c r="A355" s="107">
        <v>353</v>
      </c>
      <c r="B355" s="107">
        <v>4</v>
      </c>
      <c r="C355" s="107">
        <v>1</v>
      </c>
    </row>
    <row r="356" spans="1:3" x14ac:dyDescent="0.25">
      <c r="A356" s="107">
        <v>354</v>
      </c>
      <c r="B356" s="107">
        <v>320</v>
      </c>
      <c r="C356" s="107">
        <v>1</v>
      </c>
    </row>
    <row r="357" spans="1:3" x14ac:dyDescent="0.25">
      <c r="A357" s="107">
        <v>355</v>
      </c>
      <c r="B357" s="107">
        <v>20</v>
      </c>
      <c r="C357" s="107">
        <v>7</v>
      </c>
    </row>
    <row r="358" spans="1:3" x14ac:dyDescent="0.25">
      <c r="A358" s="107">
        <v>356</v>
      </c>
      <c r="B358" s="107">
        <v>19</v>
      </c>
      <c r="C358" s="107">
        <v>1</v>
      </c>
    </row>
    <row r="359" spans="1:3" x14ac:dyDescent="0.25">
      <c r="A359" s="107">
        <v>357</v>
      </c>
      <c r="B359" s="107">
        <v>4</v>
      </c>
      <c r="C359" s="107">
        <v>0</v>
      </c>
    </row>
    <row r="360" spans="1:3" x14ac:dyDescent="0.25">
      <c r="A360" s="107">
        <v>358</v>
      </c>
      <c r="B360" s="107">
        <v>25</v>
      </c>
      <c r="C360" s="107">
        <v>4</v>
      </c>
    </row>
    <row r="361" spans="1:3" x14ac:dyDescent="0.25">
      <c r="A361" s="107">
        <v>359</v>
      </c>
      <c r="B361" s="107">
        <v>0</v>
      </c>
      <c r="C361" s="107">
        <v>0</v>
      </c>
    </row>
    <row r="362" spans="1:3" x14ac:dyDescent="0.25">
      <c r="A362" s="107">
        <v>360</v>
      </c>
      <c r="B362" s="107">
        <v>0</v>
      </c>
      <c r="C362" s="107">
        <v>0</v>
      </c>
    </row>
    <row r="363" spans="1:3" x14ac:dyDescent="0.25">
      <c r="A363" s="107">
        <v>361</v>
      </c>
      <c r="B363" s="107">
        <v>0</v>
      </c>
      <c r="C363" s="107">
        <v>0</v>
      </c>
    </row>
    <row r="364" spans="1:3" x14ac:dyDescent="0.25">
      <c r="A364" s="107">
        <v>362</v>
      </c>
      <c r="B364" s="107">
        <v>0</v>
      </c>
      <c r="C364" s="107">
        <v>0</v>
      </c>
    </row>
    <row r="365" spans="1:3" x14ac:dyDescent="0.25">
      <c r="A365" s="107">
        <v>363</v>
      </c>
      <c r="B365" s="107">
        <v>0</v>
      </c>
      <c r="C365" s="107">
        <v>0</v>
      </c>
    </row>
    <row r="366" spans="1:3" x14ac:dyDescent="0.25">
      <c r="A366" s="107">
        <v>364</v>
      </c>
      <c r="B366" s="107">
        <v>0</v>
      </c>
      <c r="C366" s="107">
        <v>0</v>
      </c>
    </row>
    <row r="367" spans="1:3" x14ac:dyDescent="0.25">
      <c r="A367" s="107">
        <v>365</v>
      </c>
      <c r="B367" s="107">
        <v>0</v>
      </c>
      <c r="C367" s="107">
        <v>0</v>
      </c>
    </row>
    <row r="368" spans="1:3" x14ac:dyDescent="0.25">
      <c r="A368" s="107">
        <v>366</v>
      </c>
      <c r="B368" s="107">
        <v>0</v>
      </c>
      <c r="C368" s="107">
        <v>0</v>
      </c>
    </row>
    <row r="369" spans="1:3" x14ac:dyDescent="0.25">
      <c r="A369" s="107">
        <v>367</v>
      </c>
      <c r="B369" s="107">
        <v>0</v>
      </c>
      <c r="C369" s="107">
        <v>0</v>
      </c>
    </row>
    <row r="370" spans="1:3" x14ac:dyDescent="0.25">
      <c r="A370" s="107">
        <v>368</v>
      </c>
      <c r="B370" s="107">
        <v>0</v>
      </c>
      <c r="C370" s="107">
        <v>0</v>
      </c>
    </row>
    <row r="371" spans="1:3" x14ac:dyDescent="0.25">
      <c r="A371" s="107">
        <v>369</v>
      </c>
      <c r="B371" s="107">
        <v>0</v>
      </c>
      <c r="C371" s="107">
        <v>0</v>
      </c>
    </row>
    <row r="372" spans="1:3" x14ac:dyDescent="0.25">
      <c r="A372" s="107">
        <v>370</v>
      </c>
      <c r="B372" s="107">
        <v>0</v>
      </c>
      <c r="C372" s="107">
        <v>0</v>
      </c>
    </row>
    <row r="373" spans="1:3" x14ac:dyDescent="0.25">
      <c r="A373" s="107">
        <v>371</v>
      </c>
      <c r="B373" s="107">
        <v>0</v>
      </c>
      <c r="C373" s="107">
        <v>0</v>
      </c>
    </row>
    <row r="374" spans="1:3" x14ac:dyDescent="0.25">
      <c r="A374" s="107">
        <v>372</v>
      </c>
      <c r="B374" s="107">
        <v>0</v>
      </c>
      <c r="C374" s="107">
        <v>0</v>
      </c>
    </row>
    <row r="375" spans="1:3" x14ac:dyDescent="0.25">
      <c r="A375" s="107">
        <v>373</v>
      </c>
      <c r="B375" s="107">
        <v>0</v>
      </c>
      <c r="C375" s="107">
        <v>0</v>
      </c>
    </row>
    <row r="376" spans="1:3" x14ac:dyDescent="0.25">
      <c r="A376" s="107">
        <v>374</v>
      </c>
      <c r="B376" s="107">
        <v>0</v>
      </c>
      <c r="C376" s="107">
        <v>0</v>
      </c>
    </row>
    <row r="377" spans="1:3" x14ac:dyDescent="0.25">
      <c r="A377" s="107">
        <v>375</v>
      </c>
      <c r="B377" s="107">
        <v>0</v>
      </c>
      <c r="C377" s="107">
        <v>0</v>
      </c>
    </row>
    <row r="378" spans="1:3" x14ac:dyDescent="0.25">
      <c r="A378" s="107">
        <v>376</v>
      </c>
      <c r="B378" s="107">
        <v>0</v>
      </c>
      <c r="C378" s="107">
        <v>0</v>
      </c>
    </row>
    <row r="379" spans="1:3" x14ac:dyDescent="0.25">
      <c r="A379" s="107">
        <v>377</v>
      </c>
      <c r="B379" s="107">
        <v>0</v>
      </c>
      <c r="C379" s="107">
        <v>0</v>
      </c>
    </row>
    <row r="380" spans="1:3" x14ac:dyDescent="0.25">
      <c r="A380" s="107">
        <v>378</v>
      </c>
      <c r="B380" s="107">
        <v>0</v>
      </c>
      <c r="C380" s="107">
        <v>0</v>
      </c>
    </row>
    <row r="381" spans="1:3" x14ac:dyDescent="0.25">
      <c r="A381" s="107">
        <v>379</v>
      </c>
      <c r="B381" s="107">
        <v>0</v>
      </c>
      <c r="C381" s="107">
        <v>0</v>
      </c>
    </row>
    <row r="382" spans="1:3" x14ac:dyDescent="0.25">
      <c r="A382" s="107">
        <v>380</v>
      </c>
      <c r="B382" s="107">
        <v>0</v>
      </c>
      <c r="C382" s="107">
        <v>0</v>
      </c>
    </row>
    <row r="383" spans="1:3" x14ac:dyDescent="0.25">
      <c r="A383" s="107">
        <v>381</v>
      </c>
      <c r="B383" s="107">
        <v>0</v>
      </c>
      <c r="C383" s="107">
        <v>0</v>
      </c>
    </row>
    <row r="384" spans="1:3" x14ac:dyDescent="0.25">
      <c r="A384" s="107">
        <v>382</v>
      </c>
      <c r="B384" s="107">
        <v>0</v>
      </c>
      <c r="C384" s="107">
        <v>0</v>
      </c>
    </row>
    <row r="385" spans="1:3" x14ac:dyDescent="0.25">
      <c r="A385" s="107">
        <v>383</v>
      </c>
      <c r="B385" s="107">
        <v>0</v>
      </c>
      <c r="C385" s="107">
        <v>0</v>
      </c>
    </row>
    <row r="386" spans="1:3" x14ac:dyDescent="0.25">
      <c r="A386" s="107">
        <v>384</v>
      </c>
      <c r="B386" s="107">
        <v>0</v>
      </c>
      <c r="C386" s="107">
        <v>0</v>
      </c>
    </row>
    <row r="387" spans="1:3" x14ac:dyDescent="0.25">
      <c r="A387" s="107">
        <v>385</v>
      </c>
      <c r="B387" s="107">
        <v>0</v>
      </c>
      <c r="C387" s="107">
        <v>0</v>
      </c>
    </row>
    <row r="388" spans="1:3" x14ac:dyDescent="0.25">
      <c r="A388" s="107">
        <v>386</v>
      </c>
      <c r="B388" s="107">
        <v>0</v>
      </c>
      <c r="C388" s="107">
        <v>0</v>
      </c>
    </row>
    <row r="389" spans="1:3" x14ac:dyDescent="0.25">
      <c r="A389" s="107">
        <v>387</v>
      </c>
      <c r="B389" s="107">
        <v>0</v>
      </c>
      <c r="C389" s="107">
        <v>0</v>
      </c>
    </row>
    <row r="390" spans="1:3" x14ac:dyDescent="0.25">
      <c r="A390" s="107">
        <v>388</v>
      </c>
      <c r="B390" s="107">
        <v>0</v>
      </c>
      <c r="C390" s="107">
        <v>0</v>
      </c>
    </row>
    <row r="391" spans="1:3" x14ac:dyDescent="0.25">
      <c r="A391" s="107">
        <v>389</v>
      </c>
      <c r="B391" s="107">
        <v>0</v>
      </c>
      <c r="C391" s="107">
        <v>0</v>
      </c>
    </row>
    <row r="392" spans="1:3" x14ac:dyDescent="0.25">
      <c r="A392" s="107">
        <v>390</v>
      </c>
      <c r="B392" s="107">
        <v>0</v>
      </c>
      <c r="C392" s="107">
        <v>0</v>
      </c>
    </row>
    <row r="393" spans="1:3" x14ac:dyDescent="0.25">
      <c r="A393" s="107">
        <v>391</v>
      </c>
      <c r="B393" s="107">
        <v>0</v>
      </c>
      <c r="C393" s="107">
        <v>0</v>
      </c>
    </row>
    <row r="394" spans="1:3" x14ac:dyDescent="0.25">
      <c r="A394" s="107">
        <v>392</v>
      </c>
      <c r="B394" s="107">
        <v>0</v>
      </c>
      <c r="C394" s="107">
        <v>0</v>
      </c>
    </row>
    <row r="395" spans="1:3" x14ac:dyDescent="0.25">
      <c r="A395" s="107">
        <v>393</v>
      </c>
      <c r="B395" s="107">
        <v>0</v>
      </c>
      <c r="C395" s="107">
        <v>0</v>
      </c>
    </row>
    <row r="396" spans="1:3" x14ac:dyDescent="0.25">
      <c r="A396" s="107">
        <v>394</v>
      </c>
      <c r="B396" s="107">
        <v>0</v>
      </c>
      <c r="C396" s="107">
        <v>0</v>
      </c>
    </row>
    <row r="397" spans="1:3" x14ac:dyDescent="0.25">
      <c r="A397" s="107">
        <v>395</v>
      </c>
      <c r="B397" s="107">
        <v>0</v>
      </c>
      <c r="C397" s="107">
        <v>0</v>
      </c>
    </row>
    <row r="398" spans="1:3" x14ac:dyDescent="0.25">
      <c r="A398" s="107">
        <v>396</v>
      </c>
      <c r="B398" s="107">
        <v>0</v>
      </c>
      <c r="C398" s="107">
        <v>0</v>
      </c>
    </row>
    <row r="399" spans="1:3" x14ac:dyDescent="0.25">
      <c r="A399" s="107">
        <v>397</v>
      </c>
      <c r="B399" s="107">
        <v>0</v>
      </c>
      <c r="C399" s="107">
        <v>0</v>
      </c>
    </row>
    <row r="400" spans="1:3" x14ac:dyDescent="0.25">
      <c r="A400" s="107">
        <v>398</v>
      </c>
      <c r="B400" s="107">
        <v>0</v>
      </c>
      <c r="C400" s="107">
        <v>0</v>
      </c>
    </row>
    <row r="401" spans="1:3" x14ac:dyDescent="0.25">
      <c r="A401" s="107">
        <v>399</v>
      </c>
      <c r="B401" s="107">
        <v>0</v>
      </c>
      <c r="C401" s="107">
        <v>0</v>
      </c>
    </row>
    <row r="402" spans="1:3" x14ac:dyDescent="0.25">
      <c r="A402" s="107">
        <v>400</v>
      </c>
      <c r="B402" s="107">
        <v>0</v>
      </c>
      <c r="C402" s="107">
        <v>0</v>
      </c>
    </row>
    <row r="403" spans="1:3" x14ac:dyDescent="0.25">
      <c r="A403" s="107">
        <v>401</v>
      </c>
      <c r="B403" s="107">
        <v>0</v>
      </c>
      <c r="C403" s="107">
        <v>0</v>
      </c>
    </row>
    <row r="404" spans="1:3" x14ac:dyDescent="0.25">
      <c r="A404" s="107">
        <v>402</v>
      </c>
      <c r="B404" s="107">
        <v>0</v>
      </c>
      <c r="C404" s="107">
        <v>0</v>
      </c>
    </row>
    <row r="405" spans="1:3" x14ac:dyDescent="0.25">
      <c r="A405" s="107">
        <v>403</v>
      </c>
      <c r="B405" s="107">
        <v>0</v>
      </c>
      <c r="C405" s="107">
        <v>0</v>
      </c>
    </row>
    <row r="406" spans="1:3" x14ac:dyDescent="0.25">
      <c r="A406" s="107">
        <v>404</v>
      </c>
      <c r="B406" s="107">
        <v>0</v>
      </c>
      <c r="C406" s="107">
        <v>0</v>
      </c>
    </row>
    <row r="407" spans="1:3" x14ac:dyDescent="0.25">
      <c r="A407" s="107">
        <v>405</v>
      </c>
      <c r="B407" s="107">
        <v>0</v>
      </c>
      <c r="C407" s="107">
        <v>0</v>
      </c>
    </row>
    <row r="408" spans="1:3" x14ac:dyDescent="0.25">
      <c r="A408" s="107">
        <v>406</v>
      </c>
      <c r="B408" s="107">
        <v>0</v>
      </c>
      <c r="C408" s="107">
        <v>0</v>
      </c>
    </row>
    <row r="409" spans="1:3" x14ac:dyDescent="0.25">
      <c r="A409" s="107">
        <v>407</v>
      </c>
      <c r="B409" s="107">
        <v>0</v>
      </c>
      <c r="C409" s="107">
        <v>0</v>
      </c>
    </row>
    <row r="410" spans="1:3" x14ac:dyDescent="0.25">
      <c r="A410" s="107">
        <v>408</v>
      </c>
      <c r="B410" s="107">
        <v>0</v>
      </c>
      <c r="C410" s="107">
        <v>0</v>
      </c>
    </row>
    <row r="411" spans="1:3" x14ac:dyDescent="0.25">
      <c r="A411" s="107">
        <v>409</v>
      </c>
      <c r="B411" s="107">
        <v>0</v>
      </c>
      <c r="C411" s="107">
        <v>0</v>
      </c>
    </row>
    <row r="412" spans="1:3" x14ac:dyDescent="0.25">
      <c r="A412" s="107">
        <v>410</v>
      </c>
      <c r="B412" s="107">
        <v>0</v>
      </c>
      <c r="C412" s="107">
        <v>0</v>
      </c>
    </row>
    <row r="413" spans="1:3" x14ac:dyDescent="0.25">
      <c r="A413" s="107">
        <v>411</v>
      </c>
      <c r="B413" s="107">
        <v>0</v>
      </c>
      <c r="C413" s="107">
        <v>0</v>
      </c>
    </row>
    <row r="414" spans="1:3" x14ac:dyDescent="0.25">
      <c r="A414" s="107">
        <v>412</v>
      </c>
      <c r="B414" s="107">
        <v>0</v>
      </c>
      <c r="C414" s="107">
        <v>0</v>
      </c>
    </row>
    <row r="415" spans="1:3" x14ac:dyDescent="0.25">
      <c r="A415" s="107">
        <v>413</v>
      </c>
      <c r="B415" s="107">
        <v>0</v>
      </c>
      <c r="C415" s="107">
        <v>0</v>
      </c>
    </row>
    <row r="416" spans="1:3" x14ac:dyDescent="0.25">
      <c r="A416" s="107">
        <v>414</v>
      </c>
      <c r="B416" s="107">
        <v>0</v>
      </c>
      <c r="C416" s="107">
        <v>0</v>
      </c>
    </row>
    <row r="417" spans="1:3" x14ac:dyDescent="0.25">
      <c r="A417" s="107">
        <v>415</v>
      </c>
      <c r="B417" s="107">
        <v>0</v>
      </c>
      <c r="C417" s="107">
        <v>0</v>
      </c>
    </row>
    <row r="418" spans="1:3" x14ac:dyDescent="0.25">
      <c r="A418" s="107">
        <v>416</v>
      </c>
      <c r="B418" s="107">
        <v>0</v>
      </c>
      <c r="C418" s="107">
        <v>0</v>
      </c>
    </row>
    <row r="419" spans="1:3" x14ac:dyDescent="0.25">
      <c r="A419" s="107">
        <v>417</v>
      </c>
      <c r="B419" s="107">
        <v>0</v>
      </c>
      <c r="C419" s="107">
        <v>0</v>
      </c>
    </row>
    <row r="420" spans="1:3" x14ac:dyDescent="0.25">
      <c r="A420" s="107">
        <v>418</v>
      </c>
      <c r="B420" s="107">
        <v>0</v>
      </c>
      <c r="C420" s="107">
        <v>0</v>
      </c>
    </row>
    <row r="421" spans="1:3" x14ac:dyDescent="0.25">
      <c r="A421" s="107">
        <v>419</v>
      </c>
      <c r="B421" s="107">
        <v>0</v>
      </c>
      <c r="C421" s="107">
        <v>0</v>
      </c>
    </row>
    <row r="422" spans="1:3" x14ac:dyDescent="0.25">
      <c r="A422" s="107">
        <v>420</v>
      </c>
      <c r="B422" s="107">
        <v>0</v>
      </c>
      <c r="C422" s="107">
        <v>0</v>
      </c>
    </row>
    <row r="423" spans="1:3" x14ac:dyDescent="0.25">
      <c r="A423" s="107">
        <v>421</v>
      </c>
      <c r="B423" s="107">
        <v>0</v>
      </c>
      <c r="C423" s="107">
        <v>0</v>
      </c>
    </row>
    <row r="424" spans="1:3" x14ac:dyDescent="0.25">
      <c r="A424" s="107">
        <v>422</v>
      </c>
      <c r="B424" s="107">
        <v>0</v>
      </c>
      <c r="C424" s="107">
        <v>0</v>
      </c>
    </row>
    <row r="425" spans="1:3" x14ac:dyDescent="0.25">
      <c r="A425" s="107">
        <v>423</v>
      </c>
      <c r="B425" s="107">
        <v>0</v>
      </c>
      <c r="C425" s="107">
        <v>0</v>
      </c>
    </row>
    <row r="426" spans="1:3" x14ac:dyDescent="0.25">
      <c r="A426" s="107">
        <v>424</v>
      </c>
      <c r="B426" s="107">
        <v>0</v>
      </c>
      <c r="C426" s="107">
        <v>0</v>
      </c>
    </row>
    <row r="427" spans="1:3" x14ac:dyDescent="0.25">
      <c r="A427" s="107">
        <v>425</v>
      </c>
      <c r="B427" s="107">
        <v>0</v>
      </c>
      <c r="C427" s="107">
        <v>0</v>
      </c>
    </row>
    <row r="428" spans="1:3" x14ac:dyDescent="0.25">
      <c r="A428" s="107">
        <v>426</v>
      </c>
      <c r="B428" s="107">
        <v>0</v>
      </c>
      <c r="C428" s="107">
        <v>0</v>
      </c>
    </row>
    <row r="429" spans="1:3" x14ac:dyDescent="0.25">
      <c r="A429" s="107">
        <v>427</v>
      </c>
      <c r="B429" s="107">
        <v>0</v>
      </c>
      <c r="C429" s="107">
        <v>0</v>
      </c>
    </row>
    <row r="430" spans="1:3" x14ac:dyDescent="0.25">
      <c r="A430" s="107">
        <v>428</v>
      </c>
      <c r="B430" s="107">
        <v>0</v>
      </c>
      <c r="C430" s="107">
        <v>0</v>
      </c>
    </row>
    <row r="431" spans="1:3" x14ac:dyDescent="0.25">
      <c r="A431" s="107">
        <v>429</v>
      </c>
      <c r="B431" s="107">
        <v>0</v>
      </c>
      <c r="C431" s="107">
        <v>0</v>
      </c>
    </row>
    <row r="432" spans="1:3" x14ac:dyDescent="0.25">
      <c r="A432" s="107">
        <v>430</v>
      </c>
      <c r="B432" s="107">
        <v>0</v>
      </c>
      <c r="C432" s="107">
        <v>0</v>
      </c>
    </row>
    <row r="433" spans="1:3" x14ac:dyDescent="0.25">
      <c r="A433" s="107">
        <v>431</v>
      </c>
      <c r="B433" s="107">
        <v>0</v>
      </c>
      <c r="C433" s="107">
        <v>0</v>
      </c>
    </row>
    <row r="434" spans="1:3" x14ac:dyDescent="0.25">
      <c r="A434" s="107">
        <v>432</v>
      </c>
      <c r="B434" s="107">
        <v>0</v>
      </c>
      <c r="C434" s="107">
        <v>0</v>
      </c>
    </row>
    <row r="435" spans="1:3" x14ac:dyDescent="0.25">
      <c r="A435" s="107">
        <v>433</v>
      </c>
      <c r="B435" s="107">
        <v>0</v>
      </c>
      <c r="C435" s="107">
        <v>0</v>
      </c>
    </row>
    <row r="436" spans="1:3" x14ac:dyDescent="0.25">
      <c r="A436" s="107">
        <v>434</v>
      </c>
      <c r="B436" s="107">
        <v>0</v>
      </c>
      <c r="C436" s="107">
        <v>0</v>
      </c>
    </row>
    <row r="437" spans="1:3" x14ac:dyDescent="0.25">
      <c r="A437" s="107">
        <v>435</v>
      </c>
      <c r="B437" s="107">
        <v>0</v>
      </c>
      <c r="C437" s="107">
        <v>0</v>
      </c>
    </row>
    <row r="438" spans="1:3" x14ac:dyDescent="0.25">
      <c r="A438" s="107">
        <v>436</v>
      </c>
      <c r="B438" s="107">
        <v>0</v>
      </c>
      <c r="C438" s="107">
        <v>0</v>
      </c>
    </row>
    <row r="439" spans="1:3" x14ac:dyDescent="0.25">
      <c r="A439" s="107">
        <v>437</v>
      </c>
      <c r="B439" s="107">
        <v>0</v>
      </c>
      <c r="C439" s="107">
        <v>0</v>
      </c>
    </row>
    <row r="440" spans="1:3" x14ac:dyDescent="0.25">
      <c r="A440" s="107">
        <v>438</v>
      </c>
      <c r="B440" s="107">
        <v>0</v>
      </c>
      <c r="C440" s="107">
        <v>0</v>
      </c>
    </row>
    <row r="441" spans="1:3" x14ac:dyDescent="0.25">
      <c r="A441" s="107">
        <v>439</v>
      </c>
      <c r="B441" s="107">
        <v>0</v>
      </c>
      <c r="C441" s="107">
        <v>0</v>
      </c>
    </row>
    <row r="442" spans="1:3" x14ac:dyDescent="0.25">
      <c r="A442" s="107">
        <v>440</v>
      </c>
      <c r="B442" s="107">
        <v>0</v>
      </c>
      <c r="C442" s="107">
        <v>0</v>
      </c>
    </row>
    <row r="443" spans="1:3" x14ac:dyDescent="0.25">
      <c r="A443" s="107">
        <v>441</v>
      </c>
      <c r="B443" s="107">
        <v>0</v>
      </c>
      <c r="C443" s="107">
        <v>0</v>
      </c>
    </row>
    <row r="444" spans="1:3" x14ac:dyDescent="0.25">
      <c r="A444" s="107">
        <v>442</v>
      </c>
      <c r="B444" s="107">
        <v>0</v>
      </c>
      <c r="C444" s="107">
        <v>0</v>
      </c>
    </row>
    <row r="445" spans="1:3" x14ac:dyDescent="0.25">
      <c r="A445" s="107">
        <v>443</v>
      </c>
      <c r="B445" s="107">
        <v>0</v>
      </c>
      <c r="C445" s="107">
        <v>0</v>
      </c>
    </row>
    <row r="446" spans="1:3" x14ac:dyDescent="0.25">
      <c r="A446" s="107">
        <v>444</v>
      </c>
      <c r="B446" s="107">
        <v>0</v>
      </c>
      <c r="C446" s="107">
        <v>0</v>
      </c>
    </row>
    <row r="447" spans="1:3" x14ac:dyDescent="0.25">
      <c r="A447" s="107">
        <v>445</v>
      </c>
      <c r="B447" s="107">
        <v>0</v>
      </c>
      <c r="C447" s="107">
        <v>0</v>
      </c>
    </row>
    <row r="448" spans="1:3" x14ac:dyDescent="0.25">
      <c r="A448" s="107">
        <v>446</v>
      </c>
      <c r="B448" s="107">
        <v>0</v>
      </c>
      <c r="C448" s="107">
        <v>0</v>
      </c>
    </row>
    <row r="449" spans="1:3" x14ac:dyDescent="0.25">
      <c r="A449" s="107">
        <v>447</v>
      </c>
      <c r="B449" s="107">
        <v>0</v>
      </c>
      <c r="C449" s="107">
        <v>0</v>
      </c>
    </row>
    <row r="450" spans="1:3" x14ac:dyDescent="0.25">
      <c r="A450" s="107">
        <v>448</v>
      </c>
      <c r="B450" s="107">
        <v>0</v>
      </c>
      <c r="C450" s="107">
        <v>0</v>
      </c>
    </row>
    <row r="451" spans="1:3" x14ac:dyDescent="0.25">
      <c r="A451" s="107">
        <v>449</v>
      </c>
      <c r="B451" s="107">
        <v>0</v>
      </c>
      <c r="C451" s="107">
        <v>0</v>
      </c>
    </row>
    <row r="452" spans="1:3" x14ac:dyDescent="0.25">
      <c r="A452" s="107">
        <v>450</v>
      </c>
      <c r="B452" s="107">
        <v>0</v>
      </c>
      <c r="C452" s="107">
        <v>0</v>
      </c>
    </row>
    <row r="453" spans="1:3" x14ac:dyDescent="0.25">
      <c r="A453" s="107">
        <v>451</v>
      </c>
      <c r="B453" s="107">
        <v>0</v>
      </c>
      <c r="C453" s="107">
        <v>0</v>
      </c>
    </row>
    <row r="454" spans="1:3" x14ac:dyDescent="0.25">
      <c r="A454" s="107">
        <v>452</v>
      </c>
      <c r="B454" s="107">
        <v>0</v>
      </c>
      <c r="C454" s="107">
        <v>0</v>
      </c>
    </row>
    <row r="455" spans="1:3" x14ac:dyDescent="0.25">
      <c r="A455" s="107">
        <v>453</v>
      </c>
      <c r="B455" s="107">
        <v>0</v>
      </c>
      <c r="C455" s="107">
        <v>0</v>
      </c>
    </row>
    <row r="456" spans="1:3" x14ac:dyDescent="0.25">
      <c r="A456" s="107">
        <v>454</v>
      </c>
      <c r="B456" s="107">
        <v>0</v>
      </c>
      <c r="C456" s="107">
        <v>0</v>
      </c>
    </row>
    <row r="457" spans="1:3" x14ac:dyDescent="0.25">
      <c r="A457" s="107">
        <v>455</v>
      </c>
      <c r="B457" s="107">
        <v>0</v>
      </c>
      <c r="C457" s="107">
        <v>0</v>
      </c>
    </row>
    <row r="458" spans="1:3" x14ac:dyDescent="0.25">
      <c r="A458" s="107">
        <v>456</v>
      </c>
      <c r="B458" s="107">
        <v>0</v>
      </c>
      <c r="C458" s="107">
        <v>0</v>
      </c>
    </row>
    <row r="459" spans="1:3" x14ac:dyDescent="0.25">
      <c r="A459" s="107">
        <v>457</v>
      </c>
      <c r="B459" s="107">
        <v>0</v>
      </c>
      <c r="C459" s="107">
        <v>0</v>
      </c>
    </row>
    <row r="460" spans="1:3" x14ac:dyDescent="0.25">
      <c r="A460" s="107">
        <v>458</v>
      </c>
      <c r="B460" s="107">
        <v>0</v>
      </c>
      <c r="C460" s="107">
        <v>0</v>
      </c>
    </row>
    <row r="461" spans="1:3" x14ac:dyDescent="0.25">
      <c r="A461" s="107">
        <v>459</v>
      </c>
      <c r="B461" s="107">
        <v>0</v>
      </c>
      <c r="C461" s="107">
        <v>0</v>
      </c>
    </row>
    <row r="462" spans="1:3" x14ac:dyDescent="0.25">
      <c r="A462" s="107">
        <v>460</v>
      </c>
      <c r="B462" s="107">
        <v>0</v>
      </c>
      <c r="C462" s="107">
        <v>0</v>
      </c>
    </row>
    <row r="463" spans="1:3" x14ac:dyDescent="0.25">
      <c r="A463" s="107">
        <v>461</v>
      </c>
      <c r="B463" s="107">
        <v>0</v>
      </c>
      <c r="C463" s="107">
        <v>0</v>
      </c>
    </row>
    <row r="464" spans="1:3" x14ac:dyDescent="0.25">
      <c r="A464" s="107">
        <v>462</v>
      </c>
      <c r="B464" s="107">
        <v>0</v>
      </c>
      <c r="C464" s="107">
        <v>0</v>
      </c>
    </row>
    <row r="465" spans="1:3" x14ac:dyDescent="0.25">
      <c r="A465" s="107">
        <v>463</v>
      </c>
      <c r="B465" s="107">
        <v>0</v>
      </c>
      <c r="C465" s="107">
        <v>0</v>
      </c>
    </row>
    <row r="466" spans="1:3" x14ac:dyDescent="0.25">
      <c r="A466" s="107">
        <v>464</v>
      </c>
      <c r="B466" s="107">
        <v>0</v>
      </c>
      <c r="C466" s="107">
        <v>0</v>
      </c>
    </row>
    <row r="467" spans="1:3" x14ac:dyDescent="0.25">
      <c r="A467" s="107">
        <v>465</v>
      </c>
      <c r="B467" s="107">
        <v>0</v>
      </c>
      <c r="C467" s="107">
        <v>0</v>
      </c>
    </row>
    <row r="468" spans="1:3" x14ac:dyDescent="0.25">
      <c r="A468" s="107">
        <v>466</v>
      </c>
      <c r="B468" s="107">
        <v>0</v>
      </c>
      <c r="C468" s="107">
        <v>0</v>
      </c>
    </row>
    <row r="469" spans="1:3" x14ac:dyDescent="0.25">
      <c r="A469" s="107">
        <v>467</v>
      </c>
      <c r="B469" s="107">
        <v>0</v>
      </c>
      <c r="C469" s="107">
        <v>0</v>
      </c>
    </row>
    <row r="470" spans="1:3" x14ac:dyDescent="0.25">
      <c r="A470" s="107">
        <v>468</v>
      </c>
      <c r="B470" s="107">
        <v>0</v>
      </c>
      <c r="C470" s="107">
        <v>0</v>
      </c>
    </row>
    <row r="471" spans="1:3" x14ac:dyDescent="0.25">
      <c r="A471" s="107">
        <v>469</v>
      </c>
      <c r="B471" s="107">
        <v>0</v>
      </c>
      <c r="C471" s="107">
        <v>0</v>
      </c>
    </row>
    <row r="472" spans="1:3" x14ac:dyDescent="0.25">
      <c r="A472" s="107">
        <v>470</v>
      </c>
      <c r="B472" s="107">
        <v>0</v>
      </c>
      <c r="C472" s="107">
        <v>0</v>
      </c>
    </row>
    <row r="473" spans="1:3" x14ac:dyDescent="0.25">
      <c r="A473" s="107">
        <v>471</v>
      </c>
      <c r="B473" s="107">
        <v>0</v>
      </c>
      <c r="C473" s="107">
        <v>0</v>
      </c>
    </row>
    <row r="474" spans="1:3" x14ac:dyDescent="0.25">
      <c r="A474" s="107">
        <v>472</v>
      </c>
      <c r="B474" s="107">
        <v>0</v>
      </c>
      <c r="C474" s="107">
        <v>0</v>
      </c>
    </row>
    <row r="475" spans="1:3" x14ac:dyDescent="0.25">
      <c r="A475" s="107">
        <v>473</v>
      </c>
      <c r="B475" s="107">
        <v>0</v>
      </c>
      <c r="C475" s="107">
        <v>0</v>
      </c>
    </row>
    <row r="476" spans="1:3" x14ac:dyDescent="0.25">
      <c r="A476" s="107">
        <v>474</v>
      </c>
      <c r="B476" s="107">
        <v>0</v>
      </c>
      <c r="C476" s="107">
        <v>0</v>
      </c>
    </row>
    <row r="477" spans="1:3" x14ac:dyDescent="0.25">
      <c r="A477" s="107">
        <v>475</v>
      </c>
      <c r="B477" s="107">
        <v>0</v>
      </c>
      <c r="C477" s="107">
        <v>0</v>
      </c>
    </row>
    <row r="478" spans="1:3" x14ac:dyDescent="0.25">
      <c r="A478" s="107">
        <v>476</v>
      </c>
      <c r="B478" s="107">
        <v>0</v>
      </c>
      <c r="C478" s="107">
        <v>0</v>
      </c>
    </row>
    <row r="479" spans="1:3" x14ac:dyDescent="0.25">
      <c r="A479" s="107">
        <v>477</v>
      </c>
      <c r="B479" s="107">
        <v>0</v>
      </c>
      <c r="C479" s="107">
        <v>0</v>
      </c>
    </row>
    <row r="480" spans="1:3" x14ac:dyDescent="0.25">
      <c r="A480" s="107">
        <v>478</v>
      </c>
      <c r="B480" s="107">
        <v>0</v>
      </c>
      <c r="C480" s="107">
        <v>0</v>
      </c>
    </row>
    <row r="481" spans="1:3" x14ac:dyDescent="0.25">
      <c r="A481" s="107">
        <v>479</v>
      </c>
      <c r="B481" s="107">
        <v>0</v>
      </c>
      <c r="C481" s="107">
        <v>0</v>
      </c>
    </row>
    <row r="482" spans="1:3" x14ac:dyDescent="0.25">
      <c r="A482" s="107">
        <v>480</v>
      </c>
      <c r="B482" s="107">
        <v>0</v>
      </c>
      <c r="C482" s="107">
        <v>0</v>
      </c>
    </row>
    <row r="483" spans="1:3" x14ac:dyDescent="0.25">
      <c r="A483" s="107">
        <v>481</v>
      </c>
      <c r="B483" s="107">
        <v>0</v>
      </c>
      <c r="C483" s="107">
        <v>0</v>
      </c>
    </row>
    <row r="484" spans="1:3" x14ac:dyDescent="0.25">
      <c r="A484" s="107">
        <v>482</v>
      </c>
      <c r="B484" s="107">
        <v>0</v>
      </c>
      <c r="C484" s="107">
        <v>0</v>
      </c>
    </row>
    <row r="485" spans="1:3" x14ac:dyDescent="0.25">
      <c r="A485" s="107">
        <v>483</v>
      </c>
      <c r="B485" s="107">
        <v>0</v>
      </c>
      <c r="C485" s="107">
        <v>0</v>
      </c>
    </row>
    <row r="486" spans="1:3" x14ac:dyDescent="0.25">
      <c r="A486" s="107">
        <v>484</v>
      </c>
      <c r="B486" s="107">
        <v>0</v>
      </c>
      <c r="C486" s="107">
        <v>0</v>
      </c>
    </row>
    <row r="487" spans="1:3" x14ac:dyDescent="0.25">
      <c r="A487" s="107">
        <v>485</v>
      </c>
      <c r="B487" s="107">
        <v>0</v>
      </c>
      <c r="C487" s="107">
        <v>0</v>
      </c>
    </row>
    <row r="488" spans="1:3" x14ac:dyDescent="0.25">
      <c r="A488" s="107">
        <v>486</v>
      </c>
      <c r="B488" s="107">
        <v>0</v>
      </c>
      <c r="C488" s="107">
        <v>0</v>
      </c>
    </row>
    <row r="489" spans="1:3" x14ac:dyDescent="0.25">
      <c r="A489" s="107">
        <v>487</v>
      </c>
      <c r="B489" s="107">
        <v>0</v>
      </c>
      <c r="C489" s="107">
        <v>0</v>
      </c>
    </row>
    <row r="490" spans="1:3" x14ac:dyDescent="0.25">
      <c r="A490" s="107">
        <v>488</v>
      </c>
      <c r="B490" s="107">
        <v>0</v>
      </c>
      <c r="C490" s="107">
        <v>0</v>
      </c>
    </row>
    <row r="491" spans="1:3" x14ac:dyDescent="0.25">
      <c r="A491" s="107">
        <v>489</v>
      </c>
      <c r="B491" s="107">
        <v>0</v>
      </c>
      <c r="C491" s="107">
        <v>0</v>
      </c>
    </row>
    <row r="492" spans="1:3" x14ac:dyDescent="0.25">
      <c r="A492" s="107">
        <v>490</v>
      </c>
      <c r="B492" s="107">
        <v>0</v>
      </c>
      <c r="C492" s="107">
        <v>0</v>
      </c>
    </row>
    <row r="493" spans="1:3" x14ac:dyDescent="0.25">
      <c r="A493" s="107">
        <v>491</v>
      </c>
      <c r="B493" s="107">
        <v>0</v>
      </c>
      <c r="C493" s="107">
        <v>0</v>
      </c>
    </row>
    <row r="494" spans="1:3" x14ac:dyDescent="0.25">
      <c r="A494" s="107">
        <v>492</v>
      </c>
      <c r="B494" s="107">
        <v>0</v>
      </c>
      <c r="C494" s="107">
        <v>0</v>
      </c>
    </row>
    <row r="495" spans="1:3" x14ac:dyDescent="0.25">
      <c r="A495" s="107">
        <v>493</v>
      </c>
      <c r="B495" s="107">
        <v>0</v>
      </c>
      <c r="C495" s="107">
        <v>0</v>
      </c>
    </row>
    <row r="496" spans="1:3" x14ac:dyDescent="0.25">
      <c r="A496" s="107">
        <v>494</v>
      </c>
      <c r="B496" s="107">
        <v>0</v>
      </c>
      <c r="C496" s="107">
        <v>0</v>
      </c>
    </row>
    <row r="497" spans="1:3" x14ac:dyDescent="0.25">
      <c r="A497" s="107">
        <v>495</v>
      </c>
      <c r="B497" s="107">
        <v>0</v>
      </c>
      <c r="C497" s="107">
        <v>0</v>
      </c>
    </row>
    <row r="498" spans="1:3" x14ac:dyDescent="0.25">
      <c r="A498" s="107">
        <v>496</v>
      </c>
      <c r="B498" s="107">
        <v>0</v>
      </c>
      <c r="C498" s="107">
        <v>0</v>
      </c>
    </row>
    <row r="499" spans="1:3" x14ac:dyDescent="0.25">
      <c r="A499" s="107">
        <v>497</v>
      </c>
      <c r="B499" s="107">
        <v>0</v>
      </c>
      <c r="C499" s="107">
        <v>0</v>
      </c>
    </row>
    <row r="500" spans="1:3" x14ac:dyDescent="0.25">
      <c r="A500" s="107">
        <v>498</v>
      </c>
      <c r="B500" s="107">
        <v>0</v>
      </c>
      <c r="C500" s="107">
        <v>0</v>
      </c>
    </row>
    <row r="501" spans="1:3" x14ac:dyDescent="0.25">
      <c r="A501" s="107">
        <v>499</v>
      </c>
      <c r="B501" s="107">
        <v>0</v>
      </c>
      <c r="C501" s="10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2017-11-30T20:19:35Z</dcterms:modified>
</cp:coreProperties>
</file>