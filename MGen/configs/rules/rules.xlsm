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in cadence</t>
        </r>
      </text>
    </comment>
    <comment ref="F115" authorId="1" shapeId="0">
      <text>
        <r>
          <rPr>
            <sz val="9"/>
            <color indexed="81"/>
            <rFont val="Tahoma"/>
            <family val="2"/>
            <charset val="204"/>
          </rPr>
          <t>Direct movement to 5th with leaping motion in higher voice in cadence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in cadence</t>
        </r>
      </text>
    </comment>
    <comment ref="F116" authorId="1" shapeId="0">
      <text>
        <r>
          <rPr>
            <sz val="9"/>
            <color indexed="81"/>
            <rFont val="Tahoma"/>
            <family val="2"/>
            <charset val="204"/>
          </rPr>
          <t>Direct movement to 8va with leaping motion in higher voice in cadence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<sst xmlns="http://schemas.openxmlformats.org/spreadsheetml/2006/main" count="4056" uniqueCount="904">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</sst>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74" activePane="bottomLeft" state="frozen"/>
      <selection activeCell="C37" sqref="C37"/>
      <selection pane="bottomLeft" activeCell="F89" sqref="F8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857</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449</v>
      </c>
      <c r="K2" s="3"/>
      <c r="L2" s="3"/>
      <c r="M2" s="4"/>
      <c r="N2" s="19" t="s">
        <v>637</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638</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639</v>
      </c>
      <c r="P4" s="2">
        <v>53</v>
      </c>
      <c r="Q4" s="2">
        <v>54</v>
      </c>
      <c r="R4" s="2">
        <v>55</v>
      </c>
      <c r="S4" s="2">
        <v>56</v>
      </c>
      <c r="U4" s="2"/>
      <c r="V4" s="2"/>
      <c r="W4" s="2"/>
      <c r="X4" s="2"/>
    </row>
    <row r="5" spans="1:24" ht="15.9" customHeight="1" x14ac:dyDescent="0.25">
      <c r="A5" s="116"/>
      <c r="B5" s="108"/>
      <c r="C5" s="3" t="s">
        <v>813</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581</v>
      </c>
      <c r="D7" s="3"/>
      <c r="E7" s="18" t="s">
        <v>2</v>
      </c>
      <c r="F7" s="18" t="s">
        <v>3</v>
      </c>
      <c r="G7" s="18" t="s">
        <v>4</v>
      </c>
      <c r="H7" s="18" t="s">
        <v>47</v>
      </c>
      <c r="I7" s="21"/>
      <c r="J7" s="3"/>
      <c r="K7" s="3"/>
      <c r="L7" s="3"/>
      <c r="M7" s="43"/>
      <c r="N7" s="42" t="s">
        <v>582</v>
      </c>
      <c r="O7" s="2"/>
      <c r="P7" s="2">
        <v>144</v>
      </c>
      <c r="Q7" s="2">
        <v>145</v>
      </c>
      <c r="R7" s="2">
        <v>146</v>
      </c>
      <c r="S7" s="2">
        <v>147</v>
      </c>
      <c r="U7" s="2"/>
      <c r="V7" s="2"/>
      <c r="W7" s="2"/>
    </row>
    <row r="8" spans="1:24" ht="15.9" customHeight="1" x14ac:dyDescent="0.25">
      <c r="A8" s="116"/>
      <c r="B8" s="108" t="s">
        <v>72</v>
      </c>
      <c r="C8" s="3" t="s">
        <v>812</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640</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567</v>
      </c>
      <c r="C12" s="26" t="s">
        <v>572</v>
      </c>
      <c r="D12" s="3"/>
      <c r="E12" s="18" t="s">
        <v>2</v>
      </c>
      <c r="F12" s="18" t="s">
        <v>3</v>
      </c>
      <c r="G12" s="18" t="s">
        <v>4</v>
      </c>
      <c r="H12" s="97" t="s">
        <v>47</v>
      </c>
      <c r="I12" s="3"/>
      <c r="J12" s="3"/>
      <c r="K12" s="3"/>
      <c r="L12" s="3"/>
      <c r="M12" s="10"/>
      <c r="N12" s="19" t="s">
        <v>641</v>
      </c>
      <c r="P12" s="2">
        <v>128</v>
      </c>
      <c r="Q12" s="2">
        <v>129</v>
      </c>
      <c r="R12" s="2">
        <v>130</v>
      </c>
      <c r="S12" s="2">
        <v>131</v>
      </c>
      <c r="T12" s="22"/>
      <c r="U12" s="2"/>
      <c r="V12" s="2"/>
      <c r="W12" s="2"/>
      <c r="X12" s="2"/>
    </row>
    <row r="13" spans="1:24" ht="15.9" customHeight="1" x14ac:dyDescent="0.25">
      <c r="A13" s="116"/>
      <c r="B13" s="108"/>
      <c r="C13" s="26" t="s">
        <v>573</v>
      </c>
      <c r="D13" s="3"/>
      <c r="E13" s="18" t="s">
        <v>2</v>
      </c>
      <c r="F13" s="18" t="s">
        <v>3</v>
      </c>
      <c r="G13" s="54" t="s">
        <v>4</v>
      </c>
      <c r="H13" s="56" t="s">
        <v>47</v>
      </c>
      <c r="I13" s="3"/>
      <c r="J13" s="3"/>
      <c r="K13" s="3"/>
      <c r="L13" s="3"/>
      <c r="M13" s="13"/>
      <c r="N13" s="19" t="s">
        <v>642</v>
      </c>
      <c r="P13" s="2">
        <v>140</v>
      </c>
      <c r="Q13" s="2">
        <v>141</v>
      </c>
      <c r="R13" s="2">
        <v>142</v>
      </c>
      <c r="S13" s="2">
        <v>143</v>
      </c>
      <c r="U13" s="2"/>
      <c r="V13" s="2"/>
      <c r="W13" s="2"/>
      <c r="X13" s="2"/>
    </row>
    <row r="14" spans="1:24" ht="15.9" customHeight="1" x14ac:dyDescent="0.25">
      <c r="A14" s="116"/>
      <c r="B14" s="108"/>
      <c r="C14" s="26" t="s">
        <v>576</v>
      </c>
      <c r="D14" s="3"/>
      <c r="E14" s="18" t="s">
        <v>2</v>
      </c>
      <c r="F14" s="57" t="s">
        <v>3</v>
      </c>
      <c r="G14" s="56" t="s">
        <v>4</v>
      </c>
      <c r="H14" s="56" t="s">
        <v>47</v>
      </c>
      <c r="I14" s="3"/>
      <c r="J14" s="3"/>
      <c r="K14" s="3"/>
      <c r="L14" s="3"/>
      <c r="M14" s="4"/>
      <c r="N14" s="19" t="s">
        <v>643</v>
      </c>
      <c r="P14" s="2">
        <v>108</v>
      </c>
      <c r="Q14" s="2">
        <v>109</v>
      </c>
      <c r="R14" s="2">
        <v>110</v>
      </c>
      <c r="S14" s="2">
        <v>111</v>
      </c>
      <c r="U14" s="2"/>
      <c r="V14" s="2"/>
      <c r="W14" s="2"/>
      <c r="X14" s="2"/>
    </row>
    <row r="15" spans="1:24" ht="15.9" customHeight="1" x14ac:dyDescent="0.25">
      <c r="A15" s="116"/>
      <c r="B15" s="108"/>
      <c r="C15" s="26" t="s">
        <v>577</v>
      </c>
      <c r="D15" s="3"/>
      <c r="E15" s="18" t="s">
        <v>2</v>
      </c>
      <c r="F15" s="4" t="s">
        <v>3</v>
      </c>
      <c r="G15" s="4" t="s">
        <v>4</v>
      </c>
      <c r="H15" s="54" t="s">
        <v>47</v>
      </c>
      <c r="I15" s="3"/>
      <c r="J15" s="3"/>
      <c r="K15" s="3"/>
      <c r="L15" s="3"/>
      <c r="M15" s="43"/>
      <c r="N15" s="19" t="s">
        <v>645</v>
      </c>
      <c r="P15" s="2">
        <v>132</v>
      </c>
      <c r="Q15" s="2">
        <v>133</v>
      </c>
      <c r="R15" s="2">
        <v>134</v>
      </c>
      <c r="S15" s="2">
        <v>135</v>
      </c>
      <c r="U15" s="2"/>
      <c r="V15" s="2"/>
      <c r="W15" s="2"/>
      <c r="X15" s="2"/>
    </row>
    <row r="16" spans="1:24" ht="15.9" customHeight="1" x14ac:dyDescent="0.25">
      <c r="A16" s="116"/>
      <c r="B16" s="108"/>
      <c r="C16" s="26" t="s">
        <v>574</v>
      </c>
      <c r="D16" s="3"/>
      <c r="E16" s="4" t="s">
        <v>2</v>
      </c>
      <c r="F16" s="4" t="s">
        <v>3</v>
      </c>
      <c r="G16" s="4" t="s">
        <v>4</v>
      </c>
      <c r="H16" s="56" t="s">
        <v>47</v>
      </c>
      <c r="I16" s="3"/>
      <c r="J16" s="3"/>
      <c r="K16" s="3"/>
      <c r="L16" s="3"/>
      <c r="M16" s="10"/>
      <c r="N16" s="19" t="s">
        <v>644</v>
      </c>
      <c r="P16" s="2">
        <v>59</v>
      </c>
      <c r="Q16" s="2">
        <v>60</v>
      </c>
      <c r="R16" s="2">
        <v>61</v>
      </c>
      <c r="S16" s="2">
        <v>62</v>
      </c>
      <c r="U16" s="2"/>
      <c r="V16" s="2"/>
      <c r="W16" s="2"/>
      <c r="X16" s="2"/>
    </row>
    <row r="17" spans="1:24" ht="15.9" customHeight="1" x14ac:dyDescent="0.25">
      <c r="A17" s="116"/>
      <c r="B17" s="108"/>
      <c r="C17" s="26" t="s">
        <v>575</v>
      </c>
      <c r="D17" s="3"/>
      <c r="E17" s="4" t="s">
        <v>2</v>
      </c>
      <c r="F17" s="57" t="s">
        <v>3</v>
      </c>
      <c r="G17" s="54" t="s">
        <v>4</v>
      </c>
      <c r="H17" s="56" t="s">
        <v>47</v>
      </c>
      <c r="I17" s="3"/>
      <c r="J17" s="3"/>
      <c r="K17" s="3"/>
      <c r="L17" s="3"/>
      <c r="M17" s="13"/>
      <c r="N17" s="19" t="s">
        <v>646</v>
      </c>
      <c r="P17" s="2">
        <v>63</v>
      </c>
      <c r="Q17" s="2">
        <v>64</v>
      </c>
      <c r="R17" s="2">
        <v>65</v>
      </c>
      <c r="S17" s="2">
        <v>66</v>
      </c>
      <c r="U17" s="2"/>
      <c r="V17" s="2"/>
      <c r="W17" s="2"/>
      <c r="X17" s="2"/>
    </row>
    <row r="18" spans="1:24" ht="15.9" customHeight="1" x14ac:dyDescent="0.25">
      <c r="A18" s="116"/>
      <c r="B18" s="108"/>
      <c r="C18" s="26" t="s">
        <v>578</v>
      </c>
      <c r="D18" s="3"/>
      <c r="E18" s="4" t="s">
        <v>2</v>
      </c>
      <c r="F18" s="57" t="s">
        <v>3</v>
      </c>
      <c r="G18" s="54" t="s">
        <v>4</v>
      </c>
      <c r="H18" s="56" t="s">
        <v>47</v>
      </c>
      <c r="I18" s="3"/>
      <c r="J18" s="3"/>
      <c r="K18" s="3"/>
      <c r="L18" s="3"/>
      <c r="M18" s="4"/>
      <c r="N18" s="19" t="s">
        <v>647</v>
      </c>
      <c r="P18" s="2">
        <v>391</v>
      </c>
      <c r="Q18" s="2">
        <v>392</v>
      </c>
      <c r="R18" s="2">
        <v>393</v>
      </c>
      <c r="S18" s="2">
        <v>394</v>
      </c>
      <c r="U18" s="2"/>
      <c r="V18" s="2"/>
      <c r="W18" s="2"/>
      <c r="X18" s="2"/>
    </row>
    <row r="19" spans="1:24" ht="15.9" customHeight="1" x14ac:dyDescent="0.25">
      <c r="A19" s="116"/>
      <c r="B19" s="108"/>
      <c r="C19" s="26" t="s">
        <v>579</v>
      </c>
      <c r="D19" s="3"/>
      <c r="E19" s="4" t="s">
        <v>2</v>
      </c>
      <c r="F19" s="57" t="s">
        <v>3</v>
      </c>
      <c r="G19" s="56" t="s">
        <v>4</v>
      </c>
      <c r="H19" s="56" t="s">
        <v>47</v>
      </c>
      <c r="I19" s="98"/>
      <c r="J19" s="3"/>
      <c r="K19" s="3"/>
      <c r="L19" s="3"/>
      <c r="M19" s="4"/>
      <c r="N19" s="19" t="s">
        <v>648</v>
      </c>
      <c r="P19" s="2">
        <v>148</v>
      </c>
      <c r="Q19" s="2">
        <v>149</v>
      </c>
      <c r="R19" s="2">
        <v>150</v>
      </c>
      <c r="S19" s="2">
        <v>151</v>
      </c>
      <c r="U19" s="2"/>
      <c r="V19" s="2"/>
      <c r="W19" s="2"/>
      <c r="X19" s="2"/>
    </row>
    <row r="20" spans="1:24" ht="15.9" customHeight="1" x14ac:dyDescent="0.25">
      <c r="A20" s="116"/>
      <c r="B20" s="108"/>
      <c r="C20" s="26" t="s">
        <v>580</v>
      </c>
      <c r="D20" s="3"/>
      <c r="E20" s="4" t="s">
        <v>2</v>
      </c>
      <c r="F20" s="57" t="s">
        <v>3</v>
      </c>
      <c r="G20" s="56" t="s">
        <v>4</v>
      </c>
      <c r="H20" s="56" t="s">
        <v>47</v>
      </c>
      <c r="I20" s="3"/>
      <c r="J20" s="3"/>
      <c r="K20" s="3"/>
      <c r="L20" s="3"/>
      <c r="M20" s="4"/>
      <c r="N20" s="19" t="s">
        <v>649</v>
      </c>
      <c r="P20" s="2">
        <v>398</v>
      </c>
      <c r="Q20" s="2">
        <v>399</v>
      </c>
      <c r="R20" s="2">
        <v>400</v>
      </c>
      <c r="S20" s="2">
        <v>401</v>
      </c>
      <c r="U20" s="2"/>
      <c r="V20" s="2"/>
      <c r="W20" s="2"/>
      <c r="X20" s="2"/>
    </row>
    <row r="21" spans="1:24" ht="15.9" customHeight="1" x14ac:dyDescent="0.25">
      <c r="A21" s="116"/>
      <c r="B21" s="108"/>
      <c r="C21" s="26" t="s">
        <v>807</v>
      </c>
      <c r="D21" s="3"/>
      <c r="E21" s="4" t="s">
        <v>2</v>
      </c>
      <c r="F21" s="4" t="s">
        <v>3</v>
      </c>
      <c r="G21" s="4" t="s">
        <v>4</v>
      </c>
      <c r="H21" s="4" t="s">
        <v>47</v>
      </c>
      <c r="I21" s="3"/>
      <c r="J21" s="3"/>
      <c r="K21" s="3"/>
      <c r="L21" s="3"/>
      <c r="M21" s="4"/>
      <c r="N21" s="19" t="s">
        <v>585</v>
      </c>
      <c r="P21" s="2">
        <v>414</v>
      </c>
      <c r="Q21" s="2">
        <v>415</v>
      </c>
      <c r="R21" s="2">
        <v>416</v>
      </c>
      <c r="S21" s="2">
        <v>417</v>
      </c>
      <c r="U21" s="2"/>
      <c r="V21" s="2"/>
      <c r="W21" s="2"/>
      <c r="X21" s="2"/>
    </row>
    <row r="22" spans="1:24" ht="15.9" customHeight="1" x14ac:dyDescent="0.25">
      <c r="A22" s="116"/>
      <c r="B22" s="108"/>
      <c r="C22" s="103" t="s">
        <v>803</v>
      </c>
      <c r="D22" s="3"/>
      <c r="E22" s="54" t="s">
        <v>2</v>
      </c>
      <c r="F22" s="54" t="s">
        <v>3</v>
      </c>
      <c r="G22" s="56" t="s">
        <v>4</v>
      </c>
      <c r="H22" s="56" t="s">
        <v>47</v>
      </c>
      <c r="I22" s="3"/>
      <c r="J22" s="3"/>
      <c r="K22" s="3"/>
      <c r="L22" s="3"/>
      <c r="M22" s="13"/>
      <c r="N22" s="19" t="s">
        <v>808</v>
      </c>
      <c r="P22" s="2">
        <v>460</v>
      </c>
      <c r="Q22" s="2">
        <v>461</v>
      </c>
      <c r="R22" s="2">
        <v>462</v>
      </c>
      <c r="S22" s="2">
        <v>463</v>
      </c>
      <c r="U22" s="2"/>
      <c r="V22" s="2"/>
      <c r="W22" s="2"/>
      <c r="X22" s="2"/>
    </row>
    <row r="23" spans="1:24" ht="15.9" customHeight="1" x14ac:dyDescent="0.25">
      <c r="A23" s="116"/>
      <c r="B23" s="108"/>
      <c r="C23" s="103" t="s">
        <v>805</v>
      </c>
      <c r="D23" s="3"/>
      <c r="E23" s="54" t="s">
        <v>2</v>
      </c>
      <c r="F23" s="54" t="s">
        <v>3</v>
      </c>
      <c r="G23" s="56" t="s">
        <v>4</v>
      </c>
      <c r="H23" s="56" t="s">
        <v>47</v>
      </c>
      <c r="I23" s="3"/>
      <c r="J23" s="3"/>
      <c r="K23" s="3"/>
      <c r="L23" s="3"/>
      <c r="M23" s="4"/>
      <c r="N23" s="19" t="s">
        <v>809</v>
      </c>
      <c r="P23" s="2">
        <v>464</v>
      </c>
      <c r="Q23" s="2">
        <v>465</v>
      </c>
      <c r="R23" s="2">
        <v>466</v>
      </c>
      <c r="S23" s="2">
        <v>467</v>
      </c>
      <c r="U23" s="2"/>
      <c r="V23" s="2"/>
      <c r="W23" s="2"/>
      <c r="X23" s="2"/>
    </row>
    <row r="24" spans="1:24" ht="15.9" customHeight="1" x14ac:dyDescent="0.25">
      <c r="A24" s="116"/>
      <c r="B24" s="108"/>
      <c r="C24" s="103" t="s">
        <v>804</v>
      </c>
      <c r="D24" s="3"/>
      <c r="E24" s="54" t="s">
        <v>2</v>
      </c>
      <c r="F24" s="54" t="s">
        <v>3</v>
      </c>
      <c r="G24" s="56" t="s">
        <v>4</v>
      </c>
      <c r="H24" s="56" t="s">
        <v>47</v>
      </c>
      <c r="I24" s="98"/>
      <c r="J24" s="3"/>
      <c r="K24" s="3"/>
      <c r="L24" s="3"/>
      <c r="M24" s="4"/>
      <c r="N24" s="19" t="s">
        <v>810</v>
      </c>
      <c r="P24" s="2">
        <v>468</v>
      </c>
      <c r="Q24" s="2">
        <v>469</v>
      </c>
      <c r="R24" s="2">
        <v>470</v>
      </c>
      <c r="S24" s="2">
        <v>471</v>
      </c>
      <c r="U24" s="2"/>
      <c r="V24" s="2"/>
      <c r="W24" s="2"/>
      <c r="X24" s="2"/>
    </row>
    <row r="25" spans="1:24" ht="15.9" customHeight="1" x14ac:dyDescent="0.25">
      <c r="A25" s="116"/>
      <c r="B25" s="108"/>
      <c r="C25" s="103" t="s">
        <v>806</v>
      </c>
      <c r="D25" s="3"/>
      <c r="E25" s="54" t="s">
        <v>2</v>
      </c>
      <c r="F25" s="54" t="s">
        <v>3</v>
      </c>
      <c r="G25" s="56" t="s">
        <v>4</v>
      </c>
      <c r="H25" s="56" t="s">
        <v>47</v>
      </c>
      <c r="I25" s="3"/>
      <c r="J25" s="3"/>
      <c r="K25" s="3"/>
      <c r="L25" s="3"/>
      <c r="M25" s="4"/>
      <c r="N25" s="19" t="s">
        <v>811</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653</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654</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860</v>
      </c>
      <c r="D29" s="3">
        <v>0</v>
      </c>
      <c r="E29" s="49" t="s">
        <v>273</v>
      </c>
      <c r="F29" s="49" t="s">
        <v>852</v>
      </c>
      <c r="G29" s="48" t="s">
        <v>303</v>
      </c>
      <c r="H29" s="48" t="s">
        <v>832</v>
      </c>
      <c r="I29" s="3"/>
      <c r="J29" s="3"/>
      <c r="K29" s="3"/>
      <c r="L29" s="3"/>
      <c r="M29" s="13"/>
      <c r="N29" s="42"/>
      <c r="P29" s="2">
        <v>493</v>
      </c>
      <c r="Q29" s="2">
        <v>494</v>
      </c>
      <c r="R29" s="2">
        <v>495</v>
      </c>
      <c r="S29" s="2">
        <v>496</v>
      </c>
      <c r="T29" s="23"/>
      <c r="U29" s="23"/>
    </row>
    <row r="30" spans="1:24" ht="15.9" customHeight="1" x14ac:dyDescent="0.25">
      <c r="A30" s="116"/>
      <c r="B30" s="108"/>
      <c r="C30" s="25" t="s">
        <v>860</v>
      </c>
      <c r="D30" s="3">
        <v>1</v>
      </c>
      <c r="E30" s="49" t="s">
        <v>302</v>
      </c>
      <c r="F30" s="49" t="s">
        <v>852</v>
      </c>
      <c r="G30" s="48" t="s">
        <v>303</v>
      </c>
      <c r="H30" s="48" t="s">
        <v>832</v>
      </c>
      <c r="I30" s="3"/>
      <c r="J30" s="3"/>
      <c r="K30" s="3"/>
      <c r="L30" s="3"/>
      <c r="M30" s="13"/>
      <c r="N30" s="42"/>
      <c r="P30" s="2">
        <v>493</v>
      </c>
      <c r="Q30" s="2">
        <v>494</v>
      </c>
      <c r="R30" s="2">
        <v>495</v>
      </c>
      <c r="S30" s="2">
        <v>496</v>
      </c>
      <c r="T30" s="23"/>
      <c r="U30" s="23"/>
    </row>
    <row r="31" spans="1:24" ht="15.9" customHeight="1" x14ac:dyDescent="0.25">
      <c r="A31" s="116"/>
      <c r="B31" s="108"/>
      <c r="C31" s="25" t="s">
        <v>860</v>
      </c>
      <c r="D31" s="3">
        <v>2</v>
      </c>
      <c r="E31" s="48" t="s">
        <v>302</v>
      </c>
      <c r="F31" s="48" t="s">
        <v>833</v>
      </c>
      <c r="G31" s="50" t="s">
        <v>273</v>
      </c>
      <c r="H31" s="50" t="s">
        <v>852</v>
      </c>
      <c r="I31" s="3"/>
      <c r="J31" s="3"/>
      <c r="K31" s="3"/>
      <c r="L31" s="3"/>
      <c r="M31" s="13"/>
      <c r="N31" s="42"/>
      <c r="P31" s="2">
        <v>493</v>
      </c>
      <c r="Q31" s="2">
        <v>494</v>
      </c>
      <c r="R31" s="2">
        <v>495</v>
      </c>
      <c r="S31" s="2">
        <v>496</v>
      </c>
      <c r="T31" s="23"/>
      <c r="U31" s="23"/>
    </row>
    <row r="32" spans="1:24" ht="15.9" customHeight="1" x14ac:dyDescent="0.25">
      <c r="A32" s="116"/>
      <c r="B32" s="108"/>
      <c r="C32" s="25" t="s">
        <v>860</v>
      </c>
      <c r="D32" s="3">
        <v>3</v>
      </c>
      <c r="E32" s="48" t="s">
        <v>302</v>
      </c>
      <c r="F32" s="48" t="s">
        <v>833</v>
      </c>
      <c r="G32" s="50" t="s">
        <v>302</v>
      </c>
      <c r="H32" s="50" t="s">
        <v>833</v>
      </c>
      <c r="I32" s="3"/>
      <c r="J32" s="3"/>
      <c r="K32" s="3"/>
      <c r="L32" s="3"/>
      <c r="M32" s="13"/>
      <c r="N32" s="42"/>
      <c r="P32" s="2">
        <v>493</v>
      </c>
      <c r="Q32" s="2">
        <v>494</v>
      </c>
      <c r="R32" s="2">
        <v>495</v>
      </c>
      <c r="S32" s="2">
        <v>496</v>
      </c>
      <c r="T32" s="23"/>
      <c r="U32" s="23"/>
    </row>
    <row r="33" spans="1:21" ht="15.9" customHeight="1" x14ac:dyDescent="0.25">
      <c r="A33" s="116"/>
      <c r="B33" s="108"/>
      <c r="C33" s="25" t="s">
        <v>860</v>
      </c>
      <c r="D33" s="3">
        <v>4</v>
      </c>
      <c r="E33" s="49" t="s">
        <v>273</v>
      </c>
      <c r="F33" s="49" t="s">
        <v>852</v>
      </c>
      <c r="G33" s="48" t="s">
        <v>303</v>
      </c>
      <c r="H33" s="48" t="s">
        <v>832</v>
      </c>
      <c r="I33" s="3"/>
      <c r="J33" s="3"/>
      <c r="K33" s="3"/>
      <c r="L33" s="3"/>
      <c r="M33" s="13"/>
      <c r="N33" s="42"/>
      <c r="P33" s="2">
        <v>493</v>
      </c>
      <c r="Q33" s="2">
        <v>494</v>
      </c>
      <c r="R33" s="2">
        <v>495</v>
      </c>
      <c r="S33" s="2">
        <v>496</v>
      </c>
      <c r="T33" s="23"/>
      <c r="U33" s="23"/>
    </row>
    <row r="34" spans="1:21" ht="15.9" customHeight="1" x14ac:dyDescent="0.25">
      <c r="A34" s="116"/>
      <c r="B34" s="108"/>
      <c r="C34" s="25" t="s">
        <v>860</v>
      </c>
      <c r="D34" s="3">
        <v>5</v>
      </c>
      <c r="E34" s="49" t="s">
        <v>273</v>
      </c>
      <c r="F34" s="49" t="s">
        <v>852</v>
      </c>
      <c r="G34" s="48" t="s">
        <v>303</v>
      </c>
      <c r="H34" s="48" t="s">
        <v>832</v>
      </c>
      <c r="I34" s="3"/>
      <c r="J34" s="3"/>
      <c r="K34" s="3"/>
      <c r="L34" s="3"/>
      <c r="M34" s="13"/>
      <c r="N34" s="42"/>
      <c r="P34" s="2">
        <v>493</v>
      </c>
      <c r="Q34" s="2">
        <v>494</v>
      </c>
      <c r="R34" s="2">
        <v>495</v>
      </c>
      <c r="S34" s="2">
        <v>496</v>
      </c>
      <c r="T34" s="23"/>
      <c r="U34" s="23"/>
    </row>
    <row r="35" spans="1:21" ht="15.9" customHeight="1" x14ac:dyDescent="0.25">
      <c r="A35" s="116"/>
      <c r="B35" s="108"/>
      <c r="C35" s="25" t="s">
        <v>861</v>
      </c>
      <c r="D35" s="3">
        <v>0</v>
      </c>
      <c r="E35" s="49" t="s">
        <v>853</v>
      </c>
      <c r="F35" s="49" t="s">
        <v>854</v>
      </c>
      <c r="G35" s="48" t="s">
        <v>855</v>
      </c>
      <c r="H35" s="48" t="s">
        <v>856</v>
      </c>
      <c r="I35" s="3"/>
      <c r="J35" s="3"/>
      <c r="K35" s="3"/>
      <c r="L35" s="3"/>
      <c r="M35" s="13"/>
      <c r="N35" s="42"/>
      <c r="P35" s="2">
        <v>497</v>
      </c>
      <c r="Q35" s="2">
        <v>498</v>
      </c>
      <c r="R35" s="2">
        <v>499</v>
      </c>
      <c r="S35" s="2">
        <v>500</v>
      </c>
      <c r="T35" s="23"/>
      <c r="U35" s="23"/>
    </row>
    <row r="36" spans="1:21" ht="15.9" customHeight="1" x14ac:dyDescent="0.25">
      <c r="A36" s="116"/>
      <c r="B36" s="108"/>
      <c r="C36" s="25" t="s">
        <v>861</v>
      </c>
      <c r="D36" s="3">
        <v>1</v>
      </c>
      <c r="E36" s="49" t="s">
        <v>303</v>
      </c>
      <c r="F36" s="49" t="s">
        <v>854</v>
      </c>
      <c r="G36" s="48" t="s">
        <v>855</v>
      </c>
      <c r="H36" s="48" t="s">
        <v>856</v>
      </c>
      <c r="I36" s="3"/>
      <c r="J36" s="3"/>
      <c r="K36" s="3"/>
      <c r="L36" s="3"/>
      <c r="M36" s="13"/>
      <c r="N36" s="42"/>
      <c r="P36" s="2">
        <v>497</v>
      </c>
      <c r="Q36" s="2">
        <v>498</v>
      </c>
      <c r="R36" s="2">
        <v>499</v>
      </c>
      <c r="S36" s="2">
        <v>500</v>
      </c>
      <c r="T36" s="23"/>
      <c r="U36" s="23"/>
    </row>
    <row r="37" spans="1:21" ht="15.9" customHeight="1" x14ac:dyDescent="0.25">
      <c r="A37" s="116"/>
      <c r="B37" s="108"/>
      <c r="C37" s="25" t="s">
        <v>861</v>
      </c>
      <c r="D37" s="3">
        <v>2</v>
      </c>
      <c r="E37" s="48" t="s">
        <v>303</v>
      </c>
      <c r="F37" s="48" t="s">
        <v>834</v>
      </c>
      <c r="G37" s="50" t="s">
        <v>303</v>
      </c>
      <c r="H37" s="50" t="s">
        <v>834</v>
      </c>
      <c r="I37" s="3"/>
      <c r="J37" s="3"/>
      <c r="K37" s="3"/>
      <c r="L37" s="3"/>
      <c r="M37" s="13"/>
      <c r="N37" s="42"/>
      <c r="P37" s="2">
        <v>497</v>
      </c>
      <c r="Q37" s="2">
        <v>498</v>
      </c>
      <c r="R37" s="2">
        <v>499</v>
      </c>
      <c r="S37" s="2">
        <v>500</v>
      </c>
      <c r="T37" s="23"/>
      <c r="U37" s="23"/>
    </row>
    <row r="38" spans="1:21" ht="15.9" customHeight="1" x14ac:dyDescent="0.25">
      <c r="A38" s="116"/>
      <c r="B38" s="108"/>
      <c r="C38" s="25" t="s">
        <v>861</v>
      </c>
      <c r="D38" s="3">
        <v>3</v>
      </c>
      <c r="E38" s="48" t="s">
        <v>303</v>
      </c>
      <c r="F38" s="48" t="s">
        <v>834</v>
      </c>
      <c r="G38" s="50" t="s">
        <v>303</v>
      </c>
      <c r="H38" s="50" t="s">
        <v>834</v>
      </c>
      <c r="I38" s="3"/>
      <c r="J38" s="3"/>
      <c r="K38" s="3"/>
      <c r="L38" s="3"/>
      <c r="M38" s="13"/>
      <c r="N38" s="42"/>
      <c r="P38" s="2">
        <v>497</v>
      </c>
      <c r="Q38" s="2">
        <v>498</v>
      </c>
      <c r="R38" s="2">
        <v>499</v>
      </c>
      <c r="S38" s="2">
        <v>500</v>
      </c>
      <c r="T38" s="23"/>
      <c r="U38" s="23"/>
    </row>
    <row r="39" spans="1:21" ht="15.9" customHeight="1" x14ac:dyDescent="0.25">
      <c r="A39" s="116"/>
      <c r="B39" s="108"/>
      <c r="C39" s="25" t="s">
        <v>861</v>
      </c>
      <c r="D39" s="3">
        <v>4</v>
      </c>
      <c r="E39" s="49" t="s">
        <v>853</v>
      </c>
      <c r="F39" s="49" t="s">
        <v>854</v>
      </c>
      <c r="G39" s="48" t="s">
        <v>855</v>
      </c>
      <c r="H39" s="48" t="s">
        <v>856</v>
      </c>
      <c r="I39" s="3"/>
      <c r="J39" s="3"/>
      <c r="K39" s="3"/>
      <c r="L39" s="3"/>
      <c r="M39" s="13"/>
      <c r="N39" s="42"/>
      <c r="P39" s="2">
        <v>497</v>
      </c>
      <c r="Q39" s="2">
        <v>498</v>
      </c>
      <c r="R39" s="2">
        <v>499</v>
      </c>
      <c r="S39" s="2">
        <v>500</v>
      </c>
      <c r="T39" s="23"/>
      <c r="U39" s="23"/>
    </row>
    <row r="40" spans="1:21" ht="15.9" customHeight="1" x14ac:dyDescent="0.25">
      <c r="A40" s="116"/>
      <c r="B40" s="108"/>
      <c r="C40" s="25" t="s">
        <v>861</v>
      </c>
      <c r="D40" s="3">
        <v>5</v>
      </c>
      <c r="E40" s="49" t="s">
        <v>853</v>
      </c>
      <c r="F40" s="49" t="s">
        <v>854</v>
      </c>
      <c r="G40" s="48" t="s">
        <v>855</v>
      </c>
      <c r="H40" s="48" t="s">
        <v>856</v>
      </c>
      <c r="I40" s="3"/>
      <c r="J40" s="3"/>
      <c r="K40" s="3"/>
      <c r="L40" s="3"/>
      <c r="M40" s="13"/>
      <c r="N40" s="42"/>
      <c r="P40" s="2">
        <v>497</v>
      </c>
      <c r="Q40" s="2">
        <v>498</v>
      </c>
      <c r="R40" s="2">
        <v>499</v>
      </c>
      <c r="S40" s="2">
        <v>500</v>
      </c>
      <c r="T40" s="23"/>
      <c r="U40" s="23"/>
    </row>
    <row r="41" spans="1:21" ht="15.9" customHeight="1" x14ac:dyDescent="0.25">
      <c r="A41" s="116"/>
      <c r="B41" s="108"/>
      <c r="C41" s="3" t="s">
        <v>554</v>
      </c>
      <c r="D41" s="3">
        <v>120</v>
      </c>
      <c r="E41" s="48">
        <v>3</v>
      </c>
      <c r="F41" s="50" t="s">
        <v>49</v>
      </c>
      <c r="G41" s="3"/>
      <c r="H41" s="3"/>
      <c r="I41" s="3"/>
      <c r="J41" s="3"/>
      <c r="K41" s="3"/>
      <c r="L41" s="3"/>
      <c r="M41" s="13"/>
      <c r="N41" s="42" t="s">
        <v>869</v>
      </c>
      <c r="P41" s="2">
        <v>501</v>
      </c>
      <c r="Q41" s="2">
        <v>502</v>
      </c>
      <c r="R41" s="23"/>
      <c r="S41" s="23"/>
      <c r="T41" s="23"/>
      <c r="U41" s="23"/>
    </row>
    <row r="42" spans="1:21" ht="15.9" customHeight="1" x14ac:dyDescent="0.25">
      <c r="A42" s="116"/>
      <c r="B42" s="108"/>
      <c r="C42" s="3" t="s">
        <v>554</v>
      </c>
      <c r="D42" s="3">
        <v>34</v>
      </c>
      <c r="E42" s="48">
        <v>3</v>
      </c>
      <c r="F42" s="50" t="s">
        <v>49</v>
      </c>
      <c r="G42" s="3"/>
      <c r="H42" s="3"/>
      <c r="I42" s="3"/>
      <c r="J42" s="3"/>
      <c r="K42" s="3"/>
      <c r="L42" s="3"/>
      <c r="M42" s="13"/>
      <c r="N42" s="42" t="s">
        <v>836</v>
      </c>
      <c r="P42" s="2">
        <v>501</v>
      </c>
      <c r="Q42" s="2">
        <v>502</v>
      </c>
      <c r="R42" s="23"/>
      <c r="S42" s="23"/>
      <c r="T42" s="23"/>
      <c r="U42" s="23"/>
    </row>
    <row r="43" spans="1:21" ht="15.9" customHeight="1" x14ac:dyDescent="0.25">
      <c r="A43" s="116"/>
      <c r="B43" s="108"/>
      <c r="C43" s="3" t="s">
        <v>554</v>
      </c>
      <c r="D43" s="3">
        <v>5</v>
      </c>
      <c r="E43" s="48">
        <v>4</v>
      </c>
      <c r="F43" s="50" t="s">
        <v>780</v>
      </c>
      <c r="G43" s="3"/>
      <c r="H43" s="3"/>
      <c r="I43" s="3"/>
      <c r="J43" s="3"/>
      <c r="K43" s="3"/>
      <c r="L43" s="3"/>
      <c r="M43" s="13"/>
      <c r="N43" s="42" t="s">
        <v>836</v>
      </c>
      <c r="P43" s="2">
        <v>501</v>
      </c>
      <c r="Q43" s="2">
        <v>502</v>
      </c>
      <c r="R43" s="23"/>
      <c r="S43" s="23"/>
      <c r="T43" s="23"/>
      <c r="U43" s="23"/>
    </row>
    <row r="44" spans="1:21" ht="15.9" customHeight="1" x14ac:dyDescent="0.25">
      <c r="A44" s="116"/>
      <c r="B44" s="108"/>
      <c r="C44" s="3" t="s">
        <v>862</v>
      </c>
      <c r="D44" s="3">
        <v>1230</v>
      </c>
      <c r="E44" s="54" t="s">
        <v>517</v>
      </c>
      <c r="F44" s="56" t="s">
        <v>778</v>
      </c>
      <c r="G44" s="56" t="s">
        <v>779</v>
      </c>
      <c r="H44" s="3"/>
      <c r="I44" s="3"/>
      <c r="J44" s="3"/>
      <c r="K44" s="3"/>
      <c r="L44" s="3"/>
      <c r="M44" s="13"/>
      <c r="N44" s="19"/>
      <c r="P44" s="2">
        <v>503</v>
      </c>
      <c r="Q44" s="2">
        <v>504</v>
      </c>
      <c r="R44" s="2">
        <v>505</v>
      </c>
      <c r="S44" s="23"/>
      <c r="T44" s="23"/>
      <c r="U44" s="23"/>
    </row>
    <row r="45" spans="1:21" ht="15.9" customHeight="1" x14ac:dyDescent="0.25">
      <c r="A45" s="116"/>
      <c r="B45" s="108"/>
      <c r="C45" s="3" t="s">
        <v>862</v>
      </c>
      <c r="D45" s="3">
        <v>45</v>
      </c>
      <c r="E45" s="57" t="s">
        <v>517</v>
      </c>
      <c r="F45" s="56" t="s">
        <v>778</v>
      </c>
      <c r="G45" s="56" t="s">
        <v>779</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660</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661</v>
      </c>
      <c r="P47" s="2">
        <v>302</v>
      </c>
      <c r="R47" s="2">
        <v>303</v>
      </c>
    </row>
    <row r="48" spans="1:21" ht="15.9" customHeight="1" x14ac:dyDescent="0.25">
      <c r="A48" s="116"/>
      <c r="B48" s="111" t="s">
        <v>12</v>
      </c>
      <c r="C48" s="26" t="s">
        <v>858</v>
      </c>
      <c r="D48" s="3">
        <v>104</v>
      </c>
      <c r="E48" s="56" t="s">
        <v>314</v>
      </c>
      <c r="F48" s="57" t="s">
        <v>312</v>
      </c>
      <c r="G48" s="4" t="s">
        <v>313</v>
      </c>
      <c r="H48" s="3"/>
      <c r="I48" s="3"/>
      <c r="J48" s="3"/>
      <c r="K48" s="3"/>
      <c r="L48" s="3"/>
      <c r="M48" s="10"/>
      <c r="N48" s="19" t="s">
        <v>662</v>
      </c>
      <c r="P48" s="2">
        <v>402</v>
      </c>
      <c r="Q48" s="2">
        <v>403</v>
      </c>
      <c r="R48" s="2">
        <v>404</v>
      </c>
    </row>
    <row r="49" spans="1:22" ht="15.9" customHeight="1" x14ac:dyDescent="0.25">
      <c r="A49" s="116"/>
      <c r="B49" s="112"/>
      <c r="C49" s="26" t="s">
        <v>858</v>
      </c>
      <c r="D49" s="3">
        <v>23</v>
      </c>
      <c r="E49" s="54" t="s">
        <v>314</v>
      </c>
      <c r="F49" s="57" t="s">
        <v>312</v>
      </c>
      <c r="G49" s="4" t="s">
        <v>313</v>
      </c>
      <c r="H49" s="3"/>
      <c r="I49" s="3"/>
      <c r="J49" s="3"/>
      <c r="K49" s="3"/>
      <c r="L49" s="3"/>
      <c r="M49" s="10"/>
      <c r="N49" s="19" t="s">
        <v>662</v>
      </c>
      <c r="P49" s="1">
        <v>402</v>
      </c>
      <c r="Q49" s="1">
        <v>403</v>
      </c>
      <c r="R49" s="1">
        <v>404</v>
      </c>
    </row>
    <row r="50" spans="1:22" ht="15.9" customHeight="1" x14ac:dyDescent="0.25">
      <c r="A50" s="116"/>
      <c r="B50" s="112"/>
      <c r="C50" s="26" t="s">
        <v>859</v>
      </c>
      <c r="D50" s="3">
        <v>23</v>
      </c>
      <c r="E50" s="54" t="s">
        <v>314</v>
      </c>
      <c r="F50" s="54" t="s">
        <v>312</v>
      </c>
      <c r="G50" s="57" t="s">
        <v>313</v>
      </c>
      <c r="H50" s="3"/>
      <c r="I50" s="3"/>
      <c r="J50" s="3"/>
      <c r="K50" s="3"/>
      <c r="L50" s="3"/>
      <c r="M50" s="10"/>
      <c r="N50" s="19" t="s">
        <v>663</v>
      </c>
      <c r="P50" s="1">
        <v>411</v>
      </c>
      <c r="Q50" s="1">
        <v>412</v>
      </c>
      <c r="R50" s="1">
        <v>413</v>
      </c>
    </row>
    <row r="51" spans="1:22" ht="15.9" customHeight="1" x14ac:dyDescent="0.25">
      <c r="A51" s="116"/>
      <c r="B51" s="112"/>
      <c r="C51" s="26" t="s">
        <v>858</v>
      </c>
      <c r="D51" s="3">
        <v>5</v>
      </c>
      <c r="E51" s="54" t="s">
        <v>314</v>
      </c>
      <c r="F51" s="57" t="s">
        <v>312</v>
      </c>
      <c r="G51" s="4" t="s">
        <v>313</v>
      </c>
      <c r="H51" s="3"/>
      <c r="I51" s="3"/>
      <c r="J51" s="3"/>
      <c r="K51" s="3"/>
      <c r="L51" s="3"/>
      <c r="M51" s="13"/>
      <c r="N51" s="19" t="s">
        <v>662</v>
      </c>
      <c r="P51" s="1">
        <v>402</v>
      </c>
      <c r="Q51" s="1">
        <v>403</v>
      </c>
      <c r="R51" s="1">
        <v>404</v>
      </c>
    </row>
    <row r="52" spans="1:22" ht="15.9" customHeight="1" x14ac:dyDescent="0.25">
      <c r="A52" s="116"/>
      <c r="B52" s="112"/>
      <c r="C52" s="26" t="s">
        <v>859</v>
      </c>
      <c r="D52" s="3">
        <v>5</v>
      </c>
      <c r="E52" s="54" t="s">
        <v>314</v>
      </c>
      <c r="F52" s="54" t="s">
        <v>312</v>
      </c>
      <c r="G52" s="57" t="s">
        <v>313</v>
      </c>
      <c r="H52" s="3"/>
      <c r="I52" s="3"/>
      <c r="J52" s="3"/>
      <c r="K52" s="3"/>
      <c r="L52" s="3"/>
      <c r="M52" s="13"/>
      <c r="N52" s="19" t="s">
        <v>663</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890</v>
      </c>
      <c r="D54" s="3"/>
      <c r="E54" s="57" t="s">
        <v>885</v>
      </c>
      <c r="F54" s="57" t="s">
        <v>886</v>
      </c>
      <c r="G54" s="57" t="s">
        <v>887</v>
      </c>
      <c r="H54" s="57" t="s">
        <v>888</v>
      </c>
      <c r="I54" s="3"/>
      <c r="J54" s="3"/>
      <c r="K54" s="3"/>
      <c r="L54" s="3"/>
      <c r="M54" s="43"/>
      <c r="N54" s="19" t="s">
        <v>883</v>
      </c>
      <c r="P54" s="2">
        <v>311</v>
      </c>
      <c r="Q54" s="2">
        <v>312</v>
      </c>
      <c r="R54" s="2">
        <v>405</v>
      </c>
      <c r="S54" s="2">
        <v>406</v>
      </c>
      <c r="T54" s="2"/>
    </row>
    <row r="55" spans="1:22" ht="15.9" customHeight="1" x14ac:dyDescent="0.25">
      <c r="A55" s="116"/>
      <c r="B55" s="112"/>
      <c r="C55" s="3" t="s">
        <v>889</v>
      </c>
      <c r="D55" s="3"/>
      <c r="E55" s="54" t="s">
        <v>885</v>
      </c>
      <c r="F55" s="54" t="s">
        <v>886</v>
      </c>
      <c r="G55" s="54" t="s">
        <v>887</v>
      </c>
      <c r="H55" s="54" t="s">
        <v>888</v>
      </c>
      <c r="I55" s="3"/>
      <c r="J55" s="3"/>
      <c r="K55" s="3"/>
      <c r="L55" s="3"/>
      <c r="M55" s="43"/>
      <c r="N55" s="19" t="s">
        <v>883</v>
      </c>
      <c r="P55" s="2">
        <v>313</v>
      </c>
      <c r="Q55" s="2">
        <v>314</v>
      </c>
      <c r="R55" s="2">
        <v>407</v>
      </c>
      <c r="S55" s="2">
        <v>408</v>
      </c>
      <c r="T55" s="2"/>
    </row>
    <row r="56" spans="1:22" ht="15.9" customHeight="1" x14ac:dyDescent="0.25">
      <c r="A56" s="116"/>
      <c r="B56" s="112"/>
      <c r="C56" s="3" t="s">
        <v>115</v>
      </c>
      <c r="D56" s="3"/>
      <c r="E56" s="48" t="s">
        <v>891</v>
      </c>
      <c r="F56" s="48" t="s">
        <v>892</v>
      </c>
      <c r="G56" s="3"/>
      <c r="H56" s="3"/>
      <c r="I56" s="3"/>
      <c r="J56" s="3"/>
      <c r="K56" s="3"/>
      <c r="L56" s="3"/>
      <c r="M56" s="10"/>
      <c r="N56" s="19" t="s">
        <v>664</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665</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419</v>
      </c>
      <c r="C59" s="26" t="s">
        <v>418</v>
      </c>
      <c r="D59" s="3"/>
      <c r="E59" s="57" t="s">
        <v>45</v>
      </c>
      <c r="F59" s="54" t="s">
        <v>46</v>
      </c>
      <c r="G59" s="57" t="s">
        <v>20</v>
      </c>
      <c r="H59" s="3"/>
      <c r="I59" s="3"/>
      <c r="J59" s="3"/>
      <c r="K59" s="3"/>
      <c r="L59" s="3"/>
      <c r="M59" s="4"/>
      <c r="N59" s="19" t="s">
        <v>446</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457</v>
      </c>
      <c r="P60" s="2">
        <v>371</v>
      </c>
      <c r="Q60" s="2">
        <v>372</v>
      </c>
      <c r="R60" s="2">
        <v>373</v>
      </c>
      <c r="S60" s="2"/>
    </row>
    <row r="61" spans="1:22" ht="15.9" customHeight="1" x14ac:dyDescent="0.25">
      <c r="A61" s="116"/>
      <c r="B61" s="111" t="s">
        <v>420</v>
      </c>
      <c r="C61" s="26" t="s">
        <v>781</v>
      </c>
      <c r="D61" s="3"/>
      <c r="E61" s="57" t="s">
        <v>45</v>
      </c>
      <c r="F61" s="54" t="s">
        <v>46</v>
      </c>
      <c r="G61" s="57" t="s">
        <v>20</v>
      </c>
      <c r="H61" s="3"/>
      <c r="I61" s="3"/>
      <c r="J61" s="3"/>
      <c r="K61" s="3"/>
      <c r="L61" s="3"/>
      <c r="M61" s="4"/>
      <c r="N61" s="19" t="s">
        <v>415</v>
      </c>
      <c r="P61" s="2">
        <v>368</v>
      </c>
      <c r="Q61" s="2">
        <v>369</v>
      </c>
      <c r="R61" s="2">
        <v>370</v>
      </c>
      <c r="S61" s="2"/>
      <c r="T61" s="2"/>
      <c r="U61" s="2"/>
    </row>
    <row r="62" spans="1:22" ht="15.9" customHeight="1" x14ac:dyDescent="0.25">
      <c r="A62" s="116"/>
      <c r="B62" s="112"/>
      <c r="C62" s="26" t="s">
        <v>782</v>
      </c>
      <c r="D62" s="3"/>
      <c r="E62" s="55" t="s">
        <v>45</v>
      </c>
      <c r="F62" s="56" t="s">
        <v>46</v>
      </c>
      <c r="G62" s="57" t="s">
        <v>20</v>
      </c>
      <c r="H62" s="3"/>
      <c r="I62" s="3"/>
      <c r="J62" s="3"/>
      <c r="K62" s="3"/>
      <c r="L62" s="3"/>
      <c r="M62" s="4"/>
      <c r="N62" s="19" t="s">
        <v>415</v>
      </c>
      <c r="P62" s="2">
        <v>365</v>
      </c>
      <c r="Q62" s="2">
        <v>366</v>
      </c>
      <c r="R62" s="2">
        <v>367</v>
      </c>
    </row>
    <row r="63" spans="1:22" ht="15.9" customHeight="1" x14ac:dyDescent="0.25">
      <c r="A63" s="116"/>
      <c r="B63" s="112"/>
      <c r="C63" s="26" t="s">
        <v>783</v>
      </c>
      <c r="D63" s="3"/>
      <c r="E63" s="55" t="s">
        <v>45</v>
      </c>
      <c r="F63" s="56" t="s">
        <v>46</v>
      </c>
      <c r="G63" s="57" t="s">
        <v>20</v>
      </c>
      <c r="H63" s="3"/>
      <c r="I63" s="3"/>
      <c r="J63" s="3"/>
      <c r="K63" s="3"/>
      <c r="L63" s="3"/>
      <c r="M63" s="4"/>
      <c r="N63" s="19" t="s">
        <v>416</v>
      </c>
      <c r="P63" s="2">
        <v>360</v>
      </c>
      <c r="Q63" s="2">
        <v>361</v>
      </c>
      <c r="R63" s="2">
        <v>362</v>
      </c>
    </row>
    <row r="64" spans="1:22" ht="15.9" customHeight="1" x14ac:dyDescent="0.25">
      <c r="A64" s="116"/>
      <c r="B64" s="112"/>
      <c r="C64" s="26" t="s">
        <v>784</v>
      </c>
      <c r="D64" s="3"/>
      <c r="E64" s="57" t="s">
        <v>45</v>
      </c>
      <c r="F64" s="54" t="s">
        <v>46</v>
      </c>
      <c r="G64" s="57" t="s">
        <v>20</v>
      </c>
      <c r="H64" s="47"/>
      <c r="I64" s="3"/>
      <c r="J64" s="3"/>
      <c r="K64" s="3"/>
      <c r="L64" s="3"/>
      <c r="M64" s="43"/>
      <c r="N64" s="19" t="s">
        <v>414</v>
      </c>
      <c r="P64" s="2">
        <v>18</v>
      </c>
      <c r="Q64" s="2">
        <v>19</v>
      </c>
      <c r="R64" s="2">
        <v>363</v>
      </c>
      <c r="S64" s="2"/>
    </row>
    <row r="65" spans="1:24" ht="15.9" customHeight="1" x14ac:dyDescent="0.25">
      <c r="A65" s="116"/>
      <c r="B65" s="113"/>
      <c r="C65" s="26" t="s">
        <v>785</v>
      </c>
      <c r="D65" s="3"/>
      <c r="E65" s="57" t="s">
        <v>45</v>
      </c>
      <c r="F65" s="54" t="s">
        <v>46</v>
      </c>
      <c r="G65" s="57" t="s">
        <v>20</v>
      </c>
      <c r="H65" s="47"/>
      <c r="I65" s="3"/>
      <c r="J65" s="3"/>
      <c r="K65" s="3"/>
      <c r="L65" s="3"/>
      <c r="M65" s="43"/>
      <c r="N65" s="19" t="s">
        <v>417</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666</v>
      </c>
      <c r="P66" s="2">
        <v>67</v>
      </c>
      <c r="Q66" s="2">
        <v>68</v>
      </c>
      <c r="R66" s="2">
        <v>69</v>
      </c>
      <c r="S66" s="22"/>
    </row>
    <row r="67" spans="1:24" ht="15.9" customHeight="1" x14ac:dyDescent="0.25">
      <c r="A67" s="116"/>
      <c r="B67" s="108"/>
      <c r="C67" s="26" t="s">
        <v>474</v>
      </c>
      <c r="D67" s="3"/>
      <c r="E67" s="52" t="s">
        <v>119</v>
      </c>
      <c r="F67" s="53" t="s">
        <v>442</v>
      </c>
      <c r="G67" s="53" t="s">
        <v>286</v>
      </c>
      <c r="H67" s="53" t="s">
        <v>144</v>
      </c>
      <c r="I67" s="3"/>
      <c r="J67" s="3"/>
      <c r="K67" s="3"/>
      <c r="L67" s="3"/>
      <c r="M67" s="13"/>
      <c r="N67" s="19"/>
      <c r="P67" s="2">
        <v>38</v>
      </c>
      <c r="Q67" s="2">
        <v>304</v>
      </c>
      <c r="R67" s="2">
        <v>37</v>
      </c>
      <c r="S67" s="2">
        <v>7</v>
      </c>
    </row>
    <row r="68" spans="1:24" ht="15.9" customHeight="1" x14ac:dyDescent="0.25">
      <c r="A68" s="116"/>
      <c r="B68" s="108"/>
      <c r="C68" s="26" t="s">
        <v>475</v>
      </c>
      <c r="D68" s="3"/>
      <c r="E68" s="53" t="s">
        <v>556</v>
      </c>
      <c r="F68" s="3"/>
      <c r="G68" s="3"/>
      <c r="H68" s="3"/>
      <c r="I68" s="3"/>
      <c r="J68" s="3"/>
      <c r="K68" s="3"/>
      <c r="L68" s="3"/>
      <c r="M68" s="13"/>
      <c r="N68" s="19"/>
      <c r="P68" s="22">
        <v>11</v>
      </c>
      <c r="Q68" s="2"/>
      <c r="R68" s="2"/>
      <c r="S68" s="2"/>
      <c r="T68" s="22"/>
    </row>
    <row r="69" spans="1:24" ht="15.9" customHeight="1" x14ac:dyDescent="0.25">
      <c r="A69" s="116"/>
      <c r="B69" s="108"/>
      <c r="C69" s="3" t="s">
        <v>771</v>
      </c>
      <c r="D69" s="3"/>
      <c r="E69" s="50" t="s">
        <v>280</v>
      </c>
      <c r="F69" s="48" t="s">
        <v>343</v>
      </c>
      <c r="G69" s="48" t="s">
        <v>764</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770</v>
      </c>
      <c r="D70" s="3"/>
      <c r="E70" s="50" t="s">
        <v>280</v>
      </c>
      <c r="F70" s="48" t="s">
        <v>343</v>
      </c>
      <c r="G70" s="48" t="s">
        <v>764</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766</v>
      </c>
      <c r="D71" s="3"/>
      <c r="E71" s="50" t="s">
        <v>280</v>
      </c>
      <c r="F71" s="48" t="s">
        <v>373</v>
      </c>
      <c r="G71" s="48" t="s">
        <v>764</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769</v>
      </c>
      <c r="D72" s="3"/>
      <c r="E72" s="50" t="s">
        <v>280</v>
      </c>
      <c r="F72" s="48" t="s">
        <v>564</v>
      </c>
      <c r="G72" s="48" t="s">
        <v>765</v>
      </c>
      <c r="H72" s="49" t="s">
        <v>565</v>
      </c>
      <c r="I72" s="3"/>
      <c r="J72" s="3"/>
      <c r="K72" s="3"/>
      <c r="L72" s="3"/>
      <c r="M72" s="4"/>
      <c r="N72" s="19"/>
      <c r="P72" s="2">
        <v>446</v>
      </c>
      <c r="Q72" s="2">
        <v>447</v>
      </c>
      <c r="R72" s="2">
        <v>448</v>
      </c>
      <c r="S72" s="2">
        <v>449</v>
      </c>
      <c r="U72" s="2"/>
      <c r="V72" s="2"/>
      <c r="W72" s="2"/>
      <c r="X72" s="2"/>
    </row>
    <row r="73" spans="1:24" ht="15.9" customHeight="1" x14ac:dyDescent="0.25">
      <c r="A73" s="116"/>
      <c r="B73" s="108"/>
      <c r="C73" s="26" t="s">
        <v>767</v>
      </c>
      <c r="D73" s="3"/>
      <c r="E73" s="50" t="s">
        <v>280</v>
      </c>
      <c r="F73" s="48" t="s">
        <v>343</v>
      </c>
      <c r="G73" s="48" t="s">
        <v>764</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768</v>
      </c>
      <c r="D74" s="3"/>
      <c r="E74" s="50" t="s">
        <v>280</v>
      </c>
      <c r="F74" s="48" t="s">
        <v>564</v>
      </c>
      <c r="G74" s="48" t="s">
        <v>765</v>
      </c>
      <c r="H74" s="49" t="s">
        <v>565</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583</v>
      </c>
      <c r="F75" s="49" t="s">
        <v>584</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620</v>
      </c>
      <c r="F76" s="51" t="s">
        <v>621</v>
      </c>
      <c r="G76" s="51" t="s">
        <v>622</v>
      </c>
      <c r="H76" s="3"/>
      <c r="I76" s="3"/>
      <c r="J76" s="3"/>
      <c r="K76" s="3"/>
      <c r="L76" s="3"/>
      <c r="M76" s="10"/>
      <c r="N76" s="19" t="s">
        <v>673</v>
      </c>
      <c r="P76" s="2">
        <v>17</v>
      </c>
      <c r="Q76" s="2">
        <v>428</v>
      </c>
      <c r="R76" s="2">
        <v>429</v>
      </c>
    </row>
    <row r="77" spans="1:24" x14ac:dyDescent="0.25">
      <c r="A77" s="116"/>
      <c r="B77" s="108"/>
      <c r="C77" s="3" t="s">
        <v>17</v>
      </c>
      <c r="D77" s="3"/>
      <c r="E77" s="51" t="s">
        <v>623</v>
      </c>
      <c r="F77" s="51" t="s">
        <v>624</v>
      </c>
      <c r="G77" s="51" t="s">
        <v>625</v>
      </c>
      <c r="H77" s="3"/>
      <c r="I77" s="3"/>
      <c r="J77" s="3"/>
      <c r="K77" s="3"/>
      <c r="L77" s="3"/>
      <c r="M77" s="13"/>
      <c r="N77" s="19" t="s">
        <v>674</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683</v>
      </c>
      <c r="P78" s="2">
        <v>194</v>
      </c>
      <c r="Q78" s="2">
        <v>195</v>
      </c>
      <c r="R78" s="2"/>
    </row>
    <row r="79" spans="1:24" x14ac:dyDescent="0.25">
      <c r="A79" s="116"/>
      <c r="B79" s="108"/>
      <c r="C79" s="26" t="s">
        <v>675</v>
      </c>
      <c r="D79" s="3"/>
      <c r="E79" s="4" t="s">
        <v>405</v>
      </c>
      <c r="F79" s="4" t="s">
        <v>336</v>
      </c>
      <c r="G79" s="54" t="s">
        <v>68</v>
      </c>
      <c r="H79" s="56" t="s">
        <v>48</v>
      </c>
      <c r="I79" s="3"/>
      <c r="J79" s="3"/>
      <c r="K79" s="3"/>
      <c r="L79" s="3"/>
      <c r="M79" s="43"/>
      <c r="N79" s="19" t="s">
        <v>676</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789</v>
      </c>
      <c r="D81" s="3"/>
      <c r="E81" s="59" t="s">
        <v>679</v>
      </c>
      <c r="G81" s="3"/>
      <c r="H81" s="3"/>
      <c r="I81" s="3"/>
      <c r="J81" s="3"/>
      <c r="K81" s="3"/>
      <c r="L81" s="3"/>
      <c r="M81" s="10"/>
      <c r="N81" s="19"/>
      <c r="P81" s="22">
        <v>375</v>
      </c>
      <c r="S81" s="2"/>
    </row>
    <row r="82" spans="1:22" ht="15.9" customHeight="1" x14ac:dyDescent="0.25">
      <c r="A82" s="116"/>
      <c r="B82" s="108"/>
      <c r="C82" s="3" t="s">
        <v>786</v>
      </c>
      <c r="D82" s="3"/>
      <c r="E82" s="54" t="s">
        <v>788</v>
      </c>
      <c r="F82" s="56" t="s">
        <v>787</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628</v>
      </c>
      <c r="D84" s="3"/>
      <c r="E84" s="18" t="s">
        <v>682</v>
      </c>
      <c r="F84" s="46" t="s">
        <v>629</v>
      </c>
      <c r="G84" s="46" t="s">
        <v>630</v>
      </c>
      <c r="H84" s="63" t="s">
        <v>631</v>
      </c>
      <c r="I84" s="3"/>
      <c r="J84" s="3"/>
      <c r="K84" s="3"/>
      <c r="L84" s="3"/>
      <c r="M84" s="13"/>
      <c r="N84" s="19"/>
      <c r="P84" s="2">
        <v>77</v>
      </c>
      <c r="Q84" s="23">
        <v>57</v>
      </c>
      <c r="R84" s="23">
        <v>92</v>
      </c>
      <c r="S84" s="23">
        <v>23</v>
      </c>
      <c r="T84" s="22"/>
      <c r="U84" s="22"/>
      <c r="V84" s="22"/>
    </row>
    <row r="85" spans="1:22" x14ac:dyDescent="0.25">
      <c r="A85" s="116"/>
      <c r="B85" s="108"/>
      <c r="C85" s="3" t="s">
        <v>602</v>
      </c>
      <c r="D85" s="3"/>
      <c r="E85" s="57" t="s">
        <v>604</v>
      </c>
      <c r="F85" s="64" t="s">
        <v>603</v>
      </c>
      <c r="G85" s="65" t="s">
        <v>605</v>
      </c>
      <c r="H85" s="3"/>
      <c r="I85" s="3"/>
      <c r="J85" s="3"/>
      <c r="K85" s="3"/>
      <c r="L85" s="3"/>
      <c r="M85" s="4"/>
      <c r="N85" s="19"/>
      <c r="P85" s="2">
        <v>418</v>
      </c>
      <c r="Q85" s="23">
        <v>99</v>
      </c>
      <c r="R85" s="23">
        <v>321</v>
      </c>
    </row>
    <row r="86" spans="1:22" x14ac:dyDescent="0.25">
      <c r="A86" s="116"/>
      <c r="B86" s="108" t="s">
        <v>422</v>
      </c>
      <c r="C86" s="26" t="s">
        <v>391</v>
      </c>
      <c r="D86" s="3"/>
      <c r="E86" s="4" t="s">
        <v>390</v>
      </c>
      <c r="F86" s="54" t="s">
        <v>393</v>
      </c>
      <c r="G86" s="56" t="s">
        <v>213</v>
      </c>
      <c r="H86" s="3"/>
      <c r="I86" s="3"/>
      <c r="J86" s="3"/>
      <c r="K86" s="3"/>
      <c r="L86" s="3"/>
      <c r="M86" s="10"/>
      <c r="N86" s="19" t="s">
        <v>683</v>
      </c>
      <c r="P86" s="2">
        <v>49</v>
      </c>
      <c r="Q86" s="2">
        <v>90</v>
      </c>
      <c r="R86" s="2">
        <v>33</v>
      </c>
    </row>
    <row r="87" spans="1:22" x14ac:dyDescent="0.25">
      <c r="A87" s="116"/>
      <c r="B87" s="108"/>
      <c r="C87" s="26" t="s">
        <v>64</v>
      </c>
      <c r="D87" s="3"/>
      <c r="E87" s="18" t="s">
        <v>396</v>
      </c>
      <c r="F87" s="18" t="s">
        <v>397</v>
      </c>
      <c r="G87" s="3"/>
      <c r="H87" s="3"/>
      <c r="I87" s="3"/>
      <c r="J87" s="3"/>
      <c r="K87" s="3"/>
      <c r="L87" s="3"/>
      <c r="M87" s="4"/>
      <c r="N87" s="19" t="s">
        <v>683</v>
      </c>
      <c r="P87" s="2">
        <v>14</v>
      </c>
      <c r="Q87" s="2">
        <v>34</v>
      </c>
    </row>
    <row r="88" spans="1:22" x14ac:dyDescent="0.25">
      <c r="A88" s="116"/>
      <c r="B88" s="108"/>
      <c r="C88" s="26" t="s">
        <v>65</v>
      </c>
      <c r="D88" s="3"/>
      <c r="E88" s="18" t="s">
        <v>395</v>
      </c>
      <c r="F88" s="18" t="s">
        <v>903</v>
      </c>
      <c r="G88" s="3"/>
      <c r="H88" s="3"/>
      <c r="I88" s="3"/>
      <c r="J88" s="3"/>
      <c r="K88" s="3"/>
      <c r="L88" s="3"/>
      <c r="M88" s="43"/>
      <c r="N88" s="19" t="s">
        <v>683</v>
      </c>
      <c r="P88" s="2">
        <v>51</v>
      </c>
      <c r="Q88" s="2">
        <v>13</v>
      </c>
    </row>
    <row r="89" spans="1:22" x14ac:dyDescent="0.25">
      <c r="A89" s="116"/>
      <c r="B89" s="108"/>
      <c r="C89" s="3" t="s">
        <v>421</v>
      </c>
      <c r="D89" s="3"/>
      <c r="E89" s="57" t="s">
        <v>428</v>
      </c>
      <c r="F89" s="57" t="s">
        <v>427</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683</v>
      </c>
      <c r="P90" s="23">
        <v>50</v>
      </c>
      <c r="Q90" s="2"/>
      <c r="R90" s="23"/>
    </row>
    <row r="91" spans="1:22" ht="13.2" customHeight="1" x14ac:dyDescent="0.25">
      <c r="A91" s="117" t="s">
        <v>56</v>
      </c>
      <c r="B91" s="108" t="s">
        <v>53</v>
      </c>
      <c r="C91" s="26" t="s">
        <v>695</v>
      </c>
      <c r="D91" s="3"/>
      <c r="E91" s="54" t="s">
        <v>692</v>
      </c>
      <c r="F91" s="48" t="s">
        <v>116</v>
      </c>
      <c r="G91" s="3"/>
      <c r="H91" s="3"/>
      <c r="I91" s="3"/>
      <c r="J91" s="3"/>
      <c r="K91" s="3"/>
      <c r="L91" s="3"/>
      <c r="M91" s="10"/>
      <c r="N91" s="19"/>
      <c r="P91" s="2">
        <v>74</v>
      </c>
      <c r="Q91" s="2">
        <v>200</v>
      </c>
    </row>
    <row r="92" spans="1:22" x14ac:dyDescent="0.25">
      <c r="A92" s="118"/>
      <c r="B92" s="108"/>
      <c r="C92" s="3" t="s">
        <v>696</v>
      </c>
      <c r="D92" s="3"/>
      <c r="E92" s="48" t="s">
        <v>378</v>
      </c>
      <c r="F92" s="48" t="s">
        <v>377</v>
      </c>
      <c r="G92" s="3"/>
      <c r="H92" s="3"/>
      <c r="I92" s="3"/>
      <c r="J92" s="3"/>
      <c r="K92" s="3"/>
      <c r="L92" s="3"/>
      <c r="M92" s="13"/>
      <c r="N92" s="19"/>
      <c r="P92" s="2">
        <v>349</v>
      </c>
      <c r="Q92" s="2">
        <v>350</v>
      </c>
    </row>
    <row r="93" spans="1:22" x14ac:dyDescent="0.25">
      <c r="A93" s="118"/>
      <c r="B93" s="108"/>
      <c r="C93" s="26" t="s">
        <v>693</v>
      </c>
      <c r="D93" s="3"/>
      <c r="E93" s="48" t="s">
        <v>375</v>
      </c>
      <c r="F93" s="3"/>
      <c r="G93" s="3"/>
      <c r="H93" s="3"/>
      <c r="I93" s="3"/>
      <c r="J93" s="3"/>
      <c r="K93" s="3"/>
      <c r="L93" s="3"/>
      <c r="M93" s="13"/>
      <c r="N93" s="19" t="s">
        <v>694</v>
      </c>
      <c r="P93" s="2">
        <v>199</v>
      </c>
      <c r="Q93" s="2"/>
    </row>
    <row r="94" spans="1:22" x14ac:dyDescent="0.25">
      <c r="A94" s="118"/>
      <c r="B94" s="108"/>
      <c r="C94" s="29" t="s">
        <v>897</v>
      </c>
      <c r="D94" s="3"/>
      <c r="E94" s="57" t="s">
        <v>896</v>
      </c>
      <c r="F94" s="3"/>
      <c r="G94" s="3"/>
      <c r="H94" s="3"/>
      <c r="I94" s="3"/>
      <c r="J94" s="3"/>
      <c r="K94" s="3"/>
      <c r="L94" s="3"/>
      <c r="M94" s="4"/>
      <c r="N94" s="19" t="s">
        <v>901</v>
      </c>
      <c r="P94" s="2">
        <v>201</v>
      </c>
    </row>
    <row r="95" spans="1:22" x14ac:dyDescent="0.25">
      <c r="A95" s="118"/>
      <c r="B95" s="108"/>
      <c r="C95" s="29" t="s">
        <v>898</v>
      </c>
      <c r="D95" s="3"/>
      <c r="E95" s="57" t="s">
        <v>718</v>
      </c>
      <c r="F95" s="3"/>
      <c r="G95" s="3"/>
      <c r="H95" s="3"/>
      <c r="I95" s="3"/>
      <c r="J95" s="3"/>
      <c r="K95" s="3"/>
      <c r="L95" s="3"/>
      <c r="M95" s="4"/>
      <c r="N95" s="19" t="s">
        <v>902</v>
      </c>
      <c r="P95" s="2">
        <v>202</v>
      </c>
    </row>
    <row r="96" spans="1:22" x14ac:dyDescent="0.25">
      <c r="A96" s="118"/>
      <c r="B96" s="108"/>
      <c r="C96" s="26" t="s">
        <v>795</v>
      </c>
      <c r="D96" s="3"/>
      <c r="E96" s="56" t="s">
        <v>84</v>
      </c>
      <c r="F96" s="56" t="s">
        <v>85</v>
      </c>
      <c r="G96" s="3"/>
      <c r="H96" s="3"/>
      <c r="I96" s="3"/>
      <c r="J96" s="3"/>
      <c r="K96" s="3"/>
      <c r="L96" s="3"/>
      <c r="M96" s="43"/>
      <c r="N96" s="19" t="s">
        <v>697</v>
      </c>
      <c r="P96" s="2">
        <v>152</v>
      </c>
      <c r="Q96" s="2">
        <v>153</v>
      </c>
    </row>
    <row r="97" spans="1:23" x14ac:dyDescent="0.25">
      <c r="A97" s="118"/>
      <c r="B97" s="108"/>
      <c r="C97" s="26" t="s">
        <v>796</v>
      </c>
      <c r="D97" s="3"/>
      <c r="E97" s="56" t="s">
        <v>84</v>
      </c>
      <c r="F97" s="56" t="s">
        <v>85</v>
      </c>
      <c r="G97" s="3"/>
      <c r="H97" s="3"/>
      <c r="I97" s="3"/>
      <c r="J97" s="3"/>
      <c r="K97" s="3"/>
      <c r="L97" s="3"/>
      <c r="M97" s="10"/>
      <c r="N97" s="19" t="s">
        <v>698</v>
      </c>
      <c r="P97" s="2">
        <v>158</v>
      </c>
      <c r="Q97" s="2">
        <v>159</v>
      </c>
    </row>
    <row r="98" spans="1:23" x14ac:dyDescent="0.25">
      <c r="A98" s="118"/>
      <c r="B98" s="108"/>
      <c r="C98" s="26" t="s">
        <v>797</v>
      </c>
      <c r="D98" s="3"/>
      <c r="E98" s="56" t="s">
        <v>84</v>
      </c>
      <c r="F98" s="56" t="s">
        <v>85</v>
      </c>
      <c r="G98" s="3"/>
      <c r="H98" s="3"/>
      <c r="I98" s="3"/>
      <c r="J98" s="3"/>
      <c r="K98" s="3"/>
      <c r="L98" s="3"/>
      <c r="M98" s="13"/>
      <c r="N98" s="19" t="s">
        <v>699</v>
      </c>
      <c r="P98" s="2">
        <v>164</v>
      </c>
      <c r="Q98" s="2">
        <v>165</v>
      </c>
    </row>
    <row r="99" spans="1:23" x14ac:dyDescent="0.25">
      <c r="A99" s="118"/>
      <c r="B99" s="108"/>
      <c r="C99" s="26" t="s">
        <v>798</v>
      </c>
      <c r="D99" s="3"/>
      <c r="E99" s="56" t="s">
        <v>84</v>
      </c>
      <c r="F99" s="56" t="s">
        <v>85</v>
      </c>
      <c r="G99" s="3"/>
      <c r="H99" s="3"/>
      <c r="I99" s="3"/>
      <c r="J99" s="3"/>
      <c r="K99" s="3"/>
      <c r="L99" s="3"/>
      <c r="M99" s="4"/>
      <c r="N99" s="19" t="s">
        <v>90</v>
      </c>
      <c r="P99" s="2">
        <v>170</v>
      </c>
      <c r="Q99" s="2">
        <v>171</v>
      </c>
    </row>
    <row r="100" spans="1:23" x14ac:dyDescent="0.25">
      <c r="A100" s="118"/>
      <c r="B100" s="108"/>
      <c r="C100" s="26" t="s">
        <v>799</v>
      </c>
      <c r="D100" s="3"/>
      <c r="E100" s="54" t="s">
        <v>86</v>
      </c>
      <c r="F100" s="56" t="s">
        <v>87</v>
      </c>
      <c r="G100" s="56" t="s">
        <v>88</v>
      </c>
      <c r="H100" s="56" t="s">
        <v>89</v>
      </c>
      <c r="I100" s="30" t="s">
        <v>867</v>
      </c>
      <c r="J100" s="3"/>
      <c r="K100" s="3"/>
      <c r="L100" s="3"/>
      <c r="M100" s="13"/>
      <c r="N100" s="19"/>
      <c r="P100" s="23">
        <v>154</v>
      </c>
      <c r="Q100" s="23">
        <v>155</v>
      </c>
      <c r="R100" s="23">
        <v>156</v>
      </c>
      <c r="S100" s="23">
        <v>157</v>
      </c>
      <c r="T100" s="23">
        <v>432</v>
      </c>
      <c r="U100" s="23"/>
    </row>
    <row r="101" spans="1:23" x14ac:dyDescent="0.25">
      <c r="A101" s="118"/>
      <c r="B101" s="108"/>
      <c r="C101" s="26" t="s">
        <v>800</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801</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802</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827</v>
      </c>
      <c r="D105" s="3"/>
      <c r="E105" s="57" t="s">
        <v>4</v>
      </c>
      <c r="G105" s="3"/>
      <c r="H105" s="3"/>
      <c r="I105" s="3"/>
      <c r="J105" s="3"/>
      <c r="K105" s="3"/>
      <c r="L105" s="3"/>
      <c r="M105" s="43"/>
      <c r="N105" s="42" t="s">
        <v>438</v>
      </c>
      <c r="P105" s="22">
        <v>325</v>
      </c>
      <c r="R105" s="22"/>
      <c r="S105" s="22"/>
      <c r="T105" s="22"/>
      <c r="U105" s="22"/>
    </row>
    <row r="106" spans="1:23" x14ac:dyDescent="0.25">
      <c r="A106" s="118"/>
      <c r="B106" s="108"/>
      <c r="C106" s="3" t="s">
        <v>828</v>
      </c>
      <c r="D106" s="3"/>
      <c r="E106" s="57" t="s">
        <v>701</v>
      </c>
      <c r="F106" s="3"/>
      <c r="G106" s="3"/>
      <c r="H106" s="3"/>
      <c r="I106" s="3"/>
      <c r="J106" s="3"/>
      <c r="K106" s="3"/>
      <c r="L106" s="3"/>
      <c r="M106" s="43"/>
      <c r="N106" s="19" t="s">
        <v>438</v>
      </c>
      <c r="P106" s="22">
        <v>326</v>
      </c>
      <c r="Q106" s="22"/>
      <c r="R106" s="22"/>
      <c r="S106" s="22"/>
      <c r="T106" s="22"/>
      <c r="U106" s="22"/>
    </row>
    <row r="107" spans="1:23" x14ac:dyDescent="0.25">
      <c r="A107" s="118"/>
      <c r="B107" s="108"/>
      <c r="C107" s="3" t="s">
        <v>863</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818</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817</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815</v>
      </c>
      <c r="D110" s="3"/>
      <c r="E110" s="4" t="s">
        <v>164</v>
      </c>
      <c r="F110" s="4" t="s">
        <v>432</v>
      </c>
      <c r="G110" s="54" t="s">
        <v>371</v>
      </c>
      <c r="H110" s="4" t="s">
        <v>425</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815</v>
      </c>
      <c r="D111" s="3"/>
      <c r="E111" s="54" t="s">
        <v>308</v>
      </c>
      <c r="F111" s="56" t="s">
        <v>57</v>
      </c>
      <c r="G111" s="54" t="s">
        <v>448</v>
      </c>
      <c r="H111" s="54" t="s">
        <v>165</v>
      </c>
      <c r="I111" s="3"/>
      <c r="J111" s="3"/>
      <c r="K111" s="3"/>
      <c r="L111" s="3"/>
      <c r="M111" s="13"/>
      <c r="N111" s="19" t="s">
        <v>328</v>
      </c>
      <c r="P111" s="2">
        <v>315</v>
      </c>
      <c r="Q111" s="2">
        <v>316</v>
      </c>
      <c r="R111" s="2">
        <v>385</v>
      </c>
      <c r="S111" s="2">
        <v>250</v>
      </c>
      <c r="V111" s="2"/>
    </row>
    <row r="112" spans="1:23" x14ac:dyDescent="0.25">
      <c r="A112" s="118"/>
      <c r="B112" s="108"/>
      <c r="C112" s="26" t="s">
        <v>816</v>
      </c>
      <c r="D112" s="3"/>
      <c r="E112" s="4" t="s">
        <v>164</v>
      </c>
      <c r="F112" s="4" t="s">
        <v>432</v>
      </c>
      <c r="G112" s="54" t="s">
        <v>371</v>
      </c>
      <c r="H112" s="4" t="s">
        <v>425</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816</v>
      </c>
      <c r="D113" s="3"/>
      <c r="E113" s="54" t="s">
        <v>308</v>
      </c>
      <c r="F113" s="56" t="s">
        <v>57</v>
      </c>
      <c r="G113" s="54" t="s">
        <v>448</v>
      </c>
      <c r="H113" s="54" t="s">
        <v>165</v>
      </c>
      <c r="I113" s="3"/>
      <c r="J113" s="3"/>
      <c r="K113" s="3"/>
      <c r="L113" s="3"/>
      <c r="M113" s="13"/>
      <c r="N113" s="19" t="s">
        <v>328</v>
      </c>
      <c r="P113" s="2">
        <v>489</v>
      </c>
      <c r="Q113" s="2">
        <v>490</v>
      </c>
      <c r="R113" s="2">
        <v>491</v>
      </c>
      <c r="S113" s="2">
        <v>492</v>
      </c>
      <c r="V113" s="2"/>
    </row>
    <row r="114" spans="1:23" x14ac:dyDescent="0.25">
      <c r="A114" s="118"/>
      <c r="B114" s="108"/>
      <c r="C114" s="3" t="s">
        <v>439</v>
      </c>
      <c r="D114" s="3"/>
      <c r="E114" s="100" t="s">
        <v>152</v>
      </c>
      <c r="F114" s="100" t="s">
        <v>153</v>
      </c>
      <c r="G114" s="100" t="s">
        <v>440</v>
      </c>
      <c r="H114" s="100" t="s">
        <v>163</v>
      </c>
      <c r="I114" s="3"/>
      <c r="J114" s="3"/>
      <c r="K114" s="3"/>
      <c r="L114" s="3"/>
      <c r="M114" s="13"/>
      <c r="N114" s="19" t="s">
        <v>700</v>
      </c>
      <c r="P114" s="2">
        <v>379</v>
      </c>
      <c r="Q114" s="2">
        <v>380</v>
      </c>
      <c r="R114" s="2">
        <v>381</v>
      </c>
      <c r="S114" s="2">
        <v>382</v>
      </c>
      <c r="T114" s="2"/>
      <c r="U114" s="2"/>
      <c r="V114" s="2"/>
      <c r="W114" s="2"/>
    </row>
    <row r="115" spans="1:23" x14ac:dyDescent="0.25">
      <c r="A115" s="118"/>
      <c r="B115" s="108"/>
      <c r="C115" s="26" t="s">
        <v>822</v>
      </c>
      <c r="D115" s="3"/>
      <c r="E115" s="4" t="s">
        <v>819</v>
      </c>
      <c r="F115" s="4" t="s">
        <v>820</v>
      </c>
      <c r="G115" s="55" t="s">
        <v>821</v>
      </c>
      <c r="H115" s="55" t="s">
        <v>138</v>
      </c>
      <c r="I115" s="3"/>
      <c r="J115" s="3"/>
      <c r="K115" s="3"/>
      <c r="L115" s="3"/>
      <c r="M115" s="4"/>
      <c r="N115" s="19"/>
      <c r="P115" s="2">
        <v>208</v>
      </c>
      <c r="Q115" s="2">
        <v>212</v>
      </c>
      <c r="R115" s="2">
        <v>210</v>
      </c>
      <c r="S115" s="2">
        <v>214</v>
      </c>
      <c r="T115" s="2"/>
      <c r="U115" s="2"/>
    </row>
    <row r="116" spans="1:23" x14ac:dyDescent="0.25">
      <c r="A116" s="118"/>
      <c r="B116" s="108"/>
      <c r="C116" s="26" t="s">
        <v>823</v>
      </c>
      <c r="D116" s="3"/>
      <c r="E116" s="4" t="s">
        <v>819</v>
      </c>
      <c r="F116" s="4" t="s">
        <v>820</v>
      </c>
      <c r="G116" s="55" t="s">
        <v>821</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609</v>
      </c>
      <c r="I117" s="99" t="s">
        <v>610</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489</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491</v>
      </c>
      <c r="D120" s="3"/>
      <c r="E120" s="56" t="s">
        <v>413</v>
      </c>
      <c r="F120" s="56" t="s">
        <v>57</v>
      </c>
      <c r="G120" s="54" t="s">
        <v>713</v>
      </c>
      <c r="H120" s="86" t="s">
        <v>714</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492</v>
      </c>
      <c r="D121" s="3"/>
      <c r="E121" s="18" t="s">
        <v>99</v>
      </c>
      <c r="F121" s="56" t="s">
        <v>138</v>
      </c>
      <c r="G121" s="56" t="s">
        <v>217</v>
      </c>
      <c r="I121" s="3"/>
      <c r="J121" s="3"/>
      <c r="K121" s="3"/>
      <c r="L121" s="3"/>
      <c r="M121" s="43"/>
      <c r="N121" s="19"/>
      <c r="P121" s="2">
        <v>169</v>
      </c>
      <c r="Q121" s="2">
        <v>187</v>
      </c>
      <c r="R121" s="2">
        <v>276</v>
      </c>
    </row>
    <row r="122" spans="1:23" x14ac:dyDescent="0.25">
      <c r="A122" s="118"/>
      <c r="B122" s="108"/>
      <c r="C122" s="3" t="s">
        <v>561</v>
      </c>
      <c r="D122" s="3"/>
      <c r="E122" s="45">
        <v>3</v>
      </c>
      <c r="F122" s="48" t="s">
        <v>824</v>
      </c>
      <c r="G122" s="3"/>
      <c r="H122" s="3"/>
      <c r="I122" s="3"/>
      <c r="J122" s="3"/>
      <c r="K122" s="3"/>
      <c r="L122" s="3"/>
      <c r="M122" s="10"/>
      <c r="N122" s="19" t="s">
        <v>825</v>
      </c>
      <c r="P122" s="2">
        <v>89</v>
      </c>
      <c r="Q122" s="2">
        <v>96</v>
      </c>
    </row>
    <row r="123" spans="1:23" x14ac:dyDescent="0.25">
      <c r="A123" s="118"/>
      <c r="B123" s="108"/>
      <c r="C123" s="3" t="s">
        <v>562</v>
      </c>
      <c r="D123" s="3"/>
      <c r="E123" s="45">
        <v>3</v>
      </c>
      <c r="F123" s="48" t="s">
        <v>824</v>
      </c>
      <c r="G123" s="3"/>
      <c r="H123" s="3"/>
      <c r="I123" s="3"/>
      <c r="J123" s="3"/>
      <c r="K123" s="3"/>
      <c r="L123" s="3"/>
      <c r="M123" s="10"/>
      <c r="N123" s="19" t="s">
        <v>826</v>
      </c>
      <c r="P123" s="2">
        <v>389</v>
      </c>
      <c r="Q123" s="2">
        <v>390</v>
      </c>
      <c r="R123" s="2"/>
      <c r="S123" s="2"/>
    </row>
    <row r="124" spans="1:23" x14ac:dyDescent="0.25">
      <c r="A124" s="118"/>
      <c r="B124" s="108"/>
      <c r="C124" s="26" t="s">
        <v>383</v>
      </c>
      <c r="D124" s="3"/>
      <c r="E124" s="18" t="s">
        <v>398</v>
      </c>
      <c r="F124" s="18" t="s">
        <v>399</v>
      </c>
      <c r="G124" s="57" t="s">
        <v>400</v>
      </c>
      <c r="H124" s="54" t="s">
        <v>618</v>
      </c>
      <c r="I124" s="56" t="s">
        <v>401</v>
      </c>
      <c r="J124" s="56" t="s">
        <v>616</v>
      </c>
      <c r="K124" s="56" t="s">
        <v>617</v>
      </c>
      <c r="L124" s="56" t="s">
        <v>213</v>
      </c>
      <c r="M124" s="13"/>
      <c r="N124" s="19" t="s">
        <v>717</v>
      </c>
      <c r="P124" s="2">
        <v>268</v>
      </c>
      <c r="Q124" s="2">
        <v>269</v>
      </c>
      <c r="R124" s="2">
        <v>270</v>
      </c>
      <c r="S124" s="2">
        <v>421</v>
      </c>
      <c r="T124" s="22">
        <v>271</v>
      </c>
      <c r="U124" s="22">
        <v>423</v>
      </c>
      <c r="V124" s="22">
        <v>425</v>
      </c>
      <c r="W124" s="22">
        <v>272</v>
      </c>
    </row>
    <row r="125" spans="1:23" x14ac:dyDescent="0.25">
      <c r="A125" s="118"/>
      <c r="B125" s="108"/>
      <c r="C125" s="26" t="s">
        <v>384</v>
      </c>
      <c r="D125" s="3"/>
      <c r="E125" s="18" t="s">
        <v>398</v>
      </c>
      <c r="F125" s="54" t="s">
        <v>399</v>
      </c>
      <c r="G125" s="54" t="s">
        <v>400</v>
      </c>
      <c r="H125" s="56" t="s">
        <v>618</v>
      </c>
      <c r="I125" s="56" t="s">
        <v>401</v>
      </c>
      <c r="J125" s="56" t="s">
        <v>616</v>
      </c>
      <c r="K125" s="56" t="s">
        <v>617</v>
      </c>
      <c r="L125" s="56" t="s">
        <v>213</v>
      </c>
      <c r="M125" s="13"/>
      <c r="N125" s="19" t="s">
        <v>717</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402</v>
      </c>
      <c r="F128" s="59" t="s">
        <v>848</v>
      </c>
      <c r="G128" s="59" t="s">
        <v>718</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455</v>
      </c>
      <c r="D129" s="3"/>
      <c r="E129" s="4" t="s">
        <v>456</v>
      </c>
      <c r="F129" s="54" t="s">
        <v>615</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726</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500</v>
      </c>
      <c r="D133" s="3"/>
      <c r="E133" s="57" t="s">
        <v>558</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727</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849</v>
      </c>
      <c r="K137" s="54" t="s">
        <v>850</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881</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794</v>
      </c>
      <c r="D145" s="3"/>
      <c r="E145" s="54" t="s">
        <v>790</v>
      </c>
      <c r="F145" s="4" t="s">
        <v>791</v>
      </c>
      <c r="G145" s="54" t="s">
        <v>792</v>
      </c>
      <c r="H145" s="4" t="s">
        <v>793</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749</v>
      </c>
      <c r="D147" s="3"/>
      <c r="E147" s="48" t="s">
        <v>354</v>
      </c>
      <c r="F147" s="48" t="s">
        <v>352</v>
      </c>
      <c r="G147" s="48" t="s">
        <v>404</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406</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619</v>
      </c>
      <c r="J150" s="54" t="s">
        <v>344</v>
      </c>
      <c r="K150" s="54" t="s">
        <v>348</v>
      </c>
      <c r="L150" s="54" t="s">
        <v>169</v>
      </c>
      <c r="M150" s="10"/>
      <c r="N150" s="19" t="s">
        <v>748</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773</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830</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829</v>
      </c>
      <c r="F184" s="48" t="s">
        <v>831</v>
      </c>
      <c r="G184" s="49" t="s">
        <v>273</v>
      </c>
      <c r="H184" s="49" t="s">
        <v>275</v>
      </c>
      <c r="I184" s="3"/>
      <c r="J184" s="3"/>
      <c r="K184" s="3"/>
      <c r="L184" s="3"/>
      <c r="M184" s="43"/>
      <c r="N184" s="19"/>
      <c r="P184" s="2">
        <v>202</v>
      </c>
      <c r="Q184" s="2">
        <v>203</v>
      </c>
      <c r="R184" s="2">
        <v>313</v>
      </c>
      <c r="S184" s="2">
        <v>314</v>
      </c>
    </row>
    <row r="185" spans="2:19" ht="15.9" customHeight="1" x14ac:dyDescent="0.25">
      <c r="C185" s="28" t="s">
        <v>814</v>
      </c>
      <c r="D185" s="28"/>
      <c r="E185" s="48">
        <v>3</v>
      </c>
      <c r="F185" s="50" t="s">
        <v>49</v>
      </c>
      <c r="G185" s="3"/>
      <c r="H185" s="3"/>
      <c r="I185" s="3"/>
      <c r="J185" s="3"/>
      <c r="K185" s="3"/>
      <c r="L185" s="3"/>
      <c r="M185" s="10"/>
      <c r="N185" s="19" t="s">
        <v>776</v>
      </c>
      <c r="P185" s="2">
        <v>70</v>
      </c>
      <c r="Q185" s="2">
        <v>71</v>
      </c>
    </row>
    <row r="186" spans="2:19" ht="15.9" customHeight="1" x14ac:dyDescent="0.25">
      <c r="C186" s="26" t="s">
        <v>9</v>
      </c>
      <c r="D186" s="26"/>
      <c r="E186" s="56" t="s">
        <v>614</v>
      </c>
      <c r="F186" s="20"/>
      <c r="G186" s="3"/>
      <c r="H186" s="3"/>
      <c r="I186" s="3"/>
      <c r="J186" s="3"/>
      <c r="K186" s="3"/>
      <c r="L186" s="3"/>
      <c r="M186" s="13"/>
      <c r="N186" s="19" t="s">
        <v>655</v>
      </c>
      <c r="P186" s="2">
        <v>27</v>
      </c>
      <c r="Q186" s="17"/>
    </row>
    <row r="187" spans="2:19" ht="15.9" customHeight="1" x14ac:dyDescent="0.25">
      <c r="C187" s="3" t="s">
        <v>777</v>
      </c>
      <c r="D187" s="3"/>
      <c r="E187" s="18" t="s">
        <v>10</v>
      </c>
      <c r="F187" s="60" t="s">
        <v>657</v>
      </c>
      <c r="G187" s="3"/>
      <c r="H187" s="3"/>
      <c r="I187" s="3"/>
      <c r="J187" s="3"/>
      <c r="K187" s="3"/>
      <c r="L187" s="3"/>
      <c r="M187" s="4"/>
      <c r="N187" s="19" t="s">
        <v>656</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445</v>
      </c>
      <c r="G1" s="33" t="s">
        <v>458</v>
      </c>
      <c r="H1" s="33" t="s">
        <v>459</v>
      </c>
      <c r="I1" s="33" t="s">
        <v>460</v>
      </c>
      <c r="J1" s="33" t="s">
        <v>411</v>
      </c>
      <c r="K1" s="33" t="s">
        <v>412</v>
      </c>
      <c r="L1" s="33" t="s">
        <v>206</v>
      </c>
      <c r="M1" s="33" t="s">
        <v>205</v>
      </c>
      <c r="N1" s="33" t="s">
        <v>207</v>
      </c>
      <c r="O1" s="33" t="s">
        <v>208</v>
      </c>
      <c r="P1" s="33" t="s">
        <v>197</v>
      </c>
      <c r="Q1" s="33" t="s">
        <v>209</v>
      </c>
      <c r="R1" s="33" t="s">
        <v>210</v>
      </c>
      <c r="S1" s="32" t="s">
        <v>22</v>
      </c>
      <c r="T1" s="32" t="s">
        <v>24</v>
      </c>
      <c r="U1" s="32" t="s">
        <v>857</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419</v>
      </c>
      <c r="D3" s="38" t="s">
        <v>418</v>
      </c>
      <c r="E3" s="41" t="s">
        <v>45</v>
      </c>
      <c r="F3" s="35" t="s">
        <v>555</v>
      </c>
      <c r="G3" s="35"/>
      <c r="H3" s="35"/>
      <c r="I3" s="35" t="s">
        <v>521</v>
      </c>
      <c r="J3" s="81">
        <f>VLOOKUP($A3, Stat!$A$1:$C$1000, 2,0)</f>
        <v>8</v>
      </c>
      <c r="K3" s="81">
        <f>VLOOKUP($A3, Stat!$A$1:$C$1000, 3,0)</f>
        <v>2</v>
      </c>
      <c r="L3" s="34">
        <v>1</v>
      </c>
      <c r="P3" s="36"/>
      <c r="Q3" s="36"/>
      <c r="R3" s="36"/>
      <c r="S3" s="38">
        <v>0</v>
      </c>
      <c r="T3" s="38">
        <v>0</v>
      </c>
      <c r="V3" s="38" t="s">
        <v>446</v>
      </c>
      <c r="W3" s="38" t="s">
        <v>318</v>
      </c>
      <c r="X3" s="38">
        <v>1</v>
      </c>
    </row>
    <row r="4" spans="1:24" ht="13.2" customHeight="1" x14ac:dyDescent="0.25">
      <c r="A4" s="38">
        <v>3</v>
      </c>
      <c r="B4" s="38" t="s">
        <v>56</v>
      </c>
      <c r="C4" s="38" t="s">
        <v>187</v>
      </c>
      <c r="D4" s="38" t="s">
        <v>233</v>
      </c>
      <c r="E4" s="38" t="s">
        <v>849</v>
      </c>
      <c r="J4" s="34">
        <f>VLOOKUP($A4, Stat!$A$1:$C$1000, 2,0)</f>
        <v>0</v>
      </c>
      <c r="K4" s="34">
        <f>VLOOKUP($A4, Stat!$A$1:$C$1000, 3,0)</f>
        <v>0</v>
      </c>
      <c r="L4" s="84"/>
      <c r="S4" s="38">
        <v>0</v>
      </c>
      <c r="T4" s="38">
        <v>0</v>
      </c>
      <c r="W4" s="38" t="s">
        <v>864</v>
      </c>
      <c r="X4" s="38">
        <v>1</v>
      </c>
    </row>
    <row r="5" spans="1:24" ht="13.2" customHeight="1" x14ac:dyDescent="0.25">
      <c r="A5" s="38">
        <v>4</v>
      </c>
      <c r="B5" s="38" t="s">
        <v>35</v>
      </c>
      <c r="C5" s="38" t="s">
        <v>11</v>
      </c>
      <c r="D5" s="38" t="s">
        <v>284</v>
      </c>
      <c r="E5" s="41" t="s">
        <v>108</v>
      </c>
      <c r="F5" s="35" t="s">
        <v>462</v>
      </c>
      <c r="G5" s="36"/>
      <c r="H5" s="36"/>
      <c r="I5" s="35" t="s">
        <v>543</v>
      </c>
      <c r="J5" s="81">
        <f>VLOOKUP($A5, Stat!$A$1:$C$1000, 2,0)</f>
        <v>0</v>
      </c>
      <c r="K5" s="81">
        <f>VLOOKUP($A5, Stat!$A$1:$C$1000, 3,0)</f>
        <v>0</v>
      </c>
      <c r="L5" s="84"/>
      <c r="M5" s="34">
        <v>1</v>
      </c>
      <c r="N5" s="34">
        <v>999</v>
      </c>
      <c r="P5" s="36"/>
      <c r="Q5" s="36"/>
      <c r="R5" s="36"/>
      <c r="S5" s="38">
        <v>0</v>
      </c>
      <c r="T5" s="38">
        <v>0</v>
      </c>
      <c r="V5" s="38" t="s">
        <v>660</v>
      </c>
      <c r="W5" s="38" t="s">
        <v>334</v>
      </c>
      <c r="X5" s="38">
        <v>1</v>
      </c>
    </row>
    <row r="6" spans="1:24" ht="13.2" customHeight="1" x14ac:dyDescent="0.25">
      <c r="A6" s="38">
        <v>5</v>
      </c>
      <c r="B6" s="38" t="s">
        <v>35</v>
      </c>
      <c r="C6" s="38" t="s">
        <v>11</v>
      </c>
      <c r="D6" s="38" t="s">
        <v>284</v>
      </c>
      <c r="E6" s="41" t="s">
        <v>136</v>
      </c>
      <c r="F6" s="35" t="s">
        <v>462</v>
      </c>
      <c r="G6" s="36"/>
      <c r="H6" s="36"/>
      <c r="I6" s="35" t="s">
        <v>543</v>
      </c>
      <c r="J6" s="81">
        <f>VLOOKUP($A6, Stat!$A$1:$C$1000, 2,0)</f>
        <v>0</v>
      </c>
      <c r="K6" s="81">
        <f>VLOOKUP($A6, Stat!$A$1:$C$1000, 3,0)</f>
        <v>0</v>
      </c>
      <c r="L6" s="84"/>
      <c r="M6" s="34">
        <v>1</v>
      </c>
      <c r="P6" s="36"/>
      <c r="Q6" s="36"/>
      <c r="R6" s="36"/>
      <c r="S6" s="38">
        <v>0</v>
      </c>
      <c r="T6" s="38">
        <v>0</v>
      </c>
      <c r="V6" s="38" t="s">
        <v>660</v>
      </c>
      <c r="W6" s="38" t="s">
        <v>335</v>
      </c>
      <c r="X6" s="38">
        <v>1</v>
      </c>
    </row>
    <row r="7" spans="1:24" ht="13.2" customHeight="1" x14ac:dyDescent="0.25">
      <c r="A7" s="38">
        <v>7</v>
      </c>
      <c r="B7" s="38" t="s">
        <v>35</v>
      </c>
      <c r="C7" s="38" t="s">
        <v>14</v>
      </c>
      <c r="D7" s="38" t="s">
        <v>474</v>
      </c>
      <c r="E7" s="41" t="s">
        <v>144</v>
      </c>
      <c r="F7" s="36"/>
      <c r="G7" s="36"/>
      <c r="H7" s="36"/>
      <c r="I7" s="36"/>
      <c r="J7" s="81">
        <f>VLOOKUP($A7, Stat!$A$1:$C$1000, 2,0)</f>
        <v>2</v>
      </c>
      <c r="K7" s="81">
        <f>VLOOKUP($A7, Stat!$A$1:$C$1000, 3,0)</f>
        <v>1</v>
      </c>
      <c r="L7" s="84"/>
      <c r="P7" s="36"/>
      <c r="Q7" s="36"/>
      <c r="R7" s="36"/>
      <c r="S7" s="38">
        <v>70</v>
      </c>
      <c r="T7" s="38">
        <v>0</v>
      </c>
      <c r="W7" s="38" t="s">
        <v>667</v>
      </c>
      <c r="X7" s="38">
        <v>1</v>
      </c>
    </row>
    <row r="8" spans="1:24" ht="13.2" customHeight="1" x14ac:dyDescent="0.25">
      <c r="A8" s="38">
        <v>8</v>
      </c>
      <c r="B8" s="38" t="s">
        <v>35</v>
      </c>
      <c r="C8" s="38" t="s">
        <v>567</v>
      </c>
      <c r="D8" s="38" t="s">
        <v>5</v>
      </c>
      <c r="E8" s="41" t="s">
        <v>75</v>
      </c>
      <c r="F8" s="35" t="s">
        <v>226</v>
      </c>
      <c r="G8" s="35"/>
      <c r="H8" s="35"/>
      <c r="I8" s="35"/>
      <c r="J8" s="81">
        <f>VLOOKUP($A8, Stat!$A$1:$C$1000, 2,0)</f>
        <v>491</v>
      </c>
      <c r="K8" s="81">
        <f>VLOOKUP($A8, Stat!$A$1:$C$1000, 3,0)</f>
        <v>1</v>
      </c>
      <c r="L8" s="84"/>
      <c r="P8" s="36"/>
      <c r="Q8" s="36"/>
      <c r="R8" s="36"/>
      <c r="S8" s="38">
        <v>0</v>
      </c>
      <c r="T8" s="38">
        <v>-1</v>
      </c>
      <c r="W8" s="38" t="s">
        <v>650</v>
      </c>
      <c r="X8" s="38">
        <v>1</v>
      </c>
    </row>
    <row r="9" spans="1:24" ht="13.2" customHeight="1" x14ac:dyDescent="0.25">
      <c r="A9" s="38">
        <v>10</v>
      </c>
      <c r="B9" s="38" t="s">
        <v>35</v>
      </c>
      <c r="C9" s="38" t="s">
        <v>12</v>
      </c>
      <c r="D9" s="38" t="s">
        <v>130</v>
      </c>
      <c r="E9" s="41" t="s">
        <v>279</v>
      </c>
      <c r="F9" s="95" t="s">
        <v>464</v>
      </c>
      <c r="G9" s="36"/>
      <c r="H9" s="36"/>
      <c r="I9" s="35" t="s">
        <v>472</v>
      </c>
      <c r="J9" s="81">
        <f>VLOOKUP($A9, Stat!$A$1:$C$1000, 2,0)</f>
        <v>39</v>
      </c>
      <c r="K9" s="81">
        <f>VLOOKUP($A9, Stat!$A$1:$C$1000, 3,0)</f>
        <v>1</v>
      </c>
      <c r="M9" s="34">
        <v>1</v>
      </c>
      <c r="P9" s="36"/>
      <c r="Q9" s="36"/>
      <c r="R9" s="36"/>
      <c r="S9" s="38">
        <v>0</v>
      </c>
      <c r="T9" s="38">
        <v>-1</v>
      </c>
      <c r="V9" s="38" t="s">
        <v>665</v>
      </c>
      <c r="X9" s="38">
        <v>1</v>
      </c>
    </row>
    <row r="10" spans="1:24" ht="13.2" customHeight="1" x14ac:dyDescent="0.25">
      <c r="A10" s="38">
        <v>11</v>
      </c>
      <c r="B10" s="38" t="s">
        <v>35</v>
      </c>
      <c r="C10" s="38" t="s">
        <v>14</v>
      </c>
      <c r="D10" s="38" t="s">
        <v>475</v>
      </c>
      <c r="E10" s="41" t="s">
        <v>556</v>
      </c>
      <c r="F10" s="95" t="s">
        <v>463</v>
      </c>
      <c r="G10" s="36"/>
      <c r="H10" s="36"/>
      <c r="I10" s="35" t="s">
        <v>547</v>
      </c>
      <c r="J10" s="81">
        <f>VLOOKUP($A10, Stat!$A$1:$C$1000, 2,0)</f>
        <v>29</v>
      </c>
      <c r="K10" s="81">
        <f>VLOOKUP($A10, Stat!$A$1:$C$1000, 3,0)</f>
        <v>1</v>
      </c>
      <c r="O10" s="34">
        <v>1</v>
      </c>
      <c r="P10" s="36"/>
      <c r="Q10" s="36"/>
      <c r="R10" s="36"/>
      <c r="S10" s="38">
        <v>70</v>
      </c>
      <c r="T10" s="38">
        <v>0</v>
      </c>
      <c r="W10" s="38" t="s">
        <v>668</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422</v>
      </c>
      <c r="D12" s="38" t="s">
        <v>65</v>
      </c>
      <c r="E12" s="41" t="s">
        <v>394</v>
      </c>
      <c r="F12" s="35"/>
      <c r="G12" s="36"/>
      <c r="H12" s="36"/>
      <c r="I12" s="36"/>
      <c r="J12" s="81">
        <f>VLOOKUP($A12, Stat!$A$1:$C$1000, 2,0)</f>
        <v>55</v>
      </c>
      <c r="K12" s="81">
        <f>VLOOKUP($A12, Stat!$A$1:$C$1000, 3,0)</f>
        <v>10</v>
      </c>
      <c r="L12" s="34">
        <v>1</v>
      </c>
      <c r="P12" s="36"/>
      <c r="Q12" s="36"/>
      <c r="R12" s="36"/>
      <c r="S12" s="38">
        <v>0</v>
      </c>
      <c r="T12" s="38">
        <v>-1</v>
      </c>
      <c r="V12" s="38" t="s">
        <v>683</v>
      </c>
      <c r="X12" s="38">
        <v>1</v>
      </c>
    </row>
    <row r="13" spans="1:24" ht="13.2" customHeight="1" x14ac:dyDescent="0.25">
      <c r="A13" s="38">
        <v>14</v>
      </c>
      <c r="B13" s="38" t="s">
        <v>37</v>
      </c>
      <c r="C13" s="38" t="s">
        <v>422</v>
      </c>
      <c r="D13" s="38" t="s">
        <v>64</v>
      </c>
      <c r="E13" s="41" t="s">
        <v>396</v>
      </c>
      <c r="F13" s="35"/>
      <c r="G13" s="36"/>
      <c r="H13" s="36"/>
      <c r="I13" s="36"/>
      <c r="J13" s="81">
        <f>VLOOKUP($A13, Stat!$A$1:$C$1000, 2,0)</f>
        <v>185</v>
      </c>
      <c r="K13" s="81">
        <f>VLOOKUP($A13, Stat!$A$1:$C$1000, 3,0)</f>
        <v>26</v>
      </c>
      <c r="L13" s="34">
        <v>1</v>
      </c>
      <c r="P13" s="36"/>
      <c r="Q13" s="36"/>
      <c r="R13" s="36"/>
      <c r="S13" s="38">
        <v>0</v>
      </c>
      <c r="T13" s="38">
        <v>-1</v>
      </c>
      <c r="V13" s="38" t="s">
        <v>683</v>
      </c>
      <c r="X13" s="38">
        <v>1</v>
      </c>
    </row>
    <row r="14" spans="1:24" ht="13.2" customHeight="1" x14ac:dyDescent="0.25">
      <c r="A14" s="38">
        <v>15</v>
      </c>
      <c r="B14" s="38" t="s">
        <v>35</v>
      </c>
      <c r="C14" s="38" t="s">
        <v>14</v>
      </c>
      <c r="D14" s="38" t="s">
        <v>269</v>
      </c>
      <c r="E14" s="41" t="s">
        <v>583</v>
      </c>
      <c r="F14" s="95" t="s">
        <v>464</v>
      </c>
      <c r="G14" s="35"/>
      <c r="H14" s="35"/>
      <c r="I14" s="35" t="s">
        <v>472</v>
      </c>
      <c r="J14" s="81">
        <f>VLOOKUP($A14, Stat!$A$1:$C$1000, 2,0)</f>
        <v>36</v>
      </c>
      <c r="K14" s="81">
        <f>VLOOKUP($A14, Stat!$A$1:$C$1000, 3,0)</f>
        <v>2</v>
      </c>
      <c r="M14" s="34">
        <v>1</v>
      </c>
      <c r="O14" s="34">
        <v>1</v>
      </c>
      <c r="P14" s="36"/>
      <c r="Q14" s="35"/>
      <c r="R14" s="35"/>
      <c r="S14" s="38">
        <v>0</v>
      </c>
      <c r="T14" s="38">
        <v>0</v>
      </c>
      <c r="W14" s="38" t="s">
        <v>669</v>
      </c>
      <c r="X14" s="38">
        <v>1</v>
      </c>
    </row>
    <row r="15" spans="1:24" ht="13.2" customHeight="1" x14ac:dyDescent="0.25">
      <c r="A15" s="38">
        <v>16</v>
      </c>
      <c r="B15" s="38" t="s">
        <v>35</v>
      </c>
      <c r="C15" s="38" t="s">
        <v>14</v>
      </c>
      <c r="D15" s="38" t="s">
        <v>269</v>
      </c>
      <c r="E15" s="41" t="s">
        <v>584</v>
      </c>
      <c r="F15" s="95" t="s">
        <v>464</v>
      </c>
      <c r="G15" s="35"/>
      <c r="H15" s="35"/>
      <c r="I15" s="35" t="s">
        <v>472</v>
      </c>
      <c r="J15" s="81">
        <f>VLOOKUP($A15, Stat!$A$1:$C$1000, 2,0)</f>
        <v>20</v>
      </c>
      <c r="K15" s="81">
        <f>VLOOKUP($A15, Stat!$A$1:$C$1000, 3,0)</f>
        <v>1</v>
      </c>
      <c r="M15" s="34">
        <v>1</v>
      </c>
      <c r="P15" s="36"/>
      <c r="Q15" s="35"/>
      <c r="R15" s="35"/>
      <c r="S15" s="38">
        <v>0</v>
      </c>
      <c r="T15" s="38">
        <v>0</v>
      </c>
      <c r="W15" s="38" t="s">
        <v>669</v>
      </c>
      <c r="X15" s="38">
        <v>1</v>
      </c>
    </row>
    <row r="16" spans="1:24" ht="13.2" customHeight="1" x14ac:dyDescent="0.25">
      <c r="A16" s="38">
        <v>17</v>
      </c>
      <c r="B16" s="38" t="s">
        <v>37</v>
      </c>
      <c r="C16" s="38" t="s">
        <v>15</v>
      </c>
      <c r="D16" s="38" t="s">
        <v>16</v>
      </c>
      <c r="E16" s="41" t="s">
        <v>620</v>
      </c>
      <c r="F16" s="35" t="s">
        <v>464</v>
      </c>
      <c r="G16" s="35"/>
      <c r="H16" s="35"/>
      <c r="I16" s="35" t="s">
        <v>633</v>
      </c>
      <c r="J16" s="81">
        <f>VLOOKUP($A16, Stat!$A$1:$C$1000, 2,0)</f>
        <v>6</v>
      </c>
      <c r="K16" s="81">
        <f>VLOOKUP($A16, Stat!$A$1:$C$1000, 3,0)</f>
        <v>0</v>
      </c>
      <c r="L16" s="84"/>
      <c r="M16" s="34">
        <v>1</v>
      </c>
      <c r="P16" s="35"/>
      <c r="Q16" s="36"/>
      <c r="R16" s="35" t="s">
        <v>632</v>
      </c>
      <c r="S16" s="38">
        <v>20</v>
      </c>
      <c r="T16" s="38">
        <v>0</v>
      </c>
      <c r="V16" s="38" t="s">
        <v>673</v>
      </c>
      <c r="X16" s="38">
        <v>1</v>
      </c>
    </row>
    <row r="17" spans="1:24" ht="13.2" customHeight="1" x14ac:dyDescent="0.25">
      <c r="A17" s="38">
        <v>18</v>
      </c>
      <c r="B17" s="38" t="s">
        <v>35</v>
      </c>
      <c r="C17" s="38" t="s">
        <v>420</v>
      </c>
      <c r="D17" s="38" t="s">
        <v>784</v>
      </c>
      <c r="E17" s="41" t="s">
        <v>45</v>
      </c>
      <c r="F17" s="35" t="s">
        <v>555</v>
      </c>
      <c r="G17" s="36"/>
      <c r="H17" s="36"/>
      <c r="I17" s="35" t="s">
        <v>521</v>
      </c>
      <c r="J17" s="81">
        <f>VLOOKUP($A17, Stat!$A$1:$C$1000, 2,0)</f>
        <v>4</v>
      </c>
      <c r="K17" s="81">
        <f>VLOOKUP($A17, Stat!$A$1:$C$1000, 3,0)</f>
        <v>0</v>
      </c>
      <c r="L17" s="82">
        <v>1</v>
      </c>
      <c r="P17" s="36"/>
      <c r="Q17" s="36"/>
      <c r="R17" s="36"/>
      <c r="S17" s="38">
        <v>0</v>
      </c>
      <c r="T17" s="38">
        <v>0</v>
      </c>
      <c r="V17" s="38" t="s">
        <v>414</v>
      </c>
      <c r="X17" s="38">
        <v>1</v>
      </c>
    </row>
    <row r="18" spans="1:24" ht="13.2" customHeight="1" x14ac:dyDescent="0.25">
      <c r="A18" s="38">
        <v>19</v>
      </c>
      <c r="B18" s="38" t="s">
        <v>35</v>
      </c>
      <c r="C18" s="38" t="s">
        <v>420</v>
      </c>
      <c r="D18" s="38" t="s">
        <v>784</v>
      </c>
      <c r="E18" s="41" t="s">
        <v>46</v>
      </c>
      <c r="F18" s="35" t="s">
        <v>555</v>
      </c>
      <c r="G18" s="36"/>
      <c r="H18" s="36"/>
      <c r="I18" s="35" t="s">
        <v>521</v>
      </c>
      <c r="J18" s="81">
        <f>VLOOKUP($A18, Stat!$A$1:$C$1000, 2,0)</f>
        <v>33</v>
      </c>
      <c r="K18" s="81">
        <f>VLOOKUP($A18, Stat!$A$1:$C$1000, 3,0)</f>
        <v>21</v>
      </c>
      <c r="L18" s="34">
        <v>1</v>
      </c>
      <c r="P18" s="35" t="s">
        <v>319</v>
      </c>
      <c r="Q18" s="36"/>
      <c r="R18" s="36"/>
      <c r="S18" s="38">
        <v>60</v>
      </c>
      <c r="T18" s="38">
        <v>0</v>
      </c>
      <c r="V18" s="38" t="s">
        <v>414</v>
      </c>
      <c r="X18" s="38">
        <v>1</v>
      </c>
    </row>
    <row r="19" spans="1:24" ht="13.2" customHeight="1" x14ac:dyDescent="0.25">
      <c r="A19" s="38">
        <v>20</v>
      </c>
      <c r="B19" s="38" t="s">
        <v>37</v>
      </c>
      <c r="C19" s="38" t="s">
        <v>15</v>
      </c>
      <c r="D19" s="38" t="s">
        <v>17</v>
      </c>
      <c r="E19" s="41" t="s">
        <v>623</v>
      </c>
      <c r="F19" s="35" t="s">
        <v>464</v>
      </c>
      <c r="G19" s="35"/>
      <c r="H19" s="35"/>
      <c r="I19" s="35" t="s">
        <v>634</v>
      </c>
      <c r="J19" s="81">
        <f>VLOOKUP($A19, Stat!$A$1:$C$1000, 2,0)</f>
        <v>5</v>
      </c>
      <c r="K19" s="81">
        <f>VLOOKUP($A19, Stat!$A$1:$C$1000, 3,0)</f>
        <v>0</v>
      </c>
      <c r="L19" s="84"/>
      <c r="M19" s="34">
        <v>1</v>
      </c>
      <c r="P19" s="35"/>
      <c r="Q19" s="36"/>
      <c r="R19" s="35" t="s">
        <v>632</v>
      </c>
      <c r="S19" s="38">
        <v>20</v>
      </c>
      <c r="T19" s="38">
        <v>0</v>
      </c>
      <c r="V19" s="38" t="s">
        <v>674</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567</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651</v>
      </c>
      <c r="X21" s="38">
        <v>1</v>
      </c>
    </row>
    <row r="22" spans="1:24" ht="13.2" customHeight="1" x14ac:dyDescent="0.25">
      <c r="A22" s="38">
        <v>23</v>
      </c>
      <c r="B22" s="38" t="s">
        <v>37</v>
      </c>
      <c r="C22" s="38" t="s">
        <v>15</v>
      </c>
      <c r="D22" s="38" t="s">
        <v>628</v>
      </c>
      <c r="E22" s="41" t="s">
        <v>631</v>
      </c>
      <c r="F22" s="35" t="s">
        <v>464</v>
      </c>
      <c r="G22" s="35"/>
      <c r="H22" s="35"/>
      <c r="I22" s="35" t="s">
        <v>633</v>
      </c>
      <c r="J22" s="81">
        <f>VLOOKUP($A22, Stat!$A$1:$C$1000, 2,0)</f>
        <v>19</v>
      </c>
      <c r="K22" s="81">
        <f>VLOOKUP($A22, Stat!$A$1:$C$1000, 3,0)</f>
        <v>1</v>
      </c>
      <c r="L22" s="83"/>
      <c r="P22" s="35"/>
      <c r="Q22" s="36"/>
      <c r="R22" s="35" t="s">
        <v>632</v>
      </c>
      <c r="S22" s="38">
        <v>20</v>
      </c>
      <c r="T22" s="38">
        <v>0</v>
      </c>
      <c r="W22" s="38" t="s">
        <v>684</v>
      </c>
      <c r="X22" s="38">
        <v>1</v>
      </c>
    </row>
    <row r="23" spans="1:24" ht="13.2" customHeight="1" x14ac:dyDescent="0.25">
      <c r="A23" s="38">
        <v>24</v>
      </c>
      <c r="B23" s="38" t="s">
        <v>56</v>
      </c>
      <c r="C23" s="38" t="s">
        <v>56</v>
      </c>
      <c r="D23" s="38" t="s">
        <v>500</v>
      </c>
      <c r="E23" s="41" t="s">
        <v>558</v>
      </c>
      <c r="F23" s="35" t="s">
        <v>462</v>
      </c>
      <c r="G23" s="36"/>
      <c r="H23" s="36"/>
      <c r="I23" s="35" t="s">
        <v>558</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801</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728</v>
      </c>
      <c r="X26" s="38">
        <v>1</v>
      </c>
    </row>
    <row r="27" spans="1:24" ht="13.2" customHeight="1" x14ac:dyDescent="0.25">
      <c r="A27" s="38">
        <v>31</v>
      </c>
      <c r="B27" s="38" t="s">
        <v>35</v>
      </c>
      <c r="C27" s="38" t="s">
        <v>419</v>
      </c>
      <c r="D27" s="38" t="s">
        <v>418</v>
      </c>
      <c r="E27" s="41" t="s">
        <v>46</v>
      </c>
      <c r="F27" s="35" t="s">
        <v>555</v>
      </c>
      <c r="G27" s="35"/>
      <c r="H27" s="35"/>
      <c r="I27" s="35" t="s">
        <v>521</v>
      </c>
      <c r="J27" s="81">
        <f>VLOOKUP($A27, Stat!$A$1:$C$1000, 2,0)</f>
        <v>29</v>
      </c>
      <c r="K27" s="81">
        <f>VLOOKUP($A27, Stat!$A$1:$C$1000, 3,0)</f>
        <v>3</v>
      </c>
      <c r="L27" s="82"/>
      <c r="P27" s="35" t="s">
        <v>228</v>
      </c>
      <c r="Q27" s="36"/>
      <c r="R27" s="36"/>
      <c r="S27" s="38">
        <v>60</v>
      </c>
      <c r="T27" s="38">
        <v>0</v>
      </c>
      <c r="V27" s="38" t="s">
        <v>446</v>
      </c>
      <c r="X27" s="38">
        <v>1</v>
      </c>
    </row>
    <row r="28" spans="1:24" ht="13.2" customHeight="1" x14ac:dyDescent="0.25">
      <c r="A28" s="38">
        <v>32</v>
      </c>
      <c r="B28" s="38" t="s">
        <v>35</v>
      </c>
      <c r="C28" s="38" t="s">
        <v>419</v>
      </c>
      <c r="D28" s="38" t="s">
        <v>418</v>
      </c>
      <c r="E28" s="41" t="s">
        <v>20</v>
      </c>
      <c r="F28" s="35" t="s">
        <v>555</v>
      </c>
      <c r="G28" s="35"/>
      <c r="H28" s="35"/>
      <c r="I28" s="35" t="s">
        <v>521</v>
      </c>
      <c r="J28" s="81">
        <f>VLOOKUP($A28, Stat!$A$1:$C$1000, 2,0)</f>
        <v>17</v>
      </c>
      <c r="K28" s="81">
        <f>VLOOKUP($A28, Stat!$A$1:$C$1000, 3,0)</f>
        <v>5</v>
      </c>
      <c r="L28" s="34">
        <v>1</v>
      </c>
      <c r="P28" s="36"/>
      <c r="Q28" s="36"/>
      <c r="R28" s="36"/>
      <c r="S28" s="38">
        <v>0</v>
      </c>
      <c r="T28" s="38">
        <v>0</v>
      </c>
      <c r="V28" s="38" t="s">
        <v>446</v>
      </c>
      <c r="W28" s="38" t="s">
        <v>868</v>
      </c>
      <c r="X28" s="38">
        <v>1</v>
      </c>
    </row>
    <row r="29" spans="1:24" ht="13.2" customHeight="1" x14ac:dyDescent="0.25">
      <c r="A29" s="38">
        <v>33</v>
      </c>
      <c r="B29" s="38" t="s">
        <v>37</v>
      </c>
      <c r="C29" s="38" t="s">
        <v>422</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683</v>
      </c>
      <c r="W29" s="38" t="s">
        <v>685</v>
      </c>
      <c r="X29" s="38">
        <v>1</v>
      </c>
    </row>
    <row r="30" spans="1:24" ht="13.2" customHeight="1" x14ac:dyDescent="0.25">
      <c r="A30" s="38">
        <v>34</v>
      </c>
      <c r="B30" s="38" t="s">
        <v>37</v>
      </c>
      <c r="C30" s="38" t="s">
        <v>422</v>
      </c>
      <c r="D30" s="38" t="s">
        <v>64</v>
      </c>
      <c r="E30" s="41" t="s">
        <v>397</v>
      </c>
      <c r="F30" s="35"/>
      <c r="G30" s="36"/>
      <c r="H30" s="36"/>
      <c r="I30" s="36"/>
      <c r="J30" s="81">
        <f>VLOOKUP($A30, Stat!$A$1:$C$1000, 2,0)</f>
        <v>40</v>
      </c>
      <c r="K30" s="81">
        <f>VLOOKUP($A30, Stat!$A$1:$C$1000, 3,0)</f>
        <v>5</v>
      </c>
      <c r="L30" s="34">
        <v>1</v>
      </c>
      <c r="P30" s="36"/>
      <c r="Q30" s="36"/>
      <c r="R30" s="36"/>
      <c r="S30" s="38">
        <v>0</v>
      </c>
      <c r="T30" s="38">
        <v>-1</v>
      </c>
      <c r="V30" s="38" t="s">
        <v>683</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727</v>
      </c>
      <c r="X31" s="38">
        <v>1</v>
      </c>
    </row>
    <row r="32" spans="1:24" ht="13.2" customHeight="1" x14ac:dyDescent="0.25">
      <c r="A32" s="38">
        <v>37</v>
      </c>
      <c r="B32" s="38" t="s">
        <v>35</v>
      </c>
      <c r="C32" s="38" t="s">
        <v>14</v>
      </c>
      <c r="D32" s="38" t="s">
        <v>474</v>
      </c>
      <c r="E32" s="41" t="s">
        <v>286</v>
      </c>
      <c r="F32" s="36"/>
      <c r="G32" s="36"/>
      <c r="H32" s="36"/>
      <c r="I32" s="36"/>
      <c r="J32" s="81">
        <f>VLOOKUP($A32, Stat!$A$1:$C$1000, 2,0)</f>
        <v>28</v>
      </c>
      <c r="K32" s="81">
        <f>VLOOKUP($A32, Stat!$A$1:$C$1000, 3,0)</f>
        <v>1</v>
      </c>
      <c r="P32" s="36"/>
      <c r="Q32" s="36"/>
      <c r="R32" s="36"/>
      <c r="S32" s="38">
        <v>70</v>
      </c>
      <c r="T32" s="38">
        <v>0</v>
      </c>
      <c r="W32" s="38" t="s">
        <v>670</v>
      </c>
      <c r="X32" s="38">
        <v>1</v>
      </c>
    </row>
    <row r="33" spans="1:24" ht="13.2" customHeight="1" x14ac:dyDescent="0.25">
      <c r="A33" s="38">
        <v>38</v>
      </c>
      <c r="B33" s="38" t="s">
        <v>35</v>
      </c>
      <c r="C33" s="38" t="s">
        <v>14</v>
      </c>
      <c r="D33" s="38" t="s">
        <v>474</v>
      </c>
      <c r="E33" s="41" t="s">
        <v>119</v>
      </c>
      <c r="F33" s="35" t="s">
        <v>464</v>
      </c>
      <c r="G33" s="36"/>
      <c r="H33" s="36"/>
      <c r="I33" s="35" t="s">
        <v>472</v>
      </c>
      <c r="J33" s="81">
        <f>VLOOKUP($A33, Stat!$A$1:$C$1000, 2,0)</f>
        <v>96</v>
      </c>
      <c r="K33" s="81">
        <f>VLOOKUP($A33, Stat!$A$1:$C$1000, 3,0)</f>
        <v>2</v>
      </c>
      <c r="L33" s="84"/>
      <c r="P33" s="36"/>
      <c r="Q33" s="36"/>
      <c r="R33" s="36"/>
      <c r="S33" s="38">
        <v>0</v>
      </c>
      <c r="T33" s="38">
        <v>0</v>
      </c>
      <c r="W33" s="38" t="s">
        <v>772</v>
      </c>
      <c r="X33" s="38">
        <v>1</v>
      </c>
    </row>
    <row r="34" spans="1:24" ht="13.2" customHeight="1" x14ac:dyDescent="0.25">
      <c r="A34" s="38">
        <v>39</v>
      </c>
      <c r="B34" s="38" t="s">
        <v>35</v>
      </c>
      <c r="C34" s="38" t="s">
        <v>12</v>
      </c>
      <c r="D34" s="38" t="s">
        <v>130</v>
      </c>
      <c r="E34" s="41" t="s">
        <v>278</v>
      </c>
      <c r="F34" s="95" t="s">
        <v>464</v>
      </c>
      <c r="G34" s="36"/>
      <c r="H34" s="36"/>
      <c r="I34" s="35" t="s">
        <v>472</v>
      </c>
      <c r="J34" s="81">
        <f>VLOOKUP($A34, Stat!$A$1:$C$1000, 2,0)</f>
        <v>21</v>
      </c>
      <c r="K34" s="81">
        <f>VLOOKUP($A34, Stat!$A$1:$C$1000, 3,0)</f>
        <v>0</v>
      </c>
      <c r="L34" s="84"/>
      <c r="P34" s="36"/>
      <c r="Q34" s="36"/>
      <c r="R34" s="36"/>
      <c r="S34" s="38">
        <v>60</v>
      </c>
      <c r="T34" s="38">
        <v>0</v>
      </c>
      <c r="V34" s="38" t="s">
        <v>665</v>
      </c>
      <c r="X34" s="38">
        <v>1</v>
      </c>
    </row>
    <row r="35" spans="1:24" ht="13.2" customHeight="1" x14ac:dyDescent="0.25">
      <c r="A35" s="38">
        <v>40</v>
      </c>
      <c r="B35" s="38" t="s">
        <v>37</v>
      </c>
      <c r="C35" s="38" t="s">
        <v>15</v>
      </c>
      <c r="D35" s="38" t="s">
        <v>675</v>
      </c>
      <c r="E35" s="38" t="s">
        <v>48</v>
      </c>
      <c r="F35" s="34">
        <v>1</v>
      </c>
      <c r="J35" s="81">
        <f>VLOOKUP($A35, Stat!$A$1:$C$1000, 2,0)</f>
        <v>54</v>
      </c>
      <c r="K35" s="81">
        <f>VLOOKUP($A35, Stat!$A$1:$C$1000, 3,0)</f>
        <v>2</v>
      </c>
      <c r="S35" s="38">
        <v>100</v>
      </c>
      <c r="T35" s="38">
        <v>0</v>
      </c>
      <c r="V35" s="38" t="s">
        <v>676</v>
      </c>
      <c r="W35" s="38" t="s">
        <v>677</v>
      </c>
      <c r="X35" s="38">
        <v>1</v>
      </c>
    </row>
    <row r="36" spans="1:24" ht="13.2" customHeight="1" x14ac:dyDescent="0.25">
      <c r="A36" s="38">
        <v>41</v>
      </c>
      <c r="B36" s="38" t="s">
        <v>56</v>
      </c>
      <c r="C36" s="38" t="s">
        <v>159</v>
      </c>
      <c r="D36" s="38" t="s">
        <v>406</v>
      </c>
      <c r="E36" s="38" t="s">
        <v>48</v>
      </c>
      <c r="J36" s="81">
        <f>VLOOKUP($A36, Stat!$A$1:$C$1000, 2,0)</f>
        <v>15</v>
      </c>
      <c r="K36" s="81">
        <f>VLOOKUP($A36, Stat!$A$1:$C$1000, 3,0)</f>
        <v>12</v>
      </c>
      <c r="L36" s="34">
        <v>1</v>
      </c>
      <c r="S36" s="38">
        <v>60</v>
      </c>
      <c r="T36" s="38">
        <v>0</v>
      </c>
      <c r="W36" s="38" t="s">
        <v>407</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637</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637</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637</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637</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727</v>
      </c>
      <c r="X41" s="38">
        <v>1</v>
      </c>
    </row>
    <row r="42" spans="1:24" ht="13.2" customHeight="1" x14ac:dyDescent="0.25">
      <c r="A42" s="38">
        <v>47</v>
      </c>
      <c r="B42" s="38" t="s">
        <v>56</v>
      </c>
      <c r="C42" s="38" t="s">
        <v>56</v>
      </c>
      <c r="D42" s="38" t="s">
        <v>311</v>
      </c>
      <c r="E42" s="41" t="s">
        <v>402</v>
      </c>
      <c r="F42" s="36"/>
      <c r="G42" s="36"/>
      <c r="H42" s="36"/>
      <c r="I42" s="36"/>
      <c r="J42" s="81">
        <f>VLOOKUP($A42, Stat!$A$1:$C$1000, 2,0)</f>
        <v>108</v>
      </c>
      <c r="K42" s="81">
        <f>VLOOKUP($A42, Stat!$A$1:$C$1000, 3,0)</f>
        <v>5</v>
      </c>
      <c r="P42" s="36"/>
      <c r="Q42" s="36"/>
      <c r="R42" s="36"/>
      <c r="S42" s="38">
        <v>30</v>
      </c>
      <c r="T42" s="38">
        <v>0</v>
      </c>
      <c r="W42" s="38" t="s">
        <v>447</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632</v>
      </c>
      <c r="S43" s="38">
        <v>30</v>
      </c>
      <c r="T43" s="38">
        <v>0</v>
      </c>
      <c r="W43" s="38" t="s">
        <v>681</v>
      </c>
      <c r="X43" s="38">
        <v>1</v>
      </c>
    </row>
    <row r="44" spans="1:24" ht="13.2" customHeight="1" x14ac:dyDescent="0.25">
      <c r="A44" s="38">
        <v>49</v>
      </c>
      <c r="B44" s="38" t="s">
        <v>37</v>
      </c>
      <c r="C44" s="38" t="s">
        <v>422</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683</v>
      </c>
      <c r="W44" s="38" t="s">
        <v>686</v>
      </c>
      <c r="X44" s="38">
        <v>1</v>
      </c>
    </row>
    <row r="45" spans="1:24" ht="13.2" customHeight="1" x14ac:dyDescent="0.25">
      <c r="A45" s="38">
        <v>50</v>
      </c>
      <c r="B45" s="38" t="s">
        <v>37</v>
      </c>
      <c r="C45" s="38" t="s">
        <v>422</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683</v>
      </c>
      <c r="X45" s="38">
        <v>1</v>
      </c>
    </row>
    <row r="46" spans="1:24" ht="13.2" customHeight="1" x14ac:dyDescent="0.25">
      <c r="A46" s="38">
        <v>51</v>
      </c>
      <c r="B46" s="38" t="s">
        <v>37</v>
      </c>
      <c r="C46" s="38" t="s">
        <v>422</v>
      </c>
      <c r="D46" s="38" t="s">
        <v>65</v>
      </c>
      <c r="E46" s="41" t="s">
        <v>395</v>
      </c>
      <c r="F46" s="35"/>
      <c r="G46" s="36"/>
      <c r="H46" s="36"/>
      <c r="I46" s="36"/>
      <c r="J46" s="81">
        <f>VLOOKUP($A46, Stat!$A$1:$C$1000, 2,0)</f>
        <v>17</v>
      </c>
      <c r="K46" s="81">
        <f>VLOOKUP($A46, Stat!$A$1:$C$1000, 3,0)</f>
        <v>2</v>
      </c>
      <c r="L46" s="34">
        <v>1</v>
      </c>
      <c r="P46" s="36"/>
      <c r="Q46" s="36"/>
      <c r="R46" s="36"/>
      <c r="S46" s="38">
        <v>0</v>
      </c>
      <c r="T46" s="38">
        <v>-1</v>
      </c>
      <c r="V46" s="38" t="s">
        <v>683</v>
      </c>
      <c r="X46" s="38">
        <v>1</v>
      </c>
    </row>
    <row r="47" spans="1:24" ht="13.2" customHeight="1" x14ac:dyDescent="0.25">
      <c r="A47" s="38">
        <v>52</v>
      </c>
      <c r="B47" s="38" t="s">
        <v>37</v>
      </c>
      <c r="C47" s="38" t="s">
        <v>422</v>
      </c>
      <c r="D47" s="38" t="s">
        <v>421</v>
      </c>
      <c r="E47" s="38" t="s">
        <v>428</v>
      </c>
      <c r="F47" s="96">
        <v>12</v>
      </c>
      <c r="I47" s="87" t="s">
        <v>552</v>
      </c>
      <c r="J47" s="81">
        <f>VLOOKUP($A47, Stat!$A$1:$C$1000, 2,0)</f>
        <v>12</v>
      </c>
      <c r="K47" s="81">
        <f>VLOOKUP($A47, Stat!$A$1:$C$1000, 3,0)</f>
        <v>1</v>
      </c>
      <c r="S47" s="38">
        <v>0</v>
      </c>
      <c r="T47" s="38">
        <v>0</v>
      </c>
      <c r="W47" s="38" t="s">
        <v>423</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639</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639</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639</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639</v>
      </c>
      <c r="X51" s="38">
        <v>1</v>
      </c>
    </row>
    <row r="52" spans="1:24" ht="13.2" customHeight="1" x14ac:dyDescent="0.25">
      <c r="A52" s="38">
        <v>57</v>
      </c>
      <c r="B52" s="38" t="s">
        <v>37</v>
      </c>
      <c r="C52" s="38" t="s">
        <v>15</v>
      </c>
      <c r="D52" s="38" t="s">
        <v>628</v>
      </c>
      <c r="E52" s="41" t="s">
        <v>629</v>
      </c>
      <c r="F52" s="35" t="s">
        <v>464</v>
      </c>
      <c r="G52" s="35"/>
      <c r="H52" s="35"/>
      <c r="I52" s="35" t="s">
        <v>633</v>
      </c>
      <c r="J52" s="81">
        <f>VLOOKUP($A52, Stat!$A$1:$C$1000, 2,0)</f>
        <v>535</v>
      </c>
      <c r="K52" s="81">
        <f>VLOOKUP($A52, Stat!$A$1:$C$1000, 3,0)</f>
        <v>1</v>
      </c>
      <c r="L52" s="84"/>
      <c r="P52" s="35"/>
      <c r="Q52" s="36"/>
      <c r="R52" s="35" t="s">
        <v>632</v>
      </c>
      <c r="S52" s="38">
        <v>0</v>
      </c>
      <c r="T52" s="38">
        <v>-1</v>
      </c>
      <c r="W52" s="38" t="s">
        <v>687</v>
      </c>
      <c r="X52" s="38">
        <v>1</v>
      </c>
    </row>
    <row r="53" spans="1:24" ht="13.2" customHeight="1" x14ac:dyDescent="0.25">
      <c r="A53" s="38">
        <v>58</v>
      </c>
      <c r="B53" s="38" t="s">
        <v>35</v>
      </c>
      <c r="C53" s="38" t="s">
        <v>567</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652</v>
      </c>
      <c r="X53" s="38">
        <v>1</v>
      </c>
    </row>
    <row r="54" spans="1:24" ht="13.2" customHeight="1" x14ac:dyDescent="0.25">
      <c r="A54" s="38">
        <v>59</v>
      </c>
      <c r="B54" s="38" t="s">
        <v>35</v>
      </c>
      <c r="C54" s="38" t="s">
        <v>567</v>
      </c>
      <c r="D54" s="38" t="s">
        <v>574</v>
      </c>
      <c r="E54" s="41" t="s">
        <v>2</v>
      </c>
      <c r="F54" s="35" t="s">
        <v>226</v>
      </c>
      <c r="G54" s="35"/>
      <c r="H54" s="35"/>
      <c r="I54" s="35"/>
      <c r="J54" s="81">
        <f>VLOOKUP($A54, Stat!$A$1:$C$1000, 2,0)</f>
        <v>170</v>
      </c>
      <c r="K54" s="81">
        <f>VLOOKUP($A54, Stat!$A$1:$C$1000, 3,0)</f>
        <v>0</v>
      </c>
      <c r="L54" s="104"/>
      <c r="P54" s="36"/>
      <c r="Q54" s="36"/>
      <c r="R54" s="36"/>
      <c r="S54" s="38">
        <v>0</v>
      </c>
      <c r="T54" s="38">
        <v>1</v>
      </c>
      <c r="V54" s="38" t="s">
        <v>644</v>
      </c>
      <c r="X54" s="38">
        <v>1</v>
      </c>
    </row>
    <row r="55" spans="1:24" ht="13.2" customHeight="1" x14ac:dyDescent="0.25">
      <c r="A55" s="38">
        <v>60</v>
      </c>
      <c r="B55" s="38" t="s">
        <v>35</v>
      </c>
      <c r="C55" s="38" t="s">
        <v>567</v>
      </c>
      <c r="D55" s="38" t="s">
        <v>574</v>
      </c>
      <c r="E55" s="41" t="s">
        <v>3</v>
      </c>
      <c r="F55" s="35" t="s">
        <v>226</v>
      </c>
      <c r="G55" s="35"/>
      <c r="H55" s="35"/>
      <c r="I55" s="35"/>
      <c r="J55" s="81">
        <f>VLOOKUP($A55, Stat!$A$1:$C$1000, 2,0)</f>
        <v>44</v>
      </c>
      <c r="K55" s="81">
        <f>VLOOKUP($A55, Stat!$A$1:$C$1000, 3,0)</f>
        <v>6</v>
      </c>
      <c r="L55" s="84"/>
      <c r="P55" s="36"/>
      <c r="Q55" s="36"/>
      <c r="R55" s="36"/>
      <c r="S55" s="38">
        <v>0</v>
      </c>
      <c r="T55" s="38">
        <v>1</v>
      </c>
      <c r="V55" s="38" t="s">
        <v>644</v>
      </c>
      <c r="X55" s="38">
        <v>1</v>
      </c>
    </row>
    <row r="56" spans="1:24" ht="13.2" customHeight="1" x14ac:dyDescent="0.25">
      <c r="A56" s="38">
        <v>61</v>
      </c>
      <c r="B56" s="38" t="s">
        <v>35</v>
      </c>
      <c r="C56" s="38" t="s">
        <v>567</v>
      </c>
      <c r="D56" s="38" t="s">
        <v>574</v>
      </c>
      <c r="E56" s="41" t="s">
        <v>4</v>
      </c>
      <c r="F56" s="35" t="s">
        <v>226</v>
      </c>
      <c r="G56" s="35"/>
      <c r="H56" s="35"/>
      <c r="I56" s="35"/>
      <c r="J56" s="81">
        <f>VLOOKUP($A56, Stat!$A$1:$C$1000, 2,0)</f>
        <v>38</v>
      </c>
      <c r="K56" s="81">
        <f>VLOOKUP($A56, Stat!$A$1:$C$1000, 3,0)</f>
        <v>5</v>
      </c>
      <c r="L56" s="84"/>
      <c r="P56" s="35"/>
      <c r="Q56" s="36"/>
      <c r="R56" s="36"/>
      <c r="S56" s="38">
        <v>0</v>
      </c>
      <c r="T56" s="38">
        <v>1</v>
      </c>
      <c r="V56" s="38" t="s">
        <v>644</v>
      </c>
      <c r="X56" s="38">
        <v>1</v>
      </c>
    </row>
    <row r="57" spans="1:24" ht="13.2" customHeight="1" x14ac:dyDescent="0.25">
      <c r="A57" s="38">
        <v>62</v>
      </c>
      <c r="B57" s="38" t="s">
        <v>35</v>
      </c>
      <c r="C57" s="38" t="s">
        <v>567</v>
      </c>
      <c r="D57" s="38" t="s">
        <v>574</v>
      </c>
      <c r="E57" s="41" t="s">
        <v>47</v>
      </c>
      <c r="F57" s="35" t="s">
        <v>226</v>
      </c>
      <c r="G57" s="35"/>
      <c r="H57" s="35"/>
      <c r="I57" s="35"/>
      <c r="J57" s="81">
        <f>VLOOKUP($A57, Stat!$A$1:$C$1000, 2,0)</f>
        <v>23</v>
      </c>
      <c r="K57" s="81">
        <f>VLOOKUP($A57, Stat!$A$1:$C$1000, 3,0)</f>
        <v>10</v>
      </c>
      <c r="L57" s="84">
        <v>1</v>
      </c>
      <c r="P57" s="36"/>
      <c r="Q57" s="36"/>
      <c r="R57" s="36"/>
      <c r="S57" s="38">
        <v>100</v>
      </c>
      <c r="T57" s="38">
        <v>0</v>
      </c>
      <c r="V57" s="38" t="s">
        <v>644</v>
      </c>
      <c r="X57" s="38">
        <v>1</v>
      </c>
    </row>
    <row r="58" spans="1:24" ht="13.2" customHeight="1" x14ac:dyDescent="0.25">
      <c r="A58" s="38">
        <v>63</v>
      </c>
      <c r="B58" s="38" t="s">
        <v>35</v>
      </c>
      <c r="C58" s="38" t="s">
        <v>567</v>
      </c>
      <c r="D58" s="38" t="s">
        <v>575</v>
      </c>
      <c r="E58" s="41" t="s">
        <v>2</v>
      </c>
      <c r="F58" s="35" t="s">
        <v>226</v>
      </c>
      <c r="G58" s="35"/>
      <c r="H58" s="35"/>
      <c r="I58" s="35"/>
      <c r="J58" s="81">
        <f>VLOOKUP($A58, Stat!$A$1:$C$1000, 2,0)</f>
        <v>18</v>
      </c>
      <c r="K58" s="81">
        <f>VLOOKUP($A58, Stat!$A$1:$C$1000, 3,0)</f>
        <v>5</v>
      </c>
      <c r="L58" s="34">
        <v>1</v>
      </c>
      <c r="P58" s="35" t="s">
        <v>586</v>
      </c>
      <c r="Q58" s="36"/>
      <c r="R58" s="36"/>
      <c r="S58" s="38">
        <v>0</v>
      </c>
      <c r="T58" s="38">
        <v>1</v>
      </c>
      <c r="V58" s="38" t="s">
        <v>646</v>
      </c>
      <c r="X58" s="38">
        <v>1</v>
      </c>
    </row>
    <row r="59" spans="1:24" ht="13.2" customHeight="1" x14ac:dyDescent="0.25">
      <c r="A59" s="38">
        <v>64</v>
      </c>
      <c r="B59" s="38" t="s">
        <v>35</v>
      </c>
      <c r="C59" s="38" t="s">
        <v>567</v>
      </c>
      <c r="D59" s="38" t="s">
        <v>575</v>
      </c>
      <c r="E59" s="41" t="s">
        <v>3</v>
      </c>
      <c r="F59" s="35" t="s">
        <v>226</v>
      </c>
      <c r="G59" s="35"/>
      <c r="H59" s="35"/>
      <c r="I59" s="35"/>
      <c r="J59" s="81">
        <f>VLOOKUP($A59, Stat!$A$1:$C$1000, 2,0)</f>
        <v>6</v>
      </c>
      <c r="K59" s="81">
        <f>VLOOKUP($A59, Stat!$A$1:$C$1000, 3,0)</f>
        <v>2</v>
      </c>
      <c r="L59" s="34">
        <v>1</v>
      </c>
      <c r="P59" s="35" t="s">
        <v>590</v>
      </c>
      <c r="Q59" s="36"/>
      <c r="R59" s="36"/>
      <c r="S59" s="38">
        <v>0</v>
      </c>
      <c r="T59" s="38">
        <v>0</v>
      </c>
      <c r="V59" s="38" t="s">
        <v>646</v>
      </c>
      <c r="X59" s="38">
        <v>1</v>
      </c>
    </row>
    <row r="60" spans="1:24" ht="13.2" customHeight="1" x14ac:dyDescent="0.25">
      <c r="A60" s="38">
        <v>65</v>
      </c>
      <c r="B60" s="38" t="s">
        <v>35</v>
      </c>
      <c r="C60" s="38" t="s">
        <v>567</v>
      </c>
      <c r="D60" s="38" t="s">
        <v>575</v>
      </c>
      <c r="E60" s="41" t="s">
        <v>4</v>
      </c>
      <c r="F60" s="35" t="s">
        <v>226</v>
      </c>
      <c r="G60" s="35"/>
      <c r="H60" s="35"/>
      <c r="I60" s="35"/>
      <c r="J60" s="81">
        <f>VLOOKUP($A60, Stat!$A$1:$C$1000, 2,0)</f>
        <v>7</v>
      </c>
      <c r="K60" s="81">
        <f>VLOOKUP($A60, Stat!$A$1:$C$1000, 3,0)</f>
        <v>2</v>
      </c>
      <c r="L60" s="34">
        <v>1</v>
      </c>
      <c r="P60" s="35" t="s">
        <v>591</v>
      </c>
      <c r="Q60" s="36"/>
      <c r="R60" s="36"/>
      <c r="S60" s="38">
        <v>60</v>
      </c>
      <c r="T60" s="38">
        <v>0</v>
      </c>
      <c r="V60" s="38" t="s">
        <v>646</v>
      </c>
      <c r="X60" s="38">
        <v>1</v>
      </c>
    </row>
    <row r="61" spans="1:24" ht="13.2" customHeight="1" x14ac:dyDescent="0.25">
      <c r="A61" s="38">
        <v>66</v>
      </c>
      <c r="B61" s="38" t="s">
        <v>35</v>
      </c>
      <c r="C61" s="38" t="s">
        <v>567</v>
      </c>
      <c r="D61" s="38" t="s">
        <v>575</v>
      </c>
      <c r="E61" s="41" t="s">
        <v>47</v>
      </c>
      <c r="F61" s="35" t="s">
        <v>226</v>
      </c>
      <c r="G61" s="35"/>
      <c r="H61" s="35"/>
      <c r="I61" s="35"/>
      <c r="J61" s="81">
        <f>VLOOKUP($A61, Stat!$A$1:$C$1000, 2,0)</f>
        <v>2</v>
      </c>
      <c r="K61" s="81">
        <f>VLOOKUP($A61, Stat!$A$1:$C$1000, 3,0)</f>
        <v>2</v>
      </c>
      <c r="L61" s="34">
        <v>1</v>
      </c>
      <c r="P61" s="35" t="s">
        <v>592</v>
      </c>
      <c r="Q61" s="36"/>
      <c r="R61" s="36"/>
      <c r="S61" s="38">
        <v>100</v>
      </c>
      <c r="T61" s="38">
        <v>0</v>
      </c>
      <c r="V61" s="38" t="s">
        <v>646</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666</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666</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666</v>
      </c>
      <c r="X64" s="38">
        <v>1</v>
      </c>
    </row>
    <row r="65" spans="1:24" ht="13.2" customHeight="1" x14ac:dyDescent="0.25">
      <c r="A65" s="38">
        <v>70</v>
      </c>
      <c r="B65" s="38" t="s">
        <v>35</v>
      </c>
      <c r="C65" s="38" t="s">
        <v>12</v>
      </c>
      <c r="D65" s="38" t="s">
        <v>115</v>
      </c>
      <c r="E65" s="38" t="s">
        <v>891</v>
      </c>
      <c r="F65" s="34">
        <v>9</v>
      </c>
      <c r="I65" s="87" t="s">
        <v>519</v>
      </c>
      <c r="S65" s="38">
        <v>60</v>
      </c>
      <c r="T65" s="38">
        <v>0</v>
      </c>
      <c r="V65" s="38" t="s">
        <v>664</v>
      </c>
      <c r="W65" s="38" t="s">
        <v>893</v>
      </c>
    </row>
    <row r="66" spans="1:24" ht="13.2" customHeight="1" x14ac:dyDescent="0.25">
      <c r="A66" s="38">
        <v>71</v>
      </c>
      <c r="B66" s="38" t="s">
        <v>35</v>
      </c>
      <c r="C66" s="38" t="s">
        <v>12</v>
      </c>
      <c r="D66" s="38" t="s">
        <v>115</v>
      </c>
      <c r="E66" s="38" t="s">
        <v>892</v>
      </c>
      <c r="F66" s="34">
        <v>9</v>
      </c>
      <c r="I66" s="87" t="s">
        <v>519</v>
      </c>
      <c r="S66" s="38">
        <v>60</v>
      </c>
      <c r="T66" s="38">
        <v>0</v>
      </c>
      <c r="V66" s="38" t="s">
        <v>664</v>
      </c>
      <c r="W66" s="38" t="s">
        <v>894</v>
      </c>
    </row>
    <row r="67" spans="1:24" ht="13.2" customHeight="1" x14ac:dyDescent="0.25">
      <c r="A67" s="38">
        <v>74</v>
      </c>
      <c r="B67" s="38" t="s">
        <v>56</v>
      </c>
      <c r="C67" s="38" t="s">
        <v>53</v>
      </c>
      <c r="D67" s="38" t="s">
        <v>695</v>
      </c>
      <c r="E67" s="41" t="s">
        <v>692</v>
      </c>
      <c r="F67" s="35" t="s">
        <v>227</v>
      </c>
      <c r="G67" s="36"/>
      <c r="H67" s="36"/>
      <c r="I67" s="35" t="s">
        <v>563</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848</v>
      </c>
      <c r="F68" s="36"/>
      <c r="G68" s="36"/>
      <c r="H68" s="36"/>
      <c r="I68" s="36"/>
      <c r="J68" s="81">
        <f>VLOOKUP($A68, Stat!$A$1:$C$1000, 2,0)</f>
        <v>32</v>
      </c>
      <c r="K68" s="81">
        <f>VLOOKUP($A68, Stat!$A$1:$C$1000, 3,0)</f>
        <v>19</v>
      </c>
      <c r="L68" s="34">
        <v>1</v>
      </c>
      <c r="P68" s="36"/>
      <c r="Q68" s="36"/>
      <c r="R68" s="36"/>
      <c r="S68" s="38">
        <v>30</v>
      </c>
      <c r="T68" s="38">
        <v>0</v>
      </c>
      <c r="W68" s="38" t="s">
        <v>403</v>
      </c>
      <c r="X68" s="38">
        <v>1</v>
      </c>
    </row>
    <row r="69" spans="1:24" ht="13.2" customHeight="1" x14ac:dyDescent="0.25">
      <c r="A69" s="38">
        <v>77</v>
      </c>
      <c r="B69" s="38" t="s">
        <v>37</v>
      </c>
      <c r="C69" s="38" t="s">
        <v>15</v>
      </c>
      <c r="D69" s="38" t="s">
        <v>628</v>
      </c>
      <c r="E69" s="41" t="s">
        <v>682</v>
      </c>
      <c r="F69" s="35" t="s">
        <v>464</v>
      </c>
      <c r="G69" s="35"/>
      <c r="H69" s="35"/>
      <c r="I69" s="35" t="s">
        <v>547</v>
      </c>
      <c r="J69" s="81">
        <f>VLOOKUP($A69, Stat!$A$1:$C$1000, 2,0)</f>
        <v>612</v>
      </c>
      <c r="K69" s="81">
        <f>VLOOKUP($A69, Stat!$A$1:$C$1000, 3,0)</f>
        <v>0</v>
      </c>
      <c r="L69" s="104"/>
      <c r="P69" s="35"/>
      <c r="Q69" s="36"/>
      <c r="R69" s="35" t="s">
        <v>632</v>
      </c>
      <c r="S69" s="38">
        <v>0</v>
      </c>
      <c r="T69" s="38">
        <v>-1</v>
      </c>
      <c r="W69" s="38" t="s">
        <v>688</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702</v>
      </c>
      <c r="X74" s="38">
        <v>1</v>
      </c>
    </row>
    <row r="75" spans="1:24" ht="13.2" customHeight="1" x14ac:dyDescent="0.25">
      <c r="A75" s="38">
        <v>83</v>
      </c>
      <c r="B75" s="38" t="s">
        <v>56</v>
      </c>
      <c r="C75" s="38" t="s">
        <v>56</v>
      </c>
      <c r="D75" s="38" t="s">
        <v>491</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818</v>
      </c>
      <c r="E76" s="41" t="s">
        <v>60</v>
      </c>
      <c r="F76" s="35" t="s">
        <v>461</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818</v>
      </c>
      <c r="E77" s="41" t="s">
        <v>324</v>
      </c>
      <c r="F77" s="35" t="s">
        <v>461</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863</v>
      </c>
      <c r="E78" s="41" t="s">
        <v>62</v>
      </c>
      <c r="F78" s="35" t="s">
        <v>461</v>
      </c>
      <c r="G78" s="35" t="s">
        <v>198</v>
      </c>
      <c r="H78" s="35" t="s">
        <v>198</v>
      </c>
      <c r="I78" s="35"/>
      <c r="J78" s="81">
        <f>VLOOKUP($A78, Stat!$A$1:$C$1000, 2,0)</f>
        <v>167</v>
      </c>
      <c r="K78" s="81">
        <f>VLOOKUP($A78, Stat!$A$1:$C$1000, 3,0)</f>
        <v>4</v>
      </c>
      <c r="L78" s="84"/>
      <c r="P78" s="36"/>
      <c r="Q78" s="36"/>
      <c r="R78" s="36"/>
      <c r="S78" s="38">
        <v>0</v>
      </c>
      <c r="T78" s="38">
        <v>-1</v>
      </c>
      <c r="W78" s="38" t="s">
        <v>703</v>
      </c>
      <c r="X78" s="38">
        <v>1</v>
      </c>
    </row>
    <row r="79" spans="1:24" ht="13.2" customHeight="1" x14ac:dyDescent="0.25">
      <c r="A79" s="38">
        <v>87</v>
      </c>
      <c r="B79" s="38" t="s">
        <v>37</v>
      </c>
      <c r="C79" s="38" t="s">
        <v>422</v>
      </c>
      <c r="D79" s="38" t="s">
        <v>421</v>
      </c>
      <c r="E79" s="38" t="s">
        <v>427</v>
      </c>
      <c r="F79" s="96">
        <v>12</v>
      </c>
      <c r="I79" s="87" t="s">
        <v>552</v>
      </c>
      <c r="J79" s="81">
        <f>VLOOKUP($A79, Stat!$A$1:$C$1000, 2,0)</f>
        <v>48</v>
      </c>
      <c r="K79" s="81">
        <f>VLOOKUP($A79, Stat!$A$1:$C$1000, 3,0)</f>
        <v>1</v>
      </c>
      <c r="S79" s="38">
        <v>0</v>
      </c>
      <c r="T79" s="38">
        <v>0</v>
      </c>
      <c r="W79" s="38" t="s">
        <v>424</v>
      </c>
      <c r="X79" s="38">
        <v>1</v>
      </c>
    </row>
    <row r="80" spans="1:24" ht="13.2" customHeight="1" x14ac:dyDescent="0.25">
      <c r="A80" s="38">
        <v>88</v>
      </c>
      <c r="B80" s="38" t="s">
        <v>56</v>
      </c>
      <c r="C80" s="38" t="s">
        <v>159</v>
      </c>
      <c r="D80" s="38" t="s">
        <v>794</v>
      </c>
      <c r="E80" s="41" t="s">
        <v>138</v>
      </c>
      <c r="F80" s="95" t="s">
        <v>226</v>
      </c>
      <c r="G80" s="35"/>
      <c r="H80" s="35"/>
      <c r="I80" s="35"/>
      <c r="J80" s="81">
        <f>VLOOKUP($A80, Stat!$A$1:$C$1000, 2,0)</f>
        <v>47</v>
      </c>
      <c r="K80" s="81">
        <f>VLOOKUP($A80, Stat!$A$1:$C$1000, 3,0)</f>
        <v>12</v>
      </c>
      <c r="L80" s="34">
        <v>1</v>
      </c>
      <c r="P80" s="36"/>
      <c r="Q80" s="36"/>
      <c r="R80" s="36"/>
      <c r="S80" s="38">
        <v>60</v>
      </c>
      <c r="T80" s="38">
        <v>0</v>
      </c>
      <c r="W80" s="38" t="s">
        <v>750</v>
      </c>
      <c r="X80" s="38">
        <v>1</v>
      </c>
    </row>
    <row r="81" spans="1:24" ht="13.2" customHeight="1" x14ac:dyDescent="0.25">
      <c r="A81" s="38">
        <v>89</v>
      </c>
      <c r="B81" s="38" t="s">
        <v>56</v>
      </c>
      <c r="C81" s="38" t="s">
        <v>56</v>
      </c>
      <c r="D81" s="38" t="s">
        <v>561</v>
      </c>
      <c r="E81" s="41" t="s">
        <v>225</v>
      </c>
      <c r="F81" s="95" t="s">
        <v>464</v>
      </c>
      <c r="G81" s="35" t="s">
        <v>198</v>
      </c>
      <c r="H81" s="36"/>
      <c r="I81" s="35" t="s">
        <v>561</v>
      </c>
      <c r="J81" s="81">
        <f>VLOOKUP($A81, Stat!$A$1:$C$1000, 2,0)</f>
        <v>27</v>
      </c>
      <c r="K81" s="81">
        <f>VLOOKUP($A81, Stat!$A$1:$C$1000, 3,0)</f>
        <v>0</v>
      </c>
      <c r="L81" s="84"/>
      <c r="P81" s="36"/>
      <c r="Q81" s="36"/>
      <c r="R81" s="36"/>
      <c r="S81" s="38">
        <v>0</v>
      </c>
      <c r="T81" s="38">
        <v>-1</v>
      </c>
      <c r="V81" s="38" t="s">
        <v>825</v>
      </c>
      <c r="X81" s="38">
        <v>1</v>
      </c>
    </row>
    <row r="82" spans="1:24" ht="13.2" customHeight="1" x14ac:dyDescent="0.25">
      <c r="A82" s="38">
        <v>90</v>
      </c>
      <c r="B82" s="38" t="s">
        <v>37</v>
      </c>
      <c r="C82" s="38" t="s">
        <v>422</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683</v>
      </c>
      <c r="W82" s="38" t="s">
        <v>689</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719</v>
      </c>
      <c r="X83" s="38">
        <v>1</v>
      </c>
    </row>
    <row r="84" spans="1:24" ht="13.2" customHeight="1" x14ac:dyDescent="0.25">
      <c r="A84" s="38">
        <v>92</v>
      </c>
      <c r="B84" s="38" t="s">
        <v>37</v>
      </c>
      <c r="C84" s="38" t="s">
        <v>15</v>
      </c>
      <c r="D84" s="38" t="s">
        <v>628</v>
      </c>
      <c r="E84" s="41" t="s">
        <v>630</v>
      </c>
      <c r="F84" s="35" t="s">
        <v>464</v>
      </c>
      <c r="G84" s="35"/>
      <c r="H84" s="35"/>
      <c r="I84" s="35" t="s">
        <v>633</v>
      </c>
      <c r="J84" s="81">
        <f>VLOOKUP($A84, Stat!$A$1:$C$1000, 2,0)</f>
        <v>103</v>
      </c>
      <c r="K84" s="81">
        <f>VLOOKUP($A84, Stat!$A$1:$C$1000, 3,0)</f>
        <v>1</v>
      </c>
      <c r="P84" s="35"/>
      <c r="Q84" s="36"/>
      <c r="R84" s="35" t="s">
        <v>632</v>
      </c>
      <c r="S84" s="38">
        <v>0</v>
      </c>
      <c r="T84" s="38">
        <v>-1</v>
      </c>
      <c r="W84" s="38" t="s">
        <v>690</v>
      </c>
      <c r="X84" s="38">
        <v>1</v>
      </c>
    </row>
    <row r="85" spans="1:24" ht="13.2" customHeight="1" x14ac:dyDescent="0.25">
      <c r="A85" s="38">
        <v>93</v>
      </c>
      <c r="B85" s="38" t="s">
        <v>56</v>
      </c>
      <c r="C85" s="38" t="s">
        <v>56</v>
      </c>
      <c r="D85" s="38" t="s">
        <v>726</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726</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726</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561</v>
      </c>
      <c r="E88" s="41" t="s">
        <v>824</v>
      </c>
      <c r="F88" s="95" t="s">
        <v>464</v>
      </c>
      <c r="G88" s="35" t="s">
        <v>198</v>
      </c>
      <c r="H88" s="36"/>
      <c r="I88" s="35" t="s">
        <v>561</v>
      </c>
      <c r="J88" s="81">
        <f>VLOOKUP($A88, Stat!$A$1:$C$1000, 2,0)</f>
        <v>4</v>
      </c>
      <c r="K88" s="81">
        <f>VLOOKUP($A88, Stat!$A$1:$C$1000, 3,0)</f>
        <v>0</v>
      </c>
      <c r="L88" s="84"/>
      <c r="P88" s="36"/>
      <c r="Q88" s="36"/>
      <c r="R88" s="36"/>
      <c r="S88" s="38">
        <v>60</v>
      </c>
      <c r="T88" s="38">
        <v>0</v>
      </c>
      <c r="V88" s="38" t="s">
        <v>825</v>
      </c>
      <c r="X88" s="38">
        <v>1</v>
      </c>
    </row>
    <row r="89" spans="1:24" ht="13.2" customHeight="1" x14ac:dyDescent="0.25">
      <c r="A89" s="38">
        <v>97</v>
      </c>
      <c r="B89" s="38" t="s">
        <v>56</v>
      </c>
      <c r="C89" s="38" t="s">
        <v>187</v>
      </c>
      <c r="D89" s="38" t="s">
        <v>233</v>
      </c>
      <c r="E89" s="38" t="s">
        <v>850</v>
      </c>
      <c r="J89" s="81">
        <f>VLOOKUP($A89, Stat!$A$1:$C$1000, 2,0)</f>
        <v>3</v>
      </c>
      <c r="K89" s="81">
        <f>VLOOKUP($A89, Stat!$A$1:$C$1000, 3,0)</f>
        <v>0</v>
      </c>
      <c r="L89" s="83"/>
      <c r="S89" s="38">
        <v>60</v>
      </c>
      <c r="T89" s="38">
        <v>0</v>
      </c>
      <c r="W89" s="38" t="s">
        <v>851</v>
      </c>
      <c r="X89" s="38">
        <v>1</v>
      </c>
    </row>
    <row r="90" spans="1:24" ht="13.2" customHeight="1" x14ac:dyDescent="0.25">
      <c r="A90" s="38">
        <v>99</v>
      </c>
      <c r="B90" s="38" t="s">
        <v>37</v>
      </c>
      <c r="C90" s="38" t="s">
        <v>15</v>
      </c>
      <c r="D90" s="38" t="s">
        <v>602</v>
      </c>
      <c r="E90" s="41" t="s">
        <v>603</v>
      </c>
      <c r="F90" s="35" t="s">
        <v>198</v>
      </c>
      <c r="G90" s="35"/>
      <c r="H90" s="35"/>
      <c r="I90" s="35"/>
      <c r="J90" s="81">
        <f>VLOOKUP($A90, Stat!$A$1:$C$1000, 2,0)</f>
        <v>28</v>
      </c>
      <c r="K90" s="81">
        <f>VLOOKUP($A90, Stat!$A$1:$C$1000, 3,0)</f>
        <v>1</v>
      </c>
      <c r="L90" s="84"/>
      <c r="P90" s="35"/>
      <c r="Q90" s="36"/>
      <c r="R90" s="35" t="s">
        <v>632</v>
      </c>
      <c r="S90" s="38">
        <v>30</v>
      </c>
      <c r="T90" s="38">
        <v>0</v>
      </c>
      <c r="W90" s="38" t="s">
        <v>606</v>
      </c>
      <c r="X90" s="38">
        <v>1</v>
      </c>
    </row>
    <row r="91" spans="1:24" ht="13.2" customHeight="1" x14ac:dyDescent="0.25">
      <c r="A91" s="38">
        <v>100</v>
      </c>
      <c r="B91" s="38" t="s">
        <v>35</v>
      </c>
      <c r="C91" s="38" t="s">
        <v>73</v>
      </c>
      <c r="D91" s="38" t="s">
        <v>813</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813</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813</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813</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567</v>
      </c>
      <c r="D99" s="38" t="s">
        <v>576</v>
      </c>
      <c r="E99" s="41" t="s">
        <v>2</v>
      </c>
      <c r="F99" s="35" t="s">
        <v>226</v>
      </c>
      <c r="G99" s="35"/>
      <c r="H99" s="35"/>
      <c r="I99" s="35"/>
      <c r="J99" s="81">
        <f>VLOOKUP($A99, Stat!$A$1:$C$1000, 2,0)</f>
        <v>73</v>
      </c>
      <c r="K99" s="81">
        <f>VLOOKUP($A99, Stat!$A$1:$C$1000, 3,0)</f>
        <v>0</v>
      </c>
      <c r="L99" s="104"/>
      <c r="P99" s="35" t="s">
        <v>587</v>
      </c>
      <c r="Q99" s="36"/>
      <c r="R99" s="36"/>
      <c r="S99" s="38">
        <v>0</v>
      </c>
      <c r="T99" s="38">
        <v>-1</v>
      </c>
      <c r="V99" s="38" t="s">
        <v>643</v>
      </c>
      <c r="X99" s="38">
        <v>1</v>
      </c>
    </row>
    <row r="100" spans="1:24" ht="13.2" customHeight="1" x14ac:dyDescent="0.25">
      <c r="A100" s="38">
        <v>109</v>
      </c>
      <c r="B100" s="38" t="s">
        <v>35</v>
      </c>
      <c r="C100" s="38" t="s">
        <v>567</v>
      </c>
      <c r="D100" s="38" t="s">
        <v>576</v>
      </c>
      <c r="E100" s="41" t="s">
        <v>3</v>
      </c>
      <c r="F100" s="35" t="s">
        <v>226</v>
      </c>
      <c r="G100" s="35"/>
      <c r="H100" s="35"/>
      <c r="I100" s="35"/>
      <c r="J100" s="81">
        <f>VLOOKUP($A100, Stat!$A$1:$C$1000, 2,0)</f>
        <v>11</v>
      </c>
      <c r="K100" s="81">
        <f>VLOOKUP($A100, Stat!$A$1:$C$1000, 3,0)</f>
        <v>5</v>
      </c>
      <c r="L100" s="34">
        <v>1</v>
      </c>
      <c r="P100" s="35" t="s">
        <v>593</v>
      </c>
      <c r="Q100" s="36"/>
      <c r="R100" s="36"/>
      <c r="S100" s="38">
        <v>0</v>
      </c>
      <c r="T100" s="38">
        <v>0</v>
      </c>
      <c r="V100" s="38" t="s">
        <v>643</v>
      </c>
      <c r="X100" s="38">
        <v>1</v>
      </c>
    </row>
    <row r="101" spans="1:24" ht="13.2" customHeight="1" x14ac:dyDescent="0.25">
      <c r="A101" s="38">
        <v>110</v>
      </c>
      <c r="B101" s="38" t="s">
        <v>35</v>
      </c>
      <c r="C101" s="38" t="s">
        <v>567</v>
      </c>
      <c r="D101" s="38" t="s">
        <v>576</v>
      </c>
      <c r="E101" s="41" t="s">
        <v>4</v>
      </c>
      <c r="F101" s="35" t="s">
        <v>226</v>
      </c>
      <c r="G101" s="35"/>
      <c r="H101" s="35"/>
      <c r="I101" s="35"/>
      <c r="J101" s="81">
        <f>VLOOKUP($A101, Stat!$A$1:$C$1000, 2,0)</f>
        <v>9</v>
      </c>
      <c r="K101" s="81">
        <f>VLOOKUP($A101, Stat!$A$1:$C$1000, 3,0)</f>
        <v>3</v>
      </c>
      <c r="L101" s="34">
        <v>1</v>
      </c>
      <c r="P101" s="35" t="s">
        <v>594</v>
      </c>
      <c r="Q101" s="36"/>
      <c r="R101" s="36"/>
      <c r="S101" s="38">
        <v>100</v>
      </c>
      <c r="T101" s="38">
        <v>0</v>
      </c>
      <c r="V101" s="38" t="s">
        <v>643</v>
      </c>
      <c r="X101" s="38">
        <v>1</v>
      </c>
    </row>
    <row r="102" spans="1:24" ht="13.2" customHeight="1" x14ac:dyDescent="0.25">
      <c r="A102" s="38">
        <v>111</v>
      </c>
      <c r="B102" s="38" t="s">
        <v>35</v>
      </c>
      <c r="C102" s="38" t="s">
        <v>567</v>
      </c>
      <c r="D102" s="38" t="s">
        <v>576</v>
      </c>
      <c r="E102" s="41" t="s">
        <v>47</v>
      </c>
      <c r="F102" s="35" t="s">
        <v>226</v>
      </c>
      <c r="G102" s="35"/>
      <c r="H102" s="35"/>
      <c r="I102" s="35"/>
      <c r="J102" s="81">
        <f>VLOOKUP($A102, Stat!$A$1:$C$1000, 2,0)</f>
        <v>2</v>
      </c>
      <c r="K102" s="81">
        <f>VLOOKUP($A102, Stat!$A$1:$C$1000, 3,0)</f>
        <v>1</v>
      </c>
      <c r="L102" s="34">
        <v>1</v>
      </c>
      <c r="P102" s="35" t="s">
        <v>595</v>
      </c>
      <c r="Q102" s="36"/>
      <c r="R102" s="36"/>
      <c r="S102" s="38">
        <v>100</v>
      </c>
      <c r="T102" s="38">
        <v>0</v>
      </c>
      <c r="V102" s="38" t="s">
        <v>643</v>
      </c>
      <c r="X102" s="38">
        <v>1</v>
      </c>
    </row>
    <row r="103" spans="1:24" ht="13.2" customHeight="1" x14ac:dyDescent="0.25">
      <c r="A103" s="38">
        <v>112</v>
      </c>
      <c r="B103" s="38" t="s">
        <v>35</v>
      </c>
      <c r="C103" s="38" t="s">
        <v>72</v>
      </c>
      <c r="D103" s="38" t="s">
        <v>812</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812</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812</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812</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638</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638</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638</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638</v>
      </c>
      <c r="W114" s="38" t="s">
        <v>452</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567</v>
      </c>
      <c r="D119" s="38" t="s">
        <v>572</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641</v>
      </c>
      <c r="X119" s="38">
        <v>1</v>
      </c>
    </row>
    <row r="120" spans="1:24" ht="13.2" customHeight="1" x14ac:dyDescent="0.25">
      <c r="A120" s="38">
        <v>129</v>
      </c>
      <c r="B120" s="38" t="s">
        <v>35</v>
      </c>
      <c r="C120" s="38" t="s">
        <v>567</v>
      </c>
      <c r="D120" s="38" t="s">
        <v>572</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641</v>
      </c>
      <c r="X120" s="38">
        <v>1</v>
      </c>
    </row>
    <row r="121" spans="1:24" ht="13.2" customHeight="1" x14ac:dyDescent="0.25">
      <c r="A121" s="38">
        <v>130</v>
      </c>
      <c r="B121" s="38" t="s">
        <v>35</v>
      </c>
      <c r="C121" s="38" t="s">
        <v>567</v>
      </c>
      <c r="D121" s="38" t="s">
        <v>572</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641</v>
      </c>
      <c r="X121" s="38">
        <v>1</v>
      </c>
    </row>
    <row r="122" spans="1:24" ht="13.2" customHeight="1" x14ac:dyDescent="0.25">
      <c r="A122" s="38">
        <v>131</v>
      </c>
      <c r="B122" s="38" t="s">
        <v>35</v>
      </c>
      <c r="C122" s="38" t="s">
        <v>567</v>
      </c>
      <c r="D122" s="38" t="s">
        <v>572</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641</v>
      </c>
      <c r="W122" s="38" t="s">
        <v>566</v>
      </c>
      <c r="X122" s="38">
        <v>1</v>
      </c>
    </row>
    <row r="123" spans="1:24" ht="13.2" customHeight="1" x14ac:dyDescent="0.25">
      <c r="A123" s="38">
        <v>132</v>
      </c>
      <c r="B123" s="38" t="s">
        <v>35</v>
      </c>
      <c r="C123" s="38" t="s">
        <v>567</v>
      </c>
      <c r="D123" s="38" t="s">
        <v>577</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645</v>
      </c>
      <c r="X123" s="38">
        <v>1</v>
      </c>
    </row>
    <row r="124" spans="1:24" ht="13.2" customHeight="1" x14ac:dyDescent="0.25">
      <c r="A124" s="38">
        <v>133</v>
      </c>
      <c r="B124" s="38" t="s">
        <v>35</v>
      </c>
      <c r="C124" s="38" t="s">
        <v>567</v>
      </c>
      <c r="D124" s="38" t="s">
        <v>577</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645</v>
      </c>
      <c r="X124" s="38">
        <v>1</v>
      </c>
    </row>
    <row r="125" spans="1:24" ht="13.2" customHeight="1" x14ac:dyDescent="0.25">
      <c r="A125" s="38">
        <v>134</v>
      </c>
      <c r="B125" s="38" t="s">
        <v>35</v>
      </c>
      <c r="C125" s="38" t="s">
        <v>567</v>
      </c>
      <c r="D125" s="38" t="s">
        <v>577</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645</v>
      </c>
      <c r="X125" s="38">
        <v>1</v>
      </c>
    </row>
    <row r="126" spans="1:24" ht="13.2" customHeight="1" x14ac:dyDescent="0.25">
      <c r="A126" s="38">
        <v>135</v>
      </c>
      <c r="B126" s="38" t="s">
        <v>35</v>
      </c>
      <c r="C126" s="38" t="s">
        <v>567</v>
      </c>
      <c r="D126" s="38" t="s">
        <v>577</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645</v>
      </c>
      <c r="X126" s="38">
        <v>1</v>
      </c>
    </row>
    <row r="127" spans="1:24" ht="13.2" customHeight="1" x14ac:dyDescent="0.25">
      <c r="A127" s="38">
        <v>136</v>
      </c>
      <c r="B127" s="38" t="s">
        <v>56</v>
      </c>
      <c r="C127" s="38" t="s">
        <v>56</v>
      </c>
      <c r="D127" s="38" t="s">
        <v>489</v>
      </c>
      <c r="E127" s="38" t="s">
        <v>388</v>
      </c>
      <c r="F127" s="96">
        <v>12</v>
      </c>
      <c r="I127" s="35" t="s">
        <v>448</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567</v>
      </c>
      <c r="D129" s="38" t="s">
        <v>573</v>
      </c>
      <c r="E129" s="41" t="s">
        <v>2</v>
      </c>
      <c r="F129" s="35" t="s">
        <v>226</v>
      </c>
      <c r="G129" s="35"/>
      <c r="H129" s="35"/>
      <c r="I129" s="35"/>
      <c r="J129" s="81">
        <f>VLOOKUP($A129, Stat!$A$1:$C$1000, 2,0)</f>
        <v>69</v>
      </c>
      <c r="K129" s="81">
        <f>VLOOKUP($A129, Stat!$A$1:$C$1000, 3,0)</f>
        <v>1</v>
      </c>
      <c r="L129" s="84"/>
      <c r="P129" s="35" t="s">
        <v>588</v>
      </c>
      <c r="Q129" s="36"/>
      <c r="R129" s="36"/>
      <c r="S129" s="38">
        <v>0</v>
      </c>
      <c r="T129" s="38">
        <v>-1</v>
      </c>
      <c r="V129" s="38" t="s">
        <v>642</v>
      </c>
      <c r="X129" s="38">
        <v>1</v>
      </c>
    </row>
    <row r="130" spans="1:24" ht="13.2" customHeight="1" x14ac:dyDescent="0.25">
      <c r="A130" s="38">
        <v>141</v>
      </c>
      <c r="B130" s="38" t="s">
        <v>35</v>
      </c>
      <c r="C130" s="38" t="s">
        <v>567</v>
      </c>
      <c r="D130" s="38" t="s">
        <v>573</v>
      </c>
      <c r="E130" s="41" t="s">
        <v>3</v>
      </c>
      <c r="F130" s="35" t="s">
        <v>226</v>
      </c>
      <c r="G130" s="35"/>
      <c r="H130" s="35"/>
      <c r="I130" s="35"/>
      <c r="J130" s="81">
        <f>VLOOKUP($A130, Stat!$A$1:$C$1000, 2,0)</f>
        <v>29</v>
      </c>
      <c r="K130" s="81">
        <f>VLOOKUP($A130, Stat!$A$1:$C$1000, 3,0)</f>
        <v>1</v>
      </c>
      <c r="L130" s="84"/>
      <c r="P130" s="35" t="s">
        <v>596</v>
      </c>
      <c r="Q130" s="36"/>
      <c r="R130" s="36"/>
      <c r="S130" s="38">
        <v>0</v>
      </c>
      <c r="T130" s="38">
        <v>-1</v>
      </c>
      <c r="V130" s="38" t="s">
        <v>642</v>
      </c>
      <c r="X130" s="38">
        <v>1</v>
      </c>
    </row>
    <row r="131" spans="1:24" ht="13.2" customHeight="1" x14ac:dyDescent="0.25">
      <c r="A131" s="38">
        <v>142</v>
      </c>
      <c r="B131" s="38" t="s">
        <v>35</v>
      </c>
      <c r="C131" s="38" t="s">
        <v>567</v>
      </c>
      <c r="D131" s="38" t="s">
        <v>573</v>
      </c>
      <c r="E131" s="41" t="s">
        <v>4</v>
      </c>
      <c r="F131" s="35" t="s">
        <v>226</v>
      </c>
      <c r="G131" s="35"/>
      <c r="H131" s="35"/>
      <c r="I131" s="35"/>
      <c r="J131" s="81">
        <f>VLOOKUP($A131, Stat!$A$1:$C$1000, 2,0)</f>
        <v>13</v>
      </c>
      <c r="K131" s="81">
        <f>VLOOKUP($A131, Stat!$A$1:$C$1000, 3,0)</f>
        <v>3</v>
      </c>
      <c r="L131" s="34">
        <v>1</v>
      </c>
      <c r="P131" s="35" t="s">
        <v>597</v>
      </c>
      <c r="Q131" s="36"/>
      <c r="R131" s="36"/>
      <c r="S131" s="38">
        <v>60</v>
      </c>
      <c r="T131" s="38">
        <v>0</v>
      </c>
      <c r="V131" s="38" t="s">
        <v>642</v>
      </c>
      <c r="X131" s="38">
        <v>1</v>
      </c>
    </row>
    <row r="132" spans="1:24" ht="13.2" customHeight="1" x14ac:dyDescent="0.25">
      <c r="A132" s="38">
        <v>143</v>
      </c>
      <c r="B132" s="38" t="s">
        <v>35</v>
      </c>
      <c r="C132" s="38" t="s">
        <v>567</v>
      </c>
      <c r="D132" s="38" t="s">
        <v>573</v>
      </c>
      <c r="E132" s="41" t="s">
        <v>47</v>
      </c>
      <c r="F132" s="35" t="s">
        <v>226</v>
      </c>
      <c r="G132" s="35"/>
      <c r="H132" s="35"/>
      <c r="I132" s="35"/>
      <c r="J132" s="81">
        <f>VLOOKUP($A132, Stat!$A$1:$C$1000, 2,0)</f>
        <v>6</v>
      </c>
      <c r="K132" s="81">
        <f>VLOOKUP($A132, Stat!$A$1:$C$1000, 3,0)</f>
        <v>4</v>
      </c>
      <c r="L132" s="34">
        <v>1</v>
      </c>
      <c r="P132" s="35" t="s">
        <v>598</v>
      </c>
      <c r="Q132" s="36"/>
      <c r="R132" s="36"/>
      <c r="S132" s="38">
        <v>100</v>
      </c>
      <c r="T132" s="38">
        <v>0</v>
      </c>
      <c r="V132" s="38" t="s">
        <v>642</v>
      </c>
      <c r="X132" s="38">
        <v>1</v>
      </c>
    </row>
    <row r="133" spans="1:24" ht="13.2" customHeight="1" x14ac:dyDescent="0.25">
      <c r="A133" s="38">
        <v>144</v>
      </c>
      <c r="B133" s="38" t="s">
        <v>35</v>
      </c>
      <c r="C133" s="38" t="s">
        <v>73</v>
      </c>
      <c r="D133" s="38" t="s">
        <v>581</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582</v>
      </c>
      <c r="X133" s="38">
        <v>1</v>
      </c>
    </row>
    <row r="134" spans="1:24" ht="13.2" customHeight="1" x14ac:dyDescent="0.25">
      <c r="A134" s="38">
        <v>145</v>
      </c>
      <c r="B134" s="38" t="s">
        <v>35</v>
      </c>
      <c r="C134" s="38" t="s">
        <v>73</v>
      </c>
      <c r="D134" s="38" t="s">
        <v>581</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582</v>
      </c>
      <c r="X134" s="38">
        <v>1</v>
      </c>
    </row>
    <row r="135" spans="1:24" ht="13.2" customHeight="1" x14ac:dyDescent="0.25">
      <c r="A135" s="38">
        <v>146</v>
      </c>
      <c r="B135" s="38" t="s">
        <v>35</v>
      </c>
      <c r="C135" s="38" t="s">
        <v>73</v>
      </c>
      <c r="D135" s="38" t="s">
        <v>581</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582</v>
      </c>
      <c r="X135" s="38">
        <v>1</v>
      </c>
    </row>
    <row r="136" spans="1:24" ht="13.2" customHeight="1" x14ac:dyDescent="0.25">
      <c r="A136" s="38">
        <v>147</v>
      </c>
      <c r="B136" s="38" t="s">
        <v>35</v>
      </c>
      <c r="C136" s="38" t="s">
        <v>73</v>
      </c>
      <c r="D136" s="38" t="s">
        <v>581</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582</v>
      </c>
      <c r="X136" s="38">
        <v>1</v>
      </c>
    </row>
    <row r="137" spans="1:24" ht="13.2" customHeight="1" x14ac:dyDescent="0.25">
      <c r="A137" s="38">
        <v>148</v>
      </c>
      <c r="B137" s="38" t="s">
        <v>35</v>
      </c>
      <c r="C137" s="38" t="s">
        <v>567</v>
      </c>
      <c r="D137" s="38" t="s">
        <v>579</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648</v>
      </c>
      <c r="X137" s="38">
        <v>1</v>
      </c>
    </row>
    <row r="138" spans="1:24" ht="13.2" customHeight="1" x14ac:dyDescent="0.25">
      <c r="A138" s="38">
        <v>149</v>
      </c>
      <c r="B138" s="38" t="s">
        <v>35</v>
      </c>
      <c r="C138" s="38" t="s">
        <v>567</v>
      </c>
      <c r="D138" s="38" t="s">
        <v>579</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648</v>
      </c>
      <c r="X138" s="38">
        <v>1</v>
      </c>
    </row>
    <row r="139" spans="1:24" ht="13.2" customHeight="1" x14ac:dyDescent="0.25">
      <c r="A139" s="38">
        <v>150</v>
      </c>
      <c r="B139" s="38" t="s">
        <v>35</v>
      </c>
      <c r="C139" s="38" t="s">
        <v>567</v>
      </c>
      <c r="D139" s="38" t="s">
        <v>579</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648</v>
      </c>
      <c r="X139" s="38">
        <v>1</v>
      </c>
    </row>
    <row r="140" spans="1:24" ht="13.2" customHeight="1" x14ac:dyDescent="0.25">
      <c r="A140" s="38">
        <v>151</v>
      </c>
      <c r="B140" s="38" t="s">
        <v>35</v>
      </c>
      <c r="C140" s="38" t="s">
        <v>567</v>
      </c>
      <c r="D140" s="38" t="s">
        <v>579</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648</v>
      </c>
      <c r="X140" s="38">
        <v>1</v>
      </c>
    </row>
    <row r="141" spans="1:24" ht="13.2" customHeight="1" x14ac:dyDescent="0.25">
      <c r="A141" s="38">
        <v>152</v>
      </c>
      <c r="B141" s="38" t="s">
        <v>56</v>
      </c>
      <c r="C141" s="38" t="s">
        <v>53</v>
      </c>
      <c r="D141" s="38" t="s">
        <v>795</v>
      </c>
      <c r="E141" s="41" t="s">
        <v>84</v>
      </c>
      <c r="F141" s="95" t="s">
        <v>227</v>
      </c>
      <c r="G141" s="36"/>
      <c r="H141" s="36"/>
      <c r="I141" s="35" t="s">
        <v>547</v>
      </c>
      <c r="J141" s="81">
        <f>VLOOKUP($A141, Stat!$A$1:$C$1000, 2,0)</f>
        <v>1</v>
      </c>
      <c r="K141" s="81">
        <f>VLOOKUP($A141, Stat!$A$1:$C$1000, 3,0)</f>
        <v>1</v>
      </c>
      <c r="L141" s="34">
        <v>1</v>
      </c>
      <c r="P141" s="36"/>
      <c r="Q141" s="36"/>
      <c r="R141" s="36"/>
      <c r="S141" s="38">
        <v>100</v>
      </c>
      <c r="T141" s="38">
        <v>0</v>
      </c>
      <c r="V141" s="38" t="s">
        <v>697</v>
      </c>
      <c r="W141" s="38" t="s">
        <v>180</v>
      </c>
      <c r="X141" s="38">
        <v>1</v>
      </c>
    </row>
    <row r="142" spans="1:24" ht="13.2" customHeight="1" x14ac:dyDescent="0.25">
      <c r="A142" s="38">
        <v>153</v>
      </c>
      <c r="B142" s="38" t="s">
        <v>56</v>
      </c>
      <c r="C142" s="38" t="s">
        <v>53</v>
      </c>
      <c r="D142" s="38" t="s">
        <v>795</v>
      </c>
      <c r="E142" s="41" t="s">
        <v>85</v>
      </c>
      <c r="F142" s="95" t="s">
        <v>227</v>
      </c>
      <c r="G142" s="36"/>
      <c r="H142" s="36"/>
      <c r="I142" s="35" t="s">
        <v>547</v>
      </c>
      <c r="J142" s="81">
        <f>VLOOKUP($A142, Stat!$A$1:$C$1000, 2,0)</f>
        <v>3</v>
      </c>
      <c r="K142" s="81">
        <f>VLOOKUP($A142, Stat!$A$1:$C$1000, 3,0)</f>
        <v>2</v>
      </c>
      <c r="L142" s="34">
        <v>1</v>
      </c>
      <c r="P142" s="36"/>
      <c r="Q142" s="36"/>
      <c r="R142" s="36"/>
      <c r="S142" s="38">
        <v>100</v>
      </c>
      <c r="T142" s="38">
        <v>0</v>
      </c>
      <c r="V142" s="38" t="s">
        <v>697</v>
      </c>
      <c r="W142" s="38" t="s">
        <v>180</v>
      </c>
      <c r="X142" s="38">
        <v>1</v>
      </c>
    </row>
    <row r="143" spans="1:24" ht="13.2" customHeight="1" x14ac:dyDescent="0.25">
      <c r="A143" s="38">
        <v>154</v>
      </c>
      <c r="B143" s="38" t="s">
        <v>56</v>
      </c>
      <c r="C143" s="38" t="s">
        <v>53</v>
      </c>
      <c r="D143" s="38" t="s">
        <v>799</v>
      </c>
      <c r="E143" s="41" t="s">
        <v>86</v>
      </c>
      <c r="F143" s="95" t="s">
        <v>227</v>
      </c>
      <c r="G143" s="36"/>
      <c r="H143" s="36"/>
      <c r="I143" s="35" t="s">
        <v>547</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799</v>
      </c>
      <c r="E144" s="41" t="s">
        <v>87</v>
      </c>
      <c r="F144" s="95" t="s">
        <v>227</v>
      </c>
      <c r="G144" s="36"/>
      <c r="H144" s="36"/>
      <c r="I144" s="35" t="s">
        <v>547</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799</v>
      </c>
      <c r="E145" s="41" t="s">
        <v>88</v>
      </c>
      <c r="F145" s="95" t="s">
        <v>227</v>
      </c>
      <c r="G145" s="36"/>
      <c r="H145" s="36"/>
      <c r="I145" s="35" t="s">
        <v>547</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799</v>
      </c>
      <c r="E146" s="41" t="s">
        <v>89</v>
      </c>
      <c r="F146" s="95" t="s">
        <v>227</v>
      </c>
      <c r="G146" s="36"/>
      <c r="H146" s="36"/>
      <c r="I146" s="35" t="s">
        <v>547</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796</v>
      </c>
      <c r="E147" s="41" t="s">
        <v>84</v>
      </c>
      <c r="F147" s="95" t="s">
        <v>227</v>
      </c>
      <c r="G147" s="36"/>
      <c r="H147" s="36"/>
      <c r="I147" s="35" t="s">
        <v>547</v>
      </c>
      <c r="J147" s="81">
        <f>VLOOKUP($A147, Stat!$A$1:$C$1000, 2,0)</f>
        <v>7</v>
      </c>
      <c r="K147" s="81">
        <f>VLOOKUP($A147, Stat!$A$1:$C$1000, 3,0)</f>
        <v>3</v>
      </c>
      <c r="L147" s="34">
        <v>1</v>
      </c>
      <c r="P147" s="36"/>
      <c r="Q147" s="36"/>
      <c r="R147" s="36"/>
      <c r="S147" s="38">
        <v>100</v>
      </c>
      <c r="T147" s="38">
        <v>0</v>
      </c>
      <c r="V147" s="38" t="s">
        <v>698</v>
      </c>
      <c r="X147" s="38">
        <v>1</v>
      </c>
    </row>
    <row r="148" spans="1:24" ht="13.2" customHeight="1" x14ac:dyDescent="0.25">
      <c r="A148" s="38">
        <v>159</v>
      </c>
      <c r="B148" s="38" t="s">
        <v>56</v>
      </c>
      <c r="C148" s="38" t="s">
        <v>53</v>
      </c>
      <c r="D148" s="38" t="s">
        <v>796</v>
      </c>
      <c r="E148" s="41" t="s">
        <v>85</v>
      </c>
      <c r="F148" s="95" t="s">
        <v>227</v>
      </c>
      <c r="G148" s="36"/>
      <c r="H148" s="36"/>
      <c r="I148" s="35" t="s">
        <v>547</v>
      </c>
      <c r="J148" s="81">
        <f>VLOOKUP($A148, Stat!$A$1:$C$1000, 2,0)</f>
        <v>3</v>
      </c>
      <c r="K148" s="81">
        <f>VLOOKUP($A148, Stat!$A$1:$C$1000, 3,0)</f>
        <v>1</v>
      </c>
      <c r="L148" s="34">
        <v>1</v>
      </c>
      <c r="P148" s="36"/>
      <c r="Q148" s="36"/>
      <c r="R148" s="36"/>
      <c r="S148" s="38">
        <v>100</v>
      </c>
      <c r="T148" s="38">
        <v>0</v>
      </c>
      <c r="V148" s="38" t="s">
        <v>698</v>
      </c>
      <c r="X148" s="38">
        <v>1</v>
      </c>
    </row>
    <row r="149" spans="1:24" ht="13.2" customHeight="1" x14ac:dyDescent="0.25">
      <c r="A149" s="38">
        <v>160</v>
      </c>
      <c r="B149" s="38" t="s">
        <v>56</v>
      </c>
      <c r="C149" s="38" t="s">
        <v>53</v>
      </c>
      <c r="D149" s="38" t="s">
        <v>800</v>
      </c>
      <c r="E149" s="41" t="s">
        <v>86</v>
      </c>
      <c r="F149" s="95" t="s">
        <v>227</v>
      </c>
      <c r="G149" s="36"/>
      <c r="H149" s="36"/>
      <c r="I149" s="35" t="s">
        <v>547</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800</v>
      </c>
      <c r="E150" s="41" t="s">
        <v>87</v>
      </c>
      <c r="F150" s="95" t="s">
        <v>227</v>
      </c>
      <c r="G150" s="36"/>
      <c r="H150" s="36"/>
      <c r="I150" s="35" t="s">
        <v>547</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800</v>
      </c>
      <c r="E151" s="41" t="s">
        <v>88</v>
      </c>
      <c r="F151" s="95" t="s">
        <v>227</v>
      </c>
      <c r="G151" s="36"/>
      <c r="H151" s="36"/>
      <c r="I151" s="35" t="s">
        <v>547</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800</v>
      </c>
      <c r="E152" s="41" t="s">
        <v>89</v>
      </c>
      <c r="F152" s="95" t="s">
        <v>227</v>
      </c>
      <c r="G152" s="36"/>
      <c r="H152" s="36"/>
      <c r="I152" s="35" t="s">
        <v>547</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797</v>
      </c>
      <c r="E153" s="41" t="s">
        <v>84</v>
      </c>
      <c r="F153" s="35" t="s">
        <v>462</v>
      </c>
      <c r="G153" s="36"/>
      <c r="H153" s="36"/>
      <c r="I153" s="35" t="s">
        <v>547</v>
      </c>
      <c r="J153" s="81">
        <f>VLOOKUP($A153, Stat!$A$1:$C$1000, 2,0)</f>
        <v>25</v>
      </c>
      <c r="K153" s="81">
        <f>VLOOKUP($A153, Stat!$A$1:$C$1000, 3,0)</f>
        <v>4</v>
      </c>
      <c r="L153" s="34">
        <v>1</v>
      </c>
      <c r="P153" s="36"/>
      <c r="Q153" s="36"/>
      <c r="R153" s="36"/>
      <c r="S153" s="38">
        <v>100</v>
      </c>
      <c r="T153" s="38">
        <v>0</v>
      </c>
      <c r="V153" s="38" t="s">
        <v>699</v>
      </c>
      <c r="X153" s="38">
        <v>1</v>
      </c>
    </row>
    <row r="154" spans="1:24" ht="13.2" customHeight="1" x14ac:dyDescent="0.25">
      <c r="A154" s="38">
        <v>165</v>
      </c>
      <c r="B154" s="38" t="s">
        <v>56</v>
      </c>
      <c r="C154" s="38" t="s">
        <v>53</v>
      </c>
      <c r="D154" s="38" t="s">
        <v>797</v>
      </c>
      <c r="E154" s="41" t="s">
        <v>85</v>
      </c>
      <c r="F154" s="35" t="s">
        <v>462</v>
      </c>
      <c r="G154" s="36"/>
      <c r="H154" s="36"/>
      <c r="I154" s="35" t="s">
        <v>547</v>
      </c>
      <c r="J154" s="81">
        <f>VLOOKUP($A154, Stat!$A$1:$C$1000, 2,0)</f>
        <v>30</v>
      </c>
      <c r="K154" s="81">
        <f>VLOOKUP($A154, Stat!$A$1:$C$1000, 3,0)</f>
        <v>6</v>
      </c>
      <c r="L154" s="34">
        <v>1</v>
      </c>
      <c r="P154" s="36"/>
      <c r="Q154" s="36"/>
      <c r="R154" s="36"/>
      <c r="S154" s="38">
        <v>100</v>
      </c>
      <c r="T154" s="38">
        <v>0</v>
      </c>
      <c r="V154" s="38" t="s">
        <v>699</v>
      </c>
      <c r="X154" s="38">
        <v>1</v>
      </c>
    </row>
    <row r="155" spans="1:24" ht="13.2" customHeight="1" x14ac:dyDescent="0.25">
      <c r="A155" s="38">
        <v>166</v>
      </c>
      <c r="B155" s="38" t="s">
        <v>56</v>
      </c>
      <c r="C155" s="38" t="s">
        <v>53</v>
      </c>
      <c r="D155" s="38" t="s">
        <v>801</v>
      </c>
      <c r="E155" s="41" t="s">
        <v>86</v>
      </c>
      <c r="F155" s="35" t="s">
        <v>462</v>
      </c>
      <c r="G155" s="36"/>
      <c r="H155" s="36"/>
      <c r="I155" s="35" t="s">
        <v>547</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801</v>
      </c>
      <c r="E156" s="41" t="s">
        <v>87</v>
      </c>
      <c r="F156" s="35" t="s">
        <v>462</v>
      </c>
      <c r="G156" s="36"/>
      <c r="H156" s="36"/>
      <c r="I156" s="35" t="s">
        <v>547</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801</v>
      </c>
      <c r="E157" s="41" t="s">
        <v>91</v>
      </c>
      <c r="F157" s="35" t="s">
        <v>462</v>
      </c>
      <c r="G157" s="36"/>
      <c r="H157" s="36"/>
      <c r="I157" s="35" t="s">
        <v>547</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492</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798</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798</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802</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608</v>
      </c>
      <c r="X161" s="38">
        <v>1</v>
      </c>
    </row>
    <row r="162" spans="1:24" ht="13.2" customHeight="1" x14ac:dyDescent="0.25">
      <c r="A162" s="38">
        <v>173</v>
      </c>
      <c r="B162" s="38" t="s">
        <v>56</v>
      </c>
      <c r="C162" s="38" t="s">
        <v>53</v>
      </c>
      <c r="D162" s="38" t="s">
        <v>802</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608</v>
      </c>
      <c r="X162" s="38">
        <v>1</v>
      </c>
    </row>
    <row r="163" spans="1:24" ht="13.2" customHeight="1" x14ac:dyDescent="0.25">
      <c r="A163" s="38">
        <v>174</v>
      </c>
      <c r="B163" s="38" t="s">
        <v>56</v>
      </c>
      <c r="C163" s="38" t="s">
        <v>53</v>
      </c>
      <c r="D163" s="38" t="s">
        <v>802</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608</v>
      </c>
      <c r="X163" s="38">
        <v>1</v>
      </c>
    </row>
    <row r="164" spans="1:24" ht="13.2" customHeight="1" x14ac:dyDescent="0.25">
      <c r="A164" s="38">
        <v>175</v>
      </c>
      <c r="B164" s="38" t="s">
        <v>35</v>
      </c>
      <c r="C164" s="38" t="s">
        <v>6</v>
      </c>
      <c r="D164" s="38" t="s">
        <v>653</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653</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653</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653</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653</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653</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654</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654</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654</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654</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654</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654</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492</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720</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637</v>
      </c>
      <c r="W180" s="38" t="s">
        <v>453</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638</v>
      </c>
      <c r="W181" s="38" t="s">
        <v>454</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683</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683</v>
      </c>
      <c r="X184" s="38">
        <v>1</v>
      </c>
    </row>
    <row r="185" spans="1:24" ht="13.2" customHeight="1" x14ac:dyDescent="0.25">
      <c r="A185" s="38">
        <v>197</v>
      </c>
      <c r="B185" s="38" t="s">
        <v>56</v>
      </c>
      <c r="C185" s="38" t="s">
        <v>159</v>
      </c>
      <c r="D185" s="38" t="s">
        <v>881</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693</v>
      </c>
      <c r="E186" s="41" t="s">
        <v>375</v>
      </c>
      <c r="F186" s="35"/>
      <c r="G186" s="36"/>
      <c r="H186" s="36"/>
      <c r="I186" s="35"/>
      <c r="J186" s="81">
        <f>VLOOKUP($A186, Stat!$A$1:$C$1000, 2,0)</f>
        <v>65</v>
      </c>
      <c r="K186" s="81">
        <f>VLOOKUP($A186, Stat!$A$1:$C$1000, 3,0)</f>
        <v>2</v>
      </c>
      <c r="P186" s="36"/>
      <c r="Q186" s="36"/>
      <c r="R186" s="36"/>
      <c r="S186" s="38">
        <v>60</v>
      </c>
      <c r="T186" s="38">
        <v>0</v>
      </c>
      <c r="V186" s="38" t="s">
        <v>694</v>
      </c>
      <c r="X186" s="38">
        <v>1</v>
      </c>
    </row>
    <row r="187" spans="1:24" ht="13.2" customHeight="1" x14ac:dyDescent="0.25">
      <c r="A187" s="38">
        <v>200</v>
      </c>
      <c r="B187" s="38" t="s">
        <v>56</v>
      </c>
      <c r="C187" s="38" t="s">
        <v>53</v>
      </c>
      <c r="D187" s="38" t="s">
        <v>695</v>
      </c>
      <c r="E187" s="41" t="s">
        <v>116</v>
      </c>
      <c r="F187" s="35" t="s">
        <v>227</v>
      </c>
      <c r="G187" s="36"/>
      <c r="H187" s="36"/>
      <c r="I187" s="35" t="s">
        <v>546</v>
      </c>
      <c r="J187" s="81">
        <f>VLOOKUP($A187, Stat!$A$1:$C$1000, 2,0)</f>
        <v>28</v>
      </c>
      <c r="K187" s="81">
        <f>VLOOKUP($A187, Stat!$A$1:$C$1000, 3,0)</f>
        <v>7</v>
      </c>
      <c r="P187" s="36"/>
      <c r="Q187" s="36"/>
      <c r="R187" s="36"/>
      <c r="S187" s="38">
        <v>60</v>
      </c>
      <c r="T187" s="38">
        <v>0</v>
      </c>
      <c r="W187" s="38" t="s">
        <v>704</v>
      </c>
      <c r="X187" s="38">
        <v>1</v>
      </c>
    </row>
    <row r="188" spans="1:24" ht="13.2" customHeight="1" x14ac:dyDescent="0.25">
      <c r="A188" s="38">
        <v>201</v>
      </c>
      <c r="B188" s="38" t="s">
        <v>56</v>
      </c>
      <c r="C188" s="38" t="s">
        <v>53</v>
      </c>
      <c r="D188" s="38" t="s">
        <v>897</v>
      </c>
      <c r="E188" s="41" t="s">
        <v>896</v>
      </c>
      <c r="F188" s="95" t="s">
        <v>227</v>
      </c>
      <c r="G188" s="35"/>
      <c r="H188" s="35"/>
      <c r="I188" s="35" t="s">
        <v>899</v>
      </c>
      <c r="J188" s="81">
        <f>VLOOKUP($A188, Stat!$A$1:$C$1000, 2,0)</f>
        <v>9</v>
      </c>
      <c r="K188" s="81">
        <f>VLOOKUP($A188, Stat!$A$1:$C$1000, 3,0)</f>
        <v>2</v>
      </c>
      <c r="L188" s="84"/>
      <c r="P188" s="36"/>
      <c r="Q188" s="36"/>
      <c r="R188" s="36"/>
      <c r="S188" s="38">
        <v>0</v>
      </c>
      <c r="T188" s="38">
        <v>0</v>
      </c>
      <c r="V188" s="38" t="s">
        <v>901</v>
      </c>
      <c r="X188" s="38">
        <v>1</v>
      </c>
    </row>
    <row r="189" spans="1:24" ht="13.2" customHeight="1" x14ac:dyDescent="0.25">
      <c r="A189" s="38">
        <v>202</v>
      </c>
      <c r="B189" s="38" t="s">
        <v>56</v>
      </c>
      <c r="C189" s="38" t="s">
        <v>53</v>
      </c>
      <c r="D189" s="38" t="s">
        <v>898</v>
      </c>
      <c r="E189" s="38" t="s">
        <v>718</v>
      </c>
      <c r="F189" s="34">
        <v>8</v>
      </c>
      <c r="I189" s="87" t="s">
        <v>900</v>
      </c>
      <c r="S189" s="38">
        <v>0</v>
      </c>
      <c r="T189" s="38">
        <v>0</v>
      </c>
      <c r="V189" s="38" t="s">
        <v>902</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640</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640</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640</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640</v>
      </c>
      <c r="X193" s="38">
        <v>1</v>
      </c>
    </row>
    <row r="194" spans="1:24" ht="13.2" customHeight="1" x14ac:dyDescent="0.25">
      <c r="A194" s="38">
        <v>208</v>
      </c>
      <c r="B194" s="38" t="s">
        <v>56</v>
      </c>
      <c r="C194" s="38" t="s">
        <v>56</v>
      </c>
      <c r="D194" s="38" t="s">
        <v>822</v>
      </c>
      <c r="E194" s="41" t="s">
        <v>819</v>
      </c>
      <c r="F194" s="35" t="s">
        <v>461</v>
      </c>
      <c r="G194" s="35" t="s">
        <v>225</v>
      </c>
      <c r="H194" s="35" t="s">
        <v>198</v>
      </c>
      <c r="I194" s="35"/>
      <c r="J194" s="81">
        <f>VLOOKUP($A194, Stat!$A$1:$C$1000, 2,0)</f>
        <v>1</v>
      </c>
      <c r="K194" s="81">
        <f>VLOOKUP($A194, Stat!$A$1:$C$1000, 3,0)</f>
        <v>1</v>
      </c>
      <c r="L194" s="34">
        <v>1</v>
      </c>
      <c r="P194" s="36"/>
      <c r="Q194" s="36"/>
      <c r="R194" s="36"/>
      <c r="S194" s="38">
        <v>0</v>
      </c>
      <c r="T194" s="38">
        <v>1</v>
      </c>
      <c r="W194" s="38" t="s">
        <v>873</v>
      </c>
      <c r="X194" s="38">
        <v>1</v>
      </c>
    </row>
    <row r="195" spans="1:24" ht="13.2" customHeight="1" x14ac:dyDescent="0.25">
      <c r="A195" s="38">
        <v>209</v>
      </c>
      <c r="B195" s="38" t="s">
        <v>56</v>
      </c>
      <c r="C195" s="38" t="s">
        <v>56</v>
      </c>
      <c r="D195" s="38" t="s">
        <v>823</v>
      </c>
      <c r="E195" s="41" t="s">
        <v>819</v>
      </c>
      <c r="F195" s="35" t="s">
        <v>461</v>
      </c>
      <c r="G195" s="35" t="s">
        <v>225</v>
      </c>
      <c r="H195" s="35" t="s">
        <v>198</v>
      </c>
      <c r="I195" s="35"/>
      <c r="J195" s="81">
        <f>VLOOKUP($A195, Stat!$A$1:$C$1000, 2,0)</f>
        <v>26</v>
      </c>
      <c r="K195" s="81">
        <f>VLOOKUP($A195, Stat!$A$1:$C$1000, 3,0)</f>
        <v>3</v>
      </c>
      <c r="L195" s="34">
        <v>1</v>
      </c>
      <c r="P195" s="36"/>
      <c r="Q195" s="36"/>
      <c r="R195" s="36"/>
      <c r="S195" s="38">
        <v>0</v>
      </c>
      <c r="T195" s="38">
        <v>1</v>
      </c>
      <c r="W195" s="38" t="s">
        <v>874</v>
      </c>
      <c r="X195" s="38">
        <v>1</v>
      </c>
    </row>
    <row r="196" spans="1:24" ht="13.2" customHeight="1" x14ac:dyDescent="0.25">
      <c r="A196" s="38">
        <v>210</v>
      </c>
      <c r="B196" s="38" t="s">
        <v>56</v>
      </c>
      <c r="C196" s="38" t="s">
        <v>56</v>
      </c>
      <c r="D196" s="38" t="s">
        <v>822</v>
      </c>
      <c r="E196" s="41" t="s">
        <v>821</v>
      </c>
      <c r="F196" s="35" t="s">
        <v>461</v>
      </c>
      <c r="G196" s="35" t="s">
        <v>225</v>
      </c>
      <c r="H196" s="35" t="s">
        <v>198</v>
      </c>
      <c r="I196" s="35"/>
      <c r="J196" s="81">
        <f>VLOOKUP($A196, Stat!$A$1:$C$1000, 2,0)</f>
        <v>19</v>
      </c>
      <c r="K196" s="81">
        <f>VLOOKUP($A196, Stat!$A$1:$C$1000, 3,0)</f>
        <v>9</v>
      </c>
      <c r="L196" s="34">
        <v>1</v>
      </c>
      <c r="P196" s="36"/>
      <c r="Q196" s="36"/>
      <c r="R196" s="36"/>
      <c r="S196" s="38">
        <v>40</v>
      </c>
      <c r="T196" s="38">
        <v>0</v>
      </c>
      <c r="W196" s="38" t="s">
        <v>875</v>
      </c>
      <c r="X196" s="38">
        <v>1</v>
      </c>
    </row>
    <row r="197" spans="1:24" ht="13.2" customHeight="1" x14ac:dyDescent="0.25">
      <c r="A197" s="38">
        <v>211</v>
      </c>
      <c r="B197" s="38" t="s">
        <v>56</v>
      </c>
      <c r="C197" s="38" t="s">
        <v>56</v>
      </c>
      <c r="D197" s="38" t="s">
        <v>823</v>
      </c>
      <c r="E197" s="41" t="s">
        <v>821</v>
      </c>
      <c r="F197" s="35" t="s">
        <v>461</v>
      </c>
      <c r="G197" s="35" t="s">
        <v>225</v>
      </c>
      <c r="H197" s="35" t="s">
        <v>198</v>
      </c>
      <c r="I197" s="35"/>
      <c r="J197" s="81">
        <f>VLOOKUP($A197, Stat!$A$1:$C$1000, 2,0)</f>
        <v>8</v>
      </c>
      <c r="K197" s="81">
        <f>VLOOKUP($A197, Stat!$A$1:$C$1000, 3,0)</f>
        <v>4</v>
      </c>
      <c r="L197" s="34">
        <v>1</v>
      </c>
      <c r="P197" s="36"/>
      <c r="Q197" s="36"/>
      <c r="R197" s="36"/>
      <c r="S197" s="38">
        <v>40</v>
      </c>
      <c r="T197" s="38">
        <v>0</v>
      </c>
      <c r="W197" s="38" t="s">
        <v>876</v>
      </c>
      <c r="X197" s="38">
        <v>1</v>
      </c>
    </row>
    <row r="198" spans="1:24" ht="13.2" customHeight="1" x14ac:dyDescent="0.25">
      <c r="A198" s="38">
        <v>212</v>
      </c>
      <c r="B198" s="38" t="s">
        <v>56</v>
      </c>
      <c r="C198" s="38" t="s">
        <v>56</v>
      </c>
      <c r="D198" s="38" t="s">
        <v>822</v>
      </c>
      <c r="E198" s="41" t="s">
        <v>820</v>
      </c>
      <c r="F198" s="35" t="s">
        <v>461</v>
      </c>
      <c r="G198" s="35" t="s">
        <v>225</v>
      </c>
      <c r="H198" s="35" t="s">
        <v>198</v>
      </c>
      <c r="I198" s="35"/>
      <c r="J198" s="81">
        <f>VLOOKUP($A198, Stat!$A$1:$C$1000, 2,0)</f>
        <v>5</v>
      </c>
      <c r="K198" s="81">
        <f>VLOOKUP($A198, Stat!$A$1:$C$1000, 3,0)</f>
        <v>1</v>
      </c>
      <c r="L198" s="34">
        <v>1</v>
      </c>
      <c r="P198" s="36"/>
      <c r="Q198" s="36"/>
      <c r="R198" s="36"/>
      <c r="S198" s="38">
        <v>0</v>
      </c>
      <c r="T198" s="38">
        <v>1</v>
      </c>
      <c r="W198" s="38" t="s">
        <v>877</v>
      </c>
      <c r="X198" s="38">
        <v>1</v>
      </c>
    </row>
    <row r="199" spans="1:24" ht="13.2" customHeight="1" x14ac:dyDescent="0.25">
      <c r="A199" s="38">
        <v>213</v>
      </c>
      <c r="B199" s="38" t="s">
        <v>56</v>
      </c>
      <c r="C199" s="38" t="s">
        <v>56</v>
      </c>
      <c r="D199" s="38" t="s">
        <v>823</v>
      </c>
      <c r="E199" s="41" t="s">
        <v>820</v>
      </c>
      <c r="F199" s="35" t="s">
        <v>461</v>
      </c>
      <c r="G199" s="35" t="s">
        <v>225</v>
      </c>
      <c r="H199" s="35" t="s">
        <v>198</v>
      </c>
      <c r="I199" s="35"/>
      <c r="J199" s="81">
        <f>VLOOKUP($A199, Stat!$A$1:$C$1000, 2,0)</f>
        <v>23</v>
      </c>
      <c r="K199" s="81">
        <f>VLOOKUP($A199, Stat!$A$1:$C$1000, 3,0)</f>
        <v>8</v>
      </c>
      <c r="L199" s="34">
        <v>1</v>
      </c>
      <c r="P199" s="36"/>
      <c r="Q199" s="36"/>
      <c r="R199" s="36"/>
      <c r="S199" s="38">
        <v>0</v>
      </c>
      <c r="T199" s="38">
        <v>1</v>
      </c>
      <c r="W199" s="38" t="s">
        <v>878</v>
      </c>
      <c r="X199" s="38">
        <v>1</v>
      </c>
    </row>
    <row r="200" spans="1:24" ht="13.2" customHeight="1" x14ac:dyDescent="0.25">
      <c r="A200" s="38">
        <v>214</v>
      </c>
      <c r="B200" s="38" t="s">
        <v>56</v>
      </c>
      <c r="C200" s="38" t="s">
        <v>56</v>
      </c>
      <c r="D200" s="38" t="s">
        <v>822</v>
      </c>
      <c r="E200" s="41" t="s">
        <v>138</v>
      </c>
      <c r="F200" s="35" t="s">
        <v>461</v>
      </c>
      <c r="G200" s="35" t="s">
        <v>225</v>
      </c>
      <c r="H200" s="35" t="s">
        <v>198</v>
      </c>
      <c r="I200" s="35"/>
      <c r="J200" s="81">
        <f>VLOOKUP($A200, Stat!$A$1:$C$1000, 2,0)</f>
        <v>17</v>
      </c>
      <c r="K200" s="81">
        <f>VLOOKUP($A200, Stat!$A$1:$C$1000, 3,0)</f>
        <v>6</v>
      </c>
      <c r="L200" s="34">
        <v>1</v>
      </c>
      <c r="P200" s="36"/>
      <c r="Q200" s="36"/>
      <c r="R200" s="36"/>
      <c r="S200" s="38">
        <v>40</v>
      </c>
      <c r="T200" s="38">
        <v>0</v>
      </c>
      <c r="W200" s="38" t="s">
        <v>879</v>
      </c>
      <c r="X200" s="38">
        <v>1</v>
      </c>
    </row>
    <row r="201" spans="1:24" ht="13.2" customHeight="1" x14ac:dyDescent="0.25">
      <c r="A201" s="38">
        <v>215</v>
      </c>
      <c r="B201" s="38" t="s">
        <v>56</v>
      </c>
      <c r="C201" s="38" t="s">
        <v>56</v>
      </c>
      <c r="D201" s="38" t="s">
        <v>823</v>
      </c>
      <c r="E201" s="41" t="s">
        <v>138</v>
      </c>
      <c r="F201" s="35" t="s">
        <v>461</v>
      </c>
      <c r="G201" s="35" t="s">
        <v>225</v>
      </c>
      <c r="H201" s="35" t="s">
        <v>198</v>
      </c>
      <c r="I201" s="35"/>
      <c r="J201" s="81">
        <f>VLOOKUP($A201, Stat!$A$1:$C$1000, 2,0)</f>
        <v>9</v>
      </c>
      <c r="K201" s="81">
        <f>VLOOKUP($A201, Stat!$A$1:$C$1000, 3,0)</f>
        <v>8</v>
      </c>
      <c r="L201" s="34">
        <v>1</v>
      </c>
      <c r="P201" s="36"/>
      <c r="Q201" s="36"/>
      <c r="R201" s="36"/>
      <c r="S201" s="38">
        <v>40</v>
      </c>
      <c r="T201" s="38">
        <v>0</v>
      </c>
      <c r="W201" s="38" t="s">
        <v>880</v>
      </c>
      <c r="X201" s="38">
        <v>1</v>
      </c>
    </row>
    <row r="202" spans="1:24" ht="13.2" customHeight="1" x14ac:dyDescent="0.25">
      <c r="A202" s="38">
        <v>216</v>
      </c>
      <c r="B202" s="38" t="s">
        <v>56</v>
      </c>
      <c r="C202" s="38" t="s">
        <v>56</v>
      </c>
      <c r="D202" s="38" t="s">
        <v>137</v>
      </c>
      <c r="E202" s="41" t="s">
        <v>142</v>
      </c>
      <c r="F202" s="95" t="s">
        <v>466</v>
      </c>
      <c r="G202" s="35" t="s">
        <v>198</v>
      </c>
      <c r="H202" s="36"/>
      <c r="I202" s="35" t="s">
        <v>448</v>
      </c>
      <c r="J202" s="81">
        <f>VLOOKUP($A202, Stat!$A$1:$C$1000, 2,0)</f>
        <v>1</v>
      </c>
      <c r="K202" s="81">
        <f>VLOOKUP($A202, Stat!$A$1:$C$1000, 3,0)</f>
        <v>1</v>
      </c>
      <c r="L202" s="34">
        <v>1</v>
      </c>
      <c r="P202" s="36"/>
      <c r="Q202" s="36"/>
      <c r="R202" s="36"/>
      <c r="S202" s="38">
        <v>100</v>
      </c>
      <c r="T202" s="38">
        <v>0</v>
      </c>
      <c r="W202" s="38" t="s">
        <v>707</v>
      </c>
      <c r="X202" s="38">
        <v>1</v>
      </c>
    </row>
    <row r="203" spans="1:24" ht="13.2" customHeight="1" x14ac:dyDescent="0.25">
      <c r="A203" s="38">
        <v>217</v>
      </c>
      <c r="B203" s="38" t="s">
        <v>56</v>
      </c>
      <c r="C203" s="38" t="s">
        <v>56</v>
      </c>
      <c r="D203" s="38" t="s">
        <v>137</v>
      </c>
      <c r="E203" s="41" t="s">
        <v>141</v>
      </c>
      <c r="F203" s="95" t="s">
        <v>466</v>
      </c>
      <c r="G203" s="35" t="s">
        <v>198</v>
      </c>
      <c r="H203" s="36"/>
      <c r="I203" s="35" t="s">
        <v>448</v>
      </c>
      <c r="J203" s="81">
        <f>VLOOKUP($A203, Stat!$A$1:$C$1000, 2,0)</f>
        <v>5</v>
      </c>
      <c r="K203" s="81">
        <f>VLOOKUP($A203, Stat!$A$1:$C$1000, 3,0)</f>
        <v>4</v>
      </c>
      <c r="L203" s="34">
        <v>1</v>
      </c>
      <c r="P203" s="36"/>
      <c r="Q203" s="36"/>
      <c r="R203" s="36"/>
      <c r="S203" s="38">
        <v>100</v>
      </c>
      <c r="T203" s="38">
        <v>0</v>
      </c>
      <c r="W203" s="38" t="s">
        <v>708</v>
      </c>
      <c r="X203" s="38">
        <v>1</v>
      </c>
    </row>
    <row r="204" spans="1:24" ht="13.2" customHeight="1" x14ac:dyDescent="0.25">
      <c r="A204" s="38">
        <v>218</v>
      </c>
      <c r="B204" s="38" t="s">
        <v>56</v>
      </c>
      <c r="C204" s="38" t="s">
        <v>56</v>
      </c>
      <c r="D204" s="38" t="s">
        <v>137</v>
      </c>
      <c r="E204" s="41" t="s">
        <v>140</v>
      </c>
      <c r="F204" s="95" t="s">
        <v>466</v>
      </c>
      <c r="G204" s="35" t="s">
        <v>198</v>
      </c>
      <c r="H204" s="36"/>
      <c r="I204" s="35" t="s">
        <v>448</v>
      </c>
      <c r="J204" s="81">
        <f>VLOOKUP($A204, Stat!$A$1:$C$1000, 2,0)</f>
        <v>1</v>
      </c>
      <c r="K204" s="81">
        <f>VLOOKUP($A204, Stat!$A$1:$C$1000, 3,0)</f>
        <v>1</v>
      </c>
      <c r="L204" s="34">
        <v>1</v>
      </c>
      <c r="P204" s="36"/>
      <c r="Q204" s="36"/>
      <c r="R204" s="36"/>
      <c r="S204" s="38">
        <v>60</v>
      </c>
      <c r="T204" s="38">
        <v>0</v>
      </c>
      <c r="W204" s="38" t="s">
        <v>709</v>
      </c>
      <c r="X204" s="38">
        <v>1</v>
      </c>
    </row>
    <row r="205" spans="1:24" ht="13.2" customHeight="1" x14ac:dyDescent="0.25">
      <c r="A205" s="38">
        <v>219</v>
      </c>
      <c r="B205" s="38" t="s">
        <v>56</v>
      </c>
      <c r="C205" s="38" t="s">
        <v>56</v>
      </c>
      <c r="D205" s="38" t="s">
        <v>137</v>
      </c>
      <c r="E205" s="41" t="s">
        <v>139</v>
      </c>
      <c r="F205" s="95" t="s">
        <v>466</v>
      </c>
      <c r="G205" s="35" t="s">
        <v>198</v>
      </c>
      <c r="H205" s="36"/>
      <c r="I205" s="35" t="s">
        <v>448</v>
      </c>
      <c r="J205" s="81">
        <f>VLOOKUP($A205, Stat!$A$1:$C$1000, 2,0)</f>
        <v>24</v>
      </c>
      <c r="K205" s="81">
        <f>VLOOKUP($A205, Stat!$A$1:$C$1000, 3,0)</f>
        <v>4</v>
      </c>
      <c r="L205" s="34">
        <v>1</v>
      </c>
      <c r="P205" s="36"/>
      <c r="Q205" s="36"/>
      <c r="R205" s="36"/>
      <c r="S205" s="38">
        <v>60</v>
      </c>
      <c r="T205" s="38">
        <v>0</v>
      </c>
      <c r="W205" s="38" t="s">
        <v>710</v>
      </c>
      <c r="X205" s="38">
        <v>1</v>
      </c>
    </row>
    <row r="206" spans="1:24" ht="13.2" customHeight="1" x14ac:dyDescent="0.25">
      <c r="A206" s="38">
        <v>220</v>
      </c>
      <c r="B206" s="38" t="s">
        <v>56</v>
      </c>
      <c r="C206" s="38" t="s">
        <v>56</v>
      </c>
      <c r="D206" s="38" t="s">
        <v>137</v>
      </c>
      <c r="E206" s="41" t="s">
        <v>46</v>
      </c>
      <c r="F206" s="95" t="s">
        <v>466</v>
      </c>
      <c r="G206" s="35" t="s">
        <v>198</v>
      </c>
      <c r="H206" s="36"/>
      <c r="I206" s="35" t="s">
        <v>448</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466</v>
      </c>
      <c r="G207" s="35" t="s">
        <v>198</v>
      </c>
      <c r="H207" s="36"/>
      <c r="I207" s="35" t="s">
        <v>448</v>
      </c>
      <c r="J207" s="81">
        <f>VLOOKUP($A207, Stat!$A$1:$C$1000, 2,0)</f>
        <v>16</v>
      </c>
      <c r="K207" s="81">
        <f>VLOOKUP($A207, Stat!$A$1:$C$1000, 3,0)</f>
        <v>7</v>
      </c>
      <c r="L207" s="34">
        <v>1</v>
      </c>
      <c r="P207" s="36"/>
      <c r="Q207" s="36"/>
      <c r="R207" s="36"/>
      <c r="S207" s="38">
        <v>100</v>
      </c>
      <c r="T207" s="38">
        <v>0</v>
      </c>
      <c r="W207" s="38" t="s">
        <v>711</v>
      </c>
      <c r="X207" s="38">
        <v>1</v>
      </c>
    </row>
    <row r="208" spans="1:24" ht="13.2" customHeight="1" x14ac:dyDescent="0.25">
      <c r="A208" s="38">
        <v>223</v>
      </c>
      <c r="B208" s="38" t="s">
        <v>56</v>
      </c>
      <c r="C208" s="38" t="s">
        <v>56</v>
      </c>
      <c r="D208" s="38" t="s">
        <v>491</v>
      </c>
      <c r="E208" s="41" t="s">
        <v>713</v>
      </c>
      <c r="F208" s="35" t="s">
        <v>228</v>
      </c>
      <c r="G208" s="35" t="s">
        <v>198</v>
      </c>
      <c r="H208" s="36"/>
      <c r="I208" s="36"/>
      <c r="J208" s="81">
        <f>VLOOKUP($A208, Stat!$A$1:$C$1000, 2,0)</f>
        <v>14</v>
      </c>
      <c r="K208" s="81">
        <f>VLOOKUP($A208, Stat!$A$1:$C$1000, 3,0)</f>
        <v>7</v>
      </c>
      <c r="L208" s="34">
        <v>1</v>
      </c>
      <c r="P208" s="36"/>
      <c r="Q208" s="36"/>
      <c r="R208" s="36"/>
      <c r="S208" s="38">
        <v>60</v>
      </c>
      <c r="T208" s="38">
        <v>0</v>
      </c>
      <c r="W208" s="38" t="s">
        <v>443</v>
      </c>
      <c r="X208" s="38">
        <v>1</v>
      </c>
    </row>
    <row r="209" spans="1:24" ht="13.2" customHeight="1" x14ac:dyDescent="0.25">
      <c r="A209" s="38">
        <v>224</v>
      </c>
      <c r="B209" s="38" t="s">
        <v>56</v>
      </c>
      <c r="C209" s="38" t="s">
        <v>56</v>
      </c>
      <c r="D209" s="38" t="s">
        <v>491</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721</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611</v>
      </c>
      <c r="X210" s="38">
        <v>1</v>
      </c>
    </row>
    <row r="211" spans="1:24" ht="13.2" customHeight="1" x14ac:dyDescent="0.25">
      <c r="A211" s="38">
        <v>226</v>
      </c>
      <c r="B211" s="38" t="s">
        <v>56</v>
      </c>
      <c r="C211" s="38" t="s">
        <v>159</v>
      </c>
      <c r="D211" s="38" t="s">
        <v>794</v>
      </c>
      <c r="E211" s="41" t="s">
        <v>790</v>
      </c>
      <c r="F211" s="36"/>
      <c r="G211" s="36"/>
      <c r="H211" s="36"/>
      <c r="I211" s="36"/>
      <c r="J211" s="81">
        <f>VLOOKUP($A211, Stat!$A$1:$C$1000, 2,0)</f>
        <v>12</v>
      </c>
      <c r="K211" s="81">
        <f>VLOOKUP($A211, Stat!$A$1:$C$1000, 3,0)</f>
        <v>7</v>
      </c>
      <c r="L211" s="34">
        <v>1</v>
      </c>
      <c r="P211" s="36"/>
      <c r="Q211" s="36"/>
      <c r="R211" s="36"/>
      <c r="S211" s="38">
        <v>60</v>
      </c>
      <c r="T211" s="38">
        <v>0</v>
      </c>
      <c r="W211" s="38" t="s">
        <v>751</v>
      </c>
      <c r="X211" s="38">
        <v>1</v>
      </c>
    </row>
    <row r="212" spans="1:24" ht="13.2" customHeight="1" x14ac:dyDescent="0.25">
      <c r="A212" s="38">
        <v>227</v>
      </c>
      <c r="B212" s="38" t="s">
        <v>56</v>
      </c>
      <c r="C212" s="38" t="s">
        <v>159</v>
      </c>
      <c r="D212" s="38" t="s">
        <v>794</v>
      </c>
      <c r="E212" s="41" t="s">
        <v>791</v>
      </c>
      <c r="F212" s="36"/>
      <c r="G212" s="36"/>
      <c r="H212" s="36"/>
      <c r="I212" s="36"/>
      <c r="J212" s="81">
        <f>VLOOKUP($A212, Stat!$A$1:$C$1000, 2,0)</f>
        <v>47</v>
      </c>
      <c r="K212" s="81">
        <f>VLOOKUP($A212, Stat!$A$1:$C$1000, 3,0)</f>
        <v>5</v>
      </c>
      <c r="L212" s="34">
        <v>1</v>
      </c>
      <c r="P212" s="36"/>
      <c r="Q212" s="36"/>
      <c r="R212" s="36"/>
      <c r="S212" s="38">
        <v>0</v>
      </c>
      <c r="T212" s="38">
        <v>1</v>
      </c>
      <c r="W212" s="38" t="s">
        <v>752</v>
      </c>
      <c r="X212" s="38">
        <v>1</v>
      </c>
    </row>
    <row r="213" spans="1:24" ht="13.2" customHeight="1" x14ac:dyDescent="0.25">
      <c r="A213" s="38">
        <v>228</v>
      </c>
      <c r="B213" s="38" t="s">
        <v>56</v>
      </c>
      <c r="C213" s="38" t="s">
        <v>159</v>
      </c>
      <c r="D213" s="38" t="s">
        <v>794</v>
      </c>
      <c r="E213" s="41" t="s">
        <v>792</v>
      </c>
      <c r="F213" s="36"/>
      <c r="G213" s="36"/>
      <c r="H213" s="36"/>
      <c r="I213" s="36"/>
      <c r="J213" s="81">
        <f>VLOOKUP($A213, Stat!$A$1:$C$1000, 2,0)</f>
        <v>25</v>
      </c>
      <c r="K213" s="81">
        <f>VLOOKUP($A213, Stat!$A$1:$C$1000, 3,0)</f>
        <v>8</v>
      </c>
      <c r="L213" s="34">
        <v>1</v>
      </c>
      <c r="P213" s="36"/>
      <c r="Q213" s="36"/>
      <c r="R213" s="36"/>
      <c r="S213" s="38">
        <v>60</v>
      </c>
      <c r="T213" s="38">
        <v>0</v>
      </c>
      <c r="W213" s="38" t="s">
        <v>753</v>
      </c>
      <c r="X213" s="38">
        <v>1</v>
      </c>
    </row>
    <row r="214" spans="1:24" ht="13.2" customHeight="1" x14ac:dyDescent="0.25">
      <c r="A214" s="38">
        <v>229</v>
      </c>
      <c r="B214" s="38" t="s">
        <v>56</v>
      </c>
      <c r="C214" s="38" t="s">
        <v>159</v>
      </c>
      <c r="D214" s="38" t="s">
        <v>794</v>
      </c>
      <c r="E214" s="41" t="s">
        <v>793</v>
      </c>
      <c r="F214" s="36"/>
      <c r="G214" s="36"/>
      <c r="H214" s="36"/>
      <c r="I214" s="36"/>
      <c r="J214" s="81">
        <f>VLOOKUP($A214, Stat!$A$1:$C$1000, 2,0)</f>
        <v>57</v>
      </c>
      <c r="K214" s="81">
        <f>VLOOKUP($A214, Stat!$A$1:$C$1000, 3,0)</f>
        <v>9</v>
      </c>
      <c r="L214" s="34">
        <v>1</v>
      </c>
      <c r="P214" s="36"/>
      <c r="Q214" s="36"/>
      <c r="R214" s="36"/>
      <c r="S214" s="38">
        <v>0</v>
      </c>
      <c r="T214" s="38">
        <v>1</v>
      </c>
      <c r="W214" s="38" t="s">
        <v>754</v>
      </c>
      <c r="X214" s="38">
        <v>1</v>
      </c>
    </row>
    <row r="215" spans="1:24" ht="13.2" customHeight="1" x14ac:dyDescent="0.25">
      <c r="A215" s="38">
        <v>230</v>
      </c>
      <c r="B215" s="38" t="s">
        <v>56</v>
      </c>
      <c r="C215" s="38" t="s">
        <v>159</v>
      </c>
      <c r="D215" s="38" t="s">
        <v>794</v>
      </c>
      <c r="E215" s="41" t="s">
        <v>161</v>
      </c>
      <c r="F215" s="36"/>
      <c r="G215" s="36"/>
      <c r="H215" s="36"/>
      <c r="I215" s="36"/>
      <c r="J215" s="81">
        <f>VLOOKUP($A215, Stat!$A$1:$C$1000, 2,0)</f>
        <v>19</v>
      </c>
      <c r="K215" s="81">
        <f>VLOOKUP($A215, Stat!$A$1:$C$1000, 3,0)</f>
        <v>3</v>
      </c>
      <c r="L215" s="34">
        <v>1</v>
      </c>
      <c r="P215" s="36"/>
      <c r="Q215" s="36"/>
      <c r="R215" s="36"/>
      <c r="S215" s="38">
        <v>60</v>
      </c>
      <c r="T215" s="38">
        <v>0</v>
      </c>
      <c r="W215" s="38" t="s">
        <v>755</v>
      </c>
      <c r="X215" s="38">
        <v>1</v>
      </c>
    </row>
    <row r="216" spans="1:24" ht="13.2" customHeight="1" x14ac:dyDescent="0.25">
      <c r="A216" s="38">
        <v>231</v>
      </c>
      <c r="B216" s="38" t="s">
        <v>56</v>
      </c>
      <c r="C216" s="38" t="s">
        <v>159</v>
      </c>
      <c r="D216" s="38" t="s">
        <v>794</v>
      </c>
      <c r="E216" s="41" t="s">
        <v>147</v>
      </c>
      <c r="F216" s="36"/>
      <c r="G216" s="36"/>
      <c r="H216" s="36"/>
      <c r="I216" s="36"/>
      <c r="J216" s="81">
        <f>VLOOKUP($A216, Stat!$A$1:$C$1000, 2,0)</f>
        <v>4</v>
      </c>
      <c r="K216" s="81">
        <f>VLOOKUP($A216, Stat!$A$1:$C$1000, 3,0)</f>
        <v>3</v>
      </c>
      <c r="L216" s="34">
        <v>1</v>
      </c>
      <c r="P216" s="36"/>
      <c r="Q216" s="36"/>
      <c r="R216" s="36"/>
      <c r="S216" s="38">
        <v>60</v>
      </c>
      <c r="T216" s="38">
        <v>0</v>
      </c>
      <c r="W216" s="38" t="s">
        <v>756</v>
      </c>
      <c r="X216" s="38">
        <v>1</v>
      </c>
    </row>
    <row r="217" spans="1:24" ht="13.2" customHeight="1" x14ac:dyDescent="0.25">
      <c r="A217" s="38">
        <v>232</v>
      </c>
      <c r="B217" s="38" t="s">
        <v>56</v>
      </c>
      <c r="C217" s="38" t="s">
        <v>159</v>
      </c>
      <c r="D217" s="38" t="s">
        <v>794</v>
      </c>
      <c r="E217" s="41" t="s">
        <v>162</v>
      </c>
      <c r="F217" s="36"/>
      <c r="G217" s="36"/>
      <c r="H217" s="36"/>
      <c r="I217" s="36"/>
      <c r="J217" s="81">
        <f>VLOOKUP($A217, Stat!$A$1:$C$1000, 2,0)</f>
        <v>3</v>
      </c>
      <c r="K217" s="81">
        <f>VLOOKUP($A217, Stat!$A$1:$C$1000, 3,0)</f>
        <v>3</v>
      </c>
      <c r="L217" s="34">
        <v>1</v>
      </c>
      <c r="P217" s="36"/>
      <c r="Q217" s="36"/>
      <c r="R217" s="36"/>
      <c r="S217" s="38">
        <v>60</v>
      </c>
      <c r="T217" s="38">
        <v>0</v>
      </c>
      <c r="W217" s="38" t="s">
        <v>757</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731</v>
      </c>
      <c r="X218" s="38">
        <v>1</v>
      </c>
    </row>
    <row r="219" spans="1:24" ht="13.2" customHeight="1" x14ac:dyDescent="0.25">
      <c r="A219" s="38">
        <v>234</v>
      </c>
      <c r="B219" s="38" t="s">
        <v>56</v>
      </c>
      <c r="C219" s="38" t="s">
        <v>159</v>
      </c>
      <c r="D219" s="38" t="s">
        <v>159</v>
      </c>
      <c r="E219" s="41" t="s">
        <v>166</v>
      </c>
      <c r="F219" s="35" t="s">
        <v>465</v>
      </c>
      <c r="G219" s="36"/>
      <c r="H219" s="36"/>
      <c r="I219" s="36" t="s">
        <v>159</v>
      </c>
      <c r="J219" s="81">
        <f>VLOOKUP($A219, Stat!$A$1:$C$1000, 2,0)</f>
        <v>8</v>
      </c>
      <c r="K219" s="81">
        <f>VLOOKUP($A219, Stat!$A$1:$C$1000, 3,0)</f>
        <v>8</v>
      </c>
      <c r="L219" s="34">
        <v>1</v>
      </c>
      <c r="P219" s="36"/>
      <c r="Q219" s="36"/>
      <c r="R219" s="36"/>
      <c r="S219" s="38">
        <v>60</v>
      </c>
      <c r="T219" s="38">
        <v>0</v>
      </c>
      <c r="W219" s="38" t="s">
        <v>732</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733</v>
      </c>
      <c r="X221" s="38">
        <v>1</v>
      </c>
    </row>
    <row r="222" spans="1:24" ht="13.2" customHeight="1" x14ac:dyDescent="0.25">
      <c r="A222" s="38">
        <v>237</v>
      </c>
      <c r="B222" s="38" t="s">
        <v>56</v>
      </c>
      <c r="C222" s="38" t="s">
        <v>159</v>
      </c>
      <c r="D222" s="38" t="s">
        <v>881</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465</v>
      </c>
      <c r="G223" s="36"/>
      <c r="H223" s="36"/>
      <c r="I223" s="35" t="s">
        <v>557</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465</v>
      </c>
      <c r="G224" s="36"/>
      <c r="H224" s="36"/>
      <c r="I224" s="35" t="s">
        <v>557</v>
      </c>
      <c r="J224" s="81">
        <f>VLOOKUP($A224, Stat!$A$1:$C$1000, 2,0)</f>
        <v>71</v>
      </c>
      <c r="K224" s="81">
        <f>VLOOKUP($A224, Stat!$A$1:$C$1000, 3,0)</f>
        <v>18</v>
      </c>
      <c r="L224" s="34">
        <v>1</v>
      </c>
      <c r="P224" s="36"/>
      <c r="Q224" s="36"/>
      <c r="R224" s="36"/>
      <c r="S224" s="38">
        <v>0</v>
      </c>
      <c r="T224" s="38">
        <v>1</v>
      </c>
      <c r="W224" s="38" t="s">
        <v>758</v>
      </c>
      <c r="X224" s="38">
        <v>1</v>
      </c>
    </row>
    <row r="225" spans="1:24" ht="13.2" customHeight="1" x14ac:dyDescent="0.25">
      <c r="A225" s="38">
        <v>240</v>
      </c>
      <c r="B225" s="38" t="s">
        <v>56</v>
      </c>
      <c r="C225" s="38" t="s">
        <v>159</v>
      </c>
      <c r="D225" s="38" t="s">
        <v>168</v>
      </c>
      <c r="E225" s="41" t="s">
        <v>68</v>
      </c>
      <c r="F225" s="95" t="s">
        <v>465</v>
      </c>
      <c r="G225" s="36"/>
      <c r="H225" s="36"/>
      <c r="I225" s="35" t="s">
        <v>557</v>
      </c>
      <c r="J225" s="81">
        <f>VLOOKUP($A225, Stat!$A$1:$C$1000, 2,0)</f>
        <v>11</v>
      </c>
      <c r="K225" s="81">
        <f>VLOOKUP($A225, Stat!$A$1:$C$1000, 3,0)</f>
        <v>9</v>
      </c>
      <c r="L225" s="34">
        <v>1</v>
      </c>
      <c r="P225" s="35" t="s">
        <v>211</v>
      </c>
      <c r="Q225" s="36"/>
      <c r="R225" s="36"/>
      <c r="S225" s="38">
        <v>60</v>
      </c>
      <c r="T225" s="38">
        <v>0</v>
      </c>
      <c r="W225" s="38" t="s">
        <v>759</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748</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748</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748</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748</v>
      </c>
      <c r="X229" s="38">
        <v>1</v>
      </c>
    </row>
    <row r="230" spans="1:24" ht="13.2" customHeight="1" x14ac:dyDescent="0.25">
      <c r="A230" s="38">
        <v>245</v>
      </c>
      <c r="B230" s="38" t="s">
        <v>56</v>
      </c>
      <c r="C230" s="39" t="s">
        <v>159</v>
      </c>
      <c r="D230" s="38" t="s">
        <v>149</v>
      </c>
      <c r="E230" s="41" t="s">
        <v>226</v>
      </c>
      <c r="F230" s="35" t="s">
        <v>465</v>
      </c>
      <c r="G230" s="36"/>
      <c r="H230" s="36"/>
      <c r="I230" s="35" t="s">
        <v>548</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465</v>
      </c>
      <c r="G231" s="36"/>
      <c r="H231" s="36"/>
      <c r="I231" s="35" t="s">
        <v>548</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465</v>
      </c>
      <c r="G232" s="36"/>
      <c r="H232" s="36"/>
      <c r="I232" s="35" t="s">
        <v>505</v>
      </c>
      <c r="J232" s="81">
        <f>VLOOKUP($A232, Stat!$A$1:$C$1000, 2,0)</f>
        <v>48</v>
      </c>
      <c r="K232" s="81">
        <f>VLOOKUP($A232, Stat!$A$1:$C$1000, 3,0)</f>
        <v>16</v>
      </c>
      <c r="L232" s="34">
        <v>1</v>
      </c>
      <c r="P232" s="36"/>
      <c r="Q232" s="36"/>
      <c r="R232" s="36"/>
      <c r="S232" s="38">
        <v>60</v>
      </c>
      <c r="T232" s="38">
        <v>0</v>
      </c>
      <c r="W232" s="38" t="s">
        <v>760</v>
      </c>
      <c r="X232" s="38">
        <v>1</v>
      </c>
    </row>
    <row r="233" spans="1:24" x14ac:dyDescent="0.25">
      <c r="A233" s="38">
        <v>248</v>
      </c>
      <c r="B233" s="38" t="s">
        <v>56</v>
      </c>
      <c r="C233" s="38" t="s">
        <v>56</v>
      </c>
      <c r="D233" s="38" t="s">
        <v>815</v>
      </c>
      <c r="E233" s="41" t="s">
        <v>164</v>
      </c>
      <c r="F233" s="35" t="s">
        <v>461</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705</v>
      </c>
      <c r="X233" s="38">
        <v>1</v>
      </c>
    </row>
    <row r="234" spans="1:24" x14ac:dyDescent="0.25">
      <c r="A234" s="38">
        <v>249</v>
      </c>
      <c r="B234" s="38" t="s">
        <v>56</v>
      </c>
      <c r="C234" s="38" t="s">
        <v>56</v>
      </c>
      <c r="D234" s="38" t="s">
        <v>815</v>
      </c>
      <c r="E234" s="41" t="s">
        <v>99</v>
      </c>
      <c r="F234" s="35" t="s">
        <v>461</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706</v>
      </c>
      <c r="X234" s="38">
        <v>1</v>
      </c>
    </row>
    <row r="235" spans="1:24" x14ac:dyDescent="0.25">
      <c r="A235" s="38">
        <v>250</v>
      </c>
      <c r="B235" s="38" t="s">
        <v>56</v>
      </c>
      <c r="C235" s="38" t="s">
        <v>56</v>
      </c>
      <c r="D235" s="38" t="s">
        <v>815</v>
      </c>
      <c r="E235" s="41" t="s">
        <v>165</v>
      </c>
      <c r="F235" s="35" t="s">
        <v>461</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748</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881</v>
      </c>
      <c r="E239" s="41" t="s">
        <v>174</v>
      </c>
      <c r="F239" s="35" t="s">
        <v>465</v>
      </c>
      <c r="G239" s="36"/>
      <c r="H239" s="36"/>
      <c r="I239" s="35" t="s">
        <v>159</v>
      </c>
      <c r="J239" s="81">
        <f>VLOOKUP($A239, Stat!$A$1:$C$1000, 2,0)</f>
        <v>18</v>
      </c>
      <c r="K239" s="81">
        <f>VLOOKUP($A239, Stat!$A$1:$C$1000, 3,0)</f>
        <v>14</v>
      </c>
      <c r="L239" s="34">
        <v>1</v>
      </c>
      <c r="P239" s="36"/>
      <c r="Q239" s="36"/>
      <c r="R239" s="36"/>
      <c r="S239" s="38">
        <v>60</v>
      </c>
      <c r="T239" s="38">
        <v>0</v>
      </c>
      <c r="W239" s="38" t="s">
        <v>882</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761</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734</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735</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736</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737</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738</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739</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398</v>
      </c>
      <c r="F253" s="34">
        <v>2</v>
      </c>
      <c r="G253" s="34">
        <v>1</v>
      </c>
      <c r="J253" s="81">
        <f>VLOOKUP($A253, Stat!$A$1:$C$1000, 2,0)</f>
        <v>318</v>
      </c>
      <c r="K253" s="81">
        <f>VLOOKUP($A253, Stat!$A$1:$C$1000, 3,0)</f>
        <v>3</v>
      </c>
      <c r="L253" s="84"/>
      <c r="S253" s="38">
        <v>0</v>
      </c>
      <c r="T253" s="38">
        <v>-1</v>
      </c>
      <c r="V253" s="38" t="s">
        <v>717</v>
      </c>
      <c r="X253" s="38">
        <v>1</v>
      </c>
    </row>
    <row r="254" spans="1:24" ht="13.2" customHeight="1" x14ac:dyDescent="0.25">
      <c r="A254" s="38">
        <v>269</v>
      </c>
      <c r="B254" s="38" t="s">
        <v>56</v>
      </c>
      <c r="C254" s="38" t="s">
        <v>56</v>
      </c>
      <c r="D254" s="38" t="s">
        <v>383</v>
      </c>
      <c r="E254" s="41" t="s">
        <v>399</v>
      </c>
      <c r="F254" s="34">
        <v>2</v>
      </c>
      <c r="G254" s="34">
        <v>1</v>
      </c>
      <c r="J254" s="81">
        <f>VLOOKUP($A254, Stat!$A$1:$C$1000, 2,0)</f>
        <v>51</v>
      </c>
      <c r="K254" s="81">
        <f>VLOOKUP($A254, Stat!$A$1:$C$1000, 3,0)</f>
        <v>7</v>
      </c>
      <c r="L254" s="34">
        <v>1</v>
      </c>
      <c r="S254" s="38">
        <v>0</v>
      </c>
      <c r="T254" s="38">
        <v>-1</v>
      </c>
      <c r="V254" s="38" t="s">
        <v>717</v>
      </c>
      <c r="X254" s="38">
        <v>1</v>
      </c>
    </row>
    <row r="255" spans="1:24" x14ac:dyDescent="0.25">
      <c r="A255" s="38">
        <v>270</v>
      </c>
      <c r="B255" s="38" t="s">
        <v>56</v>
      </c>
      <c r="C255" s="38" t="s">
        <v>56</v>
      </c>
      <c r="D255" s="38" t="s">
        <v>383</v>
      </c>
      <c r="E255" s="41" t="s">
        <v>400</v>
      </c>
      <c r="F255" s="34">
        <v>2</v>
      </c>
      <c r="G255" s="34">
        <v>1</v>
      </c>
      <c r="J255" s="81">
        <f>VLOOKUP($A255, Stat!$A$1:$C$1000, 2,0)</f>
        <v>25</v>
      </c>
      <c r="K255" s="81">
        <f>VLOOKUP($A255, Stat!$A$1:$C$1000, 3,0)</f>
        <v>5</v>
      </c>
      <c r="L255" s="34">
        <v>1</v>
      </c>
      <c r="S255" s="38">
        <v>0</v>
      </c>
      <c r="T255" s="38">
        <v>0</v>
      </c>
      <c r="V255" s="38" t="s">
        <v>717</v>
      </c>
      <c r="X255" s="38">
        <v>1</v>
      </c>
    </row>
    <row r="256" spans="1:24" x14ac:dyDescent="0.25">
      <c r="A256" s="38">
        <v>271</v>
      </c>
      <c r="B256" s="38" t="s">
        <v>56</v>
      </c>
      <c r="C256" s="38" t="s">
        <v>56</v>
      </c>
      <c r="D256" s="38" t="s">
        <v>383</v>
      </c>
      <c r="E256" s="41" t="s">
        <v>401</v>
      </c>
      <c r="F256" s="34">
        <v>2</v>
      </c>
      <c r="G256" s="34">
        <v>1</v>
      </c>
      <c r="J256" s="81">
        <f>VLOOKUP($A256, Stat!$A$1:$C$1000, 2,0)</f>
        <v>11</v>
      </c>
      <c r="K256" s="81">
        <f>VLOOKUP($A256, Stat!$A$1:$C$1000, 3,0)</f>
        <v>2</v>
      </c>
      <c r="L256" s="34">
        <v>1</v>
      </c>
      <c r="S256" s="38">
        <v>100</v>
      </c>
      <c r="T256" s="38">
        <v>0</v>
      </c>
      <c r="V256" s="38" t="s">
        <v>717</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717</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748</v>
      </c>
      <c r="W259" s="38" t="s">
        <v>345</v>
      </c>
      <c r="X259" s="38">
        <v>1</v>
      </c>
    </row>
    <row r="260" spans="1:24" x14ac:dyDescent="0.25">
      <c r="A260" s="38">
        <v>275</v>
      </c>
      <c r="B260" s="38" t="s">
        <v>56</v>
      </c>
      <c r="C260" s="38" t="s">
        <v>56</v>
      </c>
      <c r="D260" s="38" t="s">
        <v>67</v>
      </c>
      <c r="E260" s="41" t="s">
        <v>220</v>
      </c>
      <c r="F260" s="96">
        <v>8</v>
      </c>
      <c r="G260" s="34">
        <v>1</v>
      </c>
      <c r="I260" s="87" t="s">
        <v>547</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492</v>
      </c>
      <c r="E261" s="41" t="s">
        <v>217</v>
      </c>
      <c r="F261" s="34">
        <v>2</v>
      </c>
      <c r="G261" s="34">
        <v>1</v>
      </c>
      <c r="J261" s="81">
        <f>VLOOKUP($A261, Stat!$A$1:$C$1000, 2,0)</f>
        <v>6</v>
      </c>
      <c r="K261" s="81">
        <f>VLOOKUP($A261, Stat!$A$1:$C$1000, 3,0)</f>
        <v>3</v>
      </c>
      <c r="L261" s="34">
        <v>1</v>
      </c>
      <c r="S261" s="38">
        <v>100</v>
      </c>
      <c r="T261" s="38">
        <v>0</v>
      </c>
      <c r="W261" s="38" t="s">
        <v>218</v>
      </c>
      <c r="X261" s="38">
        <v>1</v>
      </c>
    </row>
    <row r="262" spans="1:24" ht="13.2" customHeight="1" x14ac:dyDescent="0.25">
      <c r="A262" s="38">
        <v>277</v>
      </c>
      <c r="B262" s="38" t="s">
        <v>56</v>
      </c>
      <c r="C262" s="38" t="s">
        <v>56</v>
      </c>
      <c r="D262" s="38" t="s">
        <v>67</v>
      </c>
      <c r="E262" s="41" t="s">
        <v>221</v>
      </c>
      <c r="F262" s="96">
        <v>8</v>
      </c>
      <c r="G262" s="34">
        <v>1</v>
      </c>
      <c r="I262" s="87" t="s">
        <v>549</v>
      </c>
      <c r="J262" s="81">
        <f>VLOOKUP($A262, Stat!$A$1:$C$1000, 2,0)</f>
        <v>1</v>
      </c>
      <c r="K262" s="81">
        <f>VLOOKUP($A262, Stat!$A$1:$C$1000, 3,0)</f>
        <v>1</v>
      </c>
      <c r="L262" s="34">
        <v>1</v>
      </c>
      <c r="S262" s="38">
        <v>60</v>
      </c>
      <c r="T262" s="38">
        <v>0</v>
      </c>
      <c r="W262" s="38" t="s">
        <v>722</v>
      </c>
      <c r="X262" s="38">
        <v>1</v>
      </c>
    </row>
    <row r="263" spans="1:24" x14ac:dyDescent="0.25">
      <c r="A263" s="38">
        <v>278</v>
      </c>
      <c r="B263" s="38" t="s">
        <v>56</v>
      </c>
      <c r="C263" s="38" t="s">
        <v>159</v>
      </c>
      <c r="D263" s="38" t="s">
        <v>168</v>
      </c>
      <c r="E263" s="41" t="s">
        <v>224</v>
      </c>
      <c r="F263" s="96">
        <v>11</v>
      </c>
      <c r="I263" s="35" t="s">
        <v>557</v>
      </c>
      <c r="J263" s="81">
        <f>VLOOKUP($A263, Stat!$A$1:$C$1000, 2,0)</f>
        <v>6</v>
      </c>
      <c r="K263" s="81">
        <f>VLOOKUP($A263, Stat!$A$1:$C$1000, 3,0)</f>
        <v>1</v>
      </c>
      <c r="L263" s="34">
        <v>1</v>
      </c>
      <c r="S263" s="38">
        <v>0</v>
      </c>
      <c r="T263" s="38">
        <v>1</v>
      </c>
      <c r="W263" s="38" t="s">
        <v>762</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740</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741</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742</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743</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448</v>
      </c>
      <c r="J271" s="81">
        <f>VLOOKUP($A271, Stat!$A$1:$C$1000, 2,0)</f>
        <v>7</v>
      </c>
      <c r="K271" s="81">
        <f>VLOOKUP($A271, Stat!$A$1:$C$1000, 3,0)</f>
        <v>7</v>
      </c>
      <c r="L271" s="34">
        <v>1</v>
      </c>
      <c r="S271" s="38">
        <v>60</v>
      </c>
      <c r="T271" s="38">
        <v>0</v>
      </c>
      <c r="W271" s="38" t="s">
        <v>712</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448</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489</v>
      </c>
      <c r="E277" s="38" t="s">
        <v>260</v>
      </c>
      <c r="F277" s="96">
        <v>12</v>
      </c>
      <c r="I277" s="35" t="s">
        <v>448</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489</v>
      </c>
      <c r="E280" s="38" t="s">
        <v>259</v>
      </c>
      <c r="F280" s="96">
        <v>12</v>
      </c>
      <c r="I280" s="35" t="s">
        <v>448</v>
      </c>
      <c r="J280" s="81">
        <f>VLOOKUP($A280, Stat!$A$1:$C$1000, 2,0)</f>
        <v>0</v>
      </c>
      <c r="K280" s="81">
        <f>VLOOKUP($A280, Stat!$A$1:$C$1000, 3,0)</f>
        <v>0</v>
      </c>
      <c r="L280" s="34">
        <v>1</v>
      </c>
      <c r="S280" s="38">
        <v>100</v>
      </c>
      <c r="T280" s="38">
        <v>0</v>
      </c>
      <c r="W280" s="38" t="s">
        <v>715</v>
      </c>
      <c r="X280" s="38">
        <v>1</v>
      </c>
    </row>
    <row r="281" spans="1:24" ht="13.2" customHeight="1" x14ac:dyDescent="0.25">
      <c r="A281" s="38">
        <v>296</v>
      </c>
      <c r="B281" s="38" t="s">
        <v>56</v>
      </c>
      <c r="C281" s="38" t="s">
        <v>56</v>
      </c>
      <c r="D281" s="38" t="s">
        <v>489</v>
      </c>
      <c r="E281" s="38" t="s">
        <v>387</v>
      </c>
      <c r="F281" s="96">
        <v>12</v>
      </c>
      <c r="I281" s="35" t="s">
        <v>448</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543</v>
      </c>
      <c r="J285" s="81">
        <f>VLOOKUP($A285, Stat!$A$1:$C$1000, 2,0)</f>
        <v>15</v>
      </c>
      <c r="K285" s="81">
        <f>VLOOKUP($A285, Stat!$A$1:$C$1000, 3,0)</f>
        <v>0</v>
      </c>
      <c r="L285" s="84"/>
      <c r="S285" s="38">
        <v>60</v>
      </c>
      <c r="T285" s="38">
        <v>0</v>
      </c>
      <c r="V285" s="38" t="s">
        <v>661</v>
      </c>
      <c r="W285" s="38" t="s">
        <v>271</v>
      </c>
      <c r="X285" s="38">
        <v>1</v>
      </c>
    </row>
    <row r="286" spans="1:24" ht="13.2" customHeight="1" x14ac:dyDescent="0.25">
      <c r="A286" s="38">
        <v>303</v>
      </c>
      <c r="B286" s="38" t="s">
        <v>35</v>
      </c>
      <c r="C286" s="38" t="s">
        <v>11</v>
      </c>
      <c r="D286" s="38" t="s">
        <v>301</v>
      </c>
      <c r="E286" s="38" t="s">
        <v>288</v>
      </c>
      <c r="F286" s="34">
        <v>10</v>
      </c>
      <c r="I286" s="35" t="s">
        <v>543</v>
      </c>
      <c r="J286" s="81">
        <f>VLOOKUP($A286, Stat!$A$1:$C$1000, 2,0)</f>
        <v>6</v>
      </c>
      <c r="K286" s="81">
        <f>VLOOKUP($A286, Stat!$A$1:$C$1000, 3,0)</f>
        <v>0</v>
      </c>
      <c r="L286" s="84"/>
      <c r="S286" s="38">
        <v>60</v>
      </c>
      <c r="T286" s="38">
        <v>0</v>
      </c>
      <c r="V286" s="38" t="s">
        <v>661</v>
      </c>
      <c r="W286" s="38" t="s">
        <v>272</v>
      </c>
      <c r="X286" s="38">
        <v>1</v>
      </c>
    </row>
    <row r="287" spans="1:24" ht="13.2" customHeight="1" x14ac:dyDescent="0.25">
      <c r="A287" s="38">
        <v>304</v>
      </c>
      <c r="B287" s="38" t="s">
        <v>35</v>
      </c>
      <c r="C287" s="38" t="s">
        <v>14</v>
      </c>
      <c r="D287" s="38" t="s">
        <v>474</v>
      </c>
      <c r="E287" s="38" t="s">
        <v>442</v>
      </c>
      <c r="J287" s="81">
        <f>VLOOKUP($A287, Stat!$A$1:$C$1000, 2,0)</f>
        <v>4</v>
      </c>
      <c r="K287" s="81">
        <f>VLOOKUP($A287, Stat!$A$1:$C$1000, 3,0)</f>
        <v>1</v>
      </c>
      <c r="L287" s="84"/>
      <c r="S287" s="38">
        <v>70</v>
      </c>
      <c r="T287" s="38">
        <v>0</v>
      </c>
      <c r="W287" s="38" t="s">
        <v>672</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675</v>
      </c>
      <c r="E289" s="38" t="s">
        <v>405</v>
      </c>
      <c r="F289" s="34">
        <v>1</v>
      </c>
      <c r="J289" s="81">
        <f>VLOOKUP($A289, Stat!$A$1:$C$1000, 2,0)</f>
        <v>92</v>
      </c>
      <c r="K289" s="81">
        <f>VLOOKUP($A289, Stat!$A$1:$C$1000, 3,0)</f>
        <v>11</v>
      </c>
      <c r="S289" s="38">
        <v>0</v>
      </c>
      <c r="T289" s="38">
        <v>1</v>
      </c>
      <c r="V289" s="38" t="s">
        <v>676</v>
      </c>
      <c r="W289" s="38" t="s">
        <v>678</v>
      </c>
      <c r="X289" s="38">
        <v>1</v>
      </c>
    </row>
    <row r="290" spans="1:24" ht="13.2" customHeight="1" x14ac:dyDescent="0.25">
      <c r="A290" s="38">
        <v>307</v>
      </c>
      <c r="B290" s="38" t="s">
        <v>37</v>
      </c>
      <c r="C290" s="38" t="s">
        <v>15</v>
      </c>
      <c r="D290" s="38" t="s">
        <v>675</v>
      </c>
      <c r="E290" s="38" t="s">
        <v>68</v>
      </c>
      <c r="F290" s="34">
        <v>1</v>
      </c>
      <c r="J290" s="81">
        <f>VLOOKUP($A290, Stat!$A$1:$C$1000, 2,0)</f>
        <v>184</v>
      </c>
      <c r="K290" s="81">
        <f>VLOOKUP($A290, Stat!$A$1:$C$1000, 3,0)</f>
        <v>9</v>
      </c>
      <c r="L290" s="84"/>
      <c r="S290" s="38">
        <v>60</v>
      </c>
      <c r="T290" s="38">
        <v>0</v>
      </c>
      <c r="V290" s="38" t="s">
        <v>676</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680</v>
      </c>
      <c r="X293" s="38">
        <v>1</v>
      </c>
    </row>
    <row r="294" spans="1:24" x14ac:dyDescent="0.25">
      <c r="A294" s="38">
        <v>311</v>
      </c>
      <c r="B294" s="38" t="s">
        <v>35</v>
      </c>
      <c r="C294" s="38" t="s">
        <v>12</v>
      </c>
      <c r="D294" s="38" t="s">
        <v>890</v>
      </c>
      <c r="E294" s="38" t="s">
        <v>885</v>
      </c>
      <c r="F294" s="34">
        <v>3</v>
      </c>
      <c r="S294" s="38">
        <v>0</v>
      </c>
      <c r="T294" s="38">
        <v>0</v>
      </c>
      <c r="V294" s="38" t="s">
        <v>883</v>
      </c>
    </row>
    <row r="295" spans="1:24" ht="13.2" customHeight="1" x14ac:dyDescent="0.25">
      <c r="A295" s="38">
        <v>312</v>
      </c>
      <c r="B295" s="38" t="s">
        <v>35</v>
      </c>
      <c r="C295" s="38" t="s">
        <v>12</v>
      </c>
      <c r="D295" s="38" t="s">
        <v>890</v>
      </c>
      <c r="E295" s="38" t="s">
        <v>886</v>
      </c>
      <c r="F295" s="34">
        <v>3</v>
      </c>
      <c r="S295" s="38">
        <v>0</v>
      </c>
      <c r="T295" s="38">
        <v>0</v>
      </c>
      <c r="V295" s="38" t="s">
        <v>883</v>
      </c>
    </row>
    <row r="296" spans="1:24" ht="13.2" customHeight="1" x14ac:dyDescent="0.25">
      <c r="A296" s="38">
        <v>313</v>
      </c>
      <c r="B296" s="38" t="s">
        <v>35</v>
      </c>
      <c r="C296" s="38" t="s">
        <v>12</v>
      </c>
      <c r="D296" s="38" t="s">
        <v>889</v>
      </c>
      <c r="E296" s="38" t="s">
        <v>885</v>
      </c>
      <c r="F296" s="34">
        <v>3</v>
      </c>
      <c r="P296" s="34">
        <v>311.40499999999997</v>
      </c>
      <c r="S296" s="38">
        <v>60</v>
      </c>
      <c r="T296" s="38">
        <v>0</v>
      </c>
      <c r="V296" s="38" t="s">
        <v>883</v>
      </c>
    </row>
    <row r="297" spans="1:24" ht="13.2" customHeight="1" x14ac:dyDescent="0.25">
      <c r="A297" s="38">
        <v>314</v>
      </c>
      <c r="B297" s="38" t="s">
        <v>35</v>
      </c>
      <c r="C297" s="38" t="s">
        <v>12</v>
      </c>
      <c r="D297" s="38" t="s">
        <v>889</v>
      </c>
      <c r="E297" s="38" t="s">
        <v>886</v>
      </c>
      <c r="F297" s="34">
        <v>3</v>
      </c>
      <c r="P297" s="34">
        <v>312.40600000000001</v>
      </c>
      <c r="S297" s="38">
        <v>60</v>
      </c>
      <c r="T297" s="38">
        <v>0</v>
      </c>
      <c r="V297" s="38" t="s">
        <v>883</v>
      </c>
    </row>
    <row r="298" spans="1:24" x14ac:dyDescent="0.25">
      <c r="A298" s="38">
        <v>315</v>
      </c>
      <c r="B298" s="38" t="s">
        <v>56</v>
      </c>
      <c r="C298" s="38" t="s">
        <v>56</v>
      </c>
      <c r="D298" s="38" t="s">
        <v>815</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815</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718</v>
      </c>
      <c r="J300" s="81">
        <f>VLOOKUP($A300, Stat!$A$1:$C$1000, 2,0)</f>
        <v>21</v>
      </c>
      <c r="K300" s="81">
        <f>VLOOKUP($A300, Stat!$A$1:$C$1000, 3,0)</f>
        <v>4</v>
      </c>
      <c r="L300" s="34">
        <v>1</v>
      </c>
      <c r="S300" s="38">
        <v>30</v>
      </c>
      <c r="T300" s="38">
        <v>0</v>
      </c>
      <c r="W300" s="38" t="s">
        <v>723</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724</v>
      </c>
      <c r="X301" s="38">
        <v>1</v>
      </c>
    </row>
    <row r="302" spans="1:24" ht="13.2" customHeight="1" x14ac:dyDescent="0.25">
      <c r="A302" s="38">
        <v>321</v>
      </c>
      <c r="B302" s="38" t="s">
        <v>37</v>
      </c>
      <c r="C302" s="38" t="s">
        <v>15</v>
      </c>
      <c r="D302" s="38" t="s">
        <v>602</v>
      </c>
      <c r="E302" s="38" t="s">
        <v>605</v>
      </c>
      <c r="F302" s="34">
        <v>9</v>
      </c>
      <c r="I302" s="34" t="s">
        <v>547</v>
      </c>
      <c r="J302" s="81">
        <f>VLOOKUP($A302, Stat!$A$1:$C$1000, 2,0)</f>
        <v>7</v>
      </c>
      <c r="K302" s="81">
        <f>VLOOKUP($A302, Stat!$A$1:$C$1000, 3,0)</f>
        <v>1</v>
      </c>
      <c r="L302" s="34">
        <v>1</v>
      </c>
      <c r="S302" s="38">
        <v>70</v>
      </c>
      <c r="T302" s="38">
        <v>0</v>
      </c>
      <c r="W302" s="38" t="s">
        <v>691</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744</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441</v>
      </c>
      <c r="X305" s="38">
        <v>1</v>
      </c>
    </row>
    <row r="306" spans="1:24" ht="13.2" customHeight="1" x14ac:dyDescent="0.25">
      <c r="A306" s="38">
        <v>325</v>
      </c>
      <c r="B306" s="38" t="s">
        <v>56</v>
      </c>
      <c r="C306" s="38" t="s">
        <v>56</v>
      </c>
      <c r="D306" s="38" t="s">
        <v>827</v>
      </c>
      <c r="E306" s="38" t="s">
        <v>4</v>
      </c>
      <c r="F306" s="34">
        <v>2</v>
      </c>
      <c r="G306" s="34">
        <v>1</v>
      </c>
      <c r="J306" s="81">
        <f>VLOOKUP($A306, Stat!$A$1:$C$1000, 2,0)</f>
        <v>0</v>
      </c>
      <c r="K306" s="81">
        <f>VLOOKUP($A306, Stat!$A$1:$C$1000, 3,0)</f>
        <v>0</v>
      </c>
      <c r="L306" s="34">
        <v>1</v>
      </c>
      <c r="S306" s="38">
        <v>0</v>
      </c>
      <c r="T306" s="38">
        <v>0</v>
      </c>
      <c r="V306" s="38" t="s">
        <v>438</v>
      </c>
      <c r="W306" s="38" t="s">
        <v>436</v>
      </c>
      <c r="X306" s="38">
        <v>1</v>
      </c>
    </row>
    <row r="307" spans="1:24" x14ac:dyDescent="0.25">
      <c r="A307" s="38">
        <v>326</v>
      </c>
      <c r="B307" s="38" t="s">
        <v>56</v>
      </c>
      <c r="C307" s="38" t="s">
        <v>56</v>
      </c>
      <c r="D307" s="38" t="s">
        <v>828</v>
      </c>
      <c r="E307" s="38" t="s">
        <v>701</v>
      </c>
      <c r="F307" s="34">
        <v>2</v>
      </c>
      <c r="G307" s="34">
        <v>1</v>
      </c>
      <c r="J307" s="81">
        <f>VLOOKUP($A307, Stat!$A$1:$C$1000, 2,0)</f>
        <v>3</v>
      </c>
      <c r="K307" s="81">
        <f>VLOOKUP($A307, Stat!$A$1:$C$1000, 3,0)</f>
        <v>0</v>
      </c>
      <c r="L307" s="34">
        <v>1</v>
      </c>
      <c r="S307" s="38">
        <v>0</v>
      </c>
      <c r="T307" s="38">
        <v>0</v>
      </c>
      <c r="V307" s="38" t="s">
        <v>438</v>
      </c>
      <c r="W307" s="38" t="s">
        <v>437</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745</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746</v>
      </c>
      <c r="X309" s="38">
        <v>1</v>
      </c>
    </row>
    <row r="310" spans="1:24" x14ac:dyDescent="0.25">
      <c r="A310" s="38">
        <v>329</v>
      </c>
      <c r="B310" s="38" t="s">
        <v>37</v>
      </c>
      <c r="C310" s="38" t="s">
        <v>15</v>
      </c>
      <c r="D310" s="38" t="s">
        <v>675</v>
      </c>
      <c r="E310" s="38" t="s">
        <v>336</v>
      </c>
      <c r="F310" s="34">
        <v>1</v>
      </c>
      <c r="J310" s="81">
        <f>VLOOKUP($A310, Stat!$A$1:$C$1000, 2,0)</f>
        <v>33</v>
      </c>
      <c r="K310" s="81">
        <f>VLOOKUP($A310, Stat!$A$1:$C$1000, 3,0)</f>
        <v>1</v>
      </c>
      <c r="S310" s="38">
        <v>0</v>
      </c>
      <c r="T310" s="38">
        <v>1</v>
      </c>
      <c r="V310" s="38" t="s">
        <v>676</v>
      </c>
      <c r="W310" s="38" t="s">
        <v>332</v>
      </c>
      <c r="X310" s="38">
        <v>1</v>
      </c>
    </row>
    <row r="311" spans="1:24" x14ac:dyDescent="0.25">
      <c r="A311" s="38">
        <v>330</v>
      </c>
      <c r="B311" s="38" t="s">
        <v>56</v>
      </c>
      <c r="C311" s="38" t="s">
        <v>56</v>
      </c>
      <c r="D311" s="38" t="s">
        <v>818</v>
      </c>
      <c r="E311" s="38" t="s">
        <v>331</v>
      </c>
      <c r="F311" s="34">
        <v>7</v>
      </c>
      <c r="G311" s="34">
        <v>1</v>
      </c>
      <c r="H311" s="34">
        <v>1</v>
      </c>
      <c r="J311" s="81">
        <f>VLOOKUP($A311, Stat!$A$1:$C$1000, 2,0)</f>
        <v>5</v>
      </c>
      <c r="K311" s="81">
        <f>VLOOKUP($A311, Stat!$A$1:$C$1000, 3,0)</f>
        <v>3</v>
      </c>
      <c r="L311" s="34">
        <v>1</v>
      </c>
      <c r="P311" s="34">
        <v>249</v>
      </c>
      <c r="S311" s="38">
        <v>0</v>
      </c>
      <c r="T311" s="38">
        <v>1</v>
      </c>
      <c r="W311" s="38" t="s">
        <v>895</v>
      </c>
      <c r="X311" s="38">
        <v>1</v>
      </c>
    </row>
    <row r="312" spans="1:24" x14ac:dyDescent="0.25">
      <c r="A312" s="38">
        <v>331</v>
      </c>
      <c r="B312" s="38" t="s">
        <v>56</v>
      </c>
      <c r="C312" s="38" t="s">
        <v>56</v>
      </c>
      <c r="D312" s="38" t="s">
        <v>491</v>
      </c>
      <c r="E312" s="38" t="s">
        <v>333</v>
      </c>
      <c r="F312" s="34">
        <v>2</v>
      </c>
      <c r="G312" s="34">
        <v>1</v>
      </c>
      <c r="J312" s="83">
        <f>VLOOKUP($A312, Stat!$A$1:$C$1000, 2,0)</f>
        <v>0</v>
      </c>
      <c r="K312" s="83">
        <f>VLOOKUP($A312, Stat!$A$1:$C$1000, 3,0)</f>
        <v>0</v>
      </c>
      <c r="L312" s="34">
        <v>1</v>
      </c>
      <c r="S312" s="38">
        <v>60</v>
      </c>
      <c r="T312" s="38">
        <v>0</v>
      </c>
      <c r="W312" s="38" t="s">
        <v>725</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748</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747</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749</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749</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749</v>
      </c>
      <c r="E319" s="38" t="s">
        <v>404</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749</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749</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420</v>
      </c>
      <c r="D323" s="38" t="s">
        <v>785</v>
      </c>
      <c r="E323" s="38" t="s">
        <v>45</v>
      </c>
      <c r="F323" s="35" t="s">
        <v>555</v>
      </c>
      <c r="I323" s="35" t="s">
        <v>521</v>
      </c>
      <c r="J323" s="82">
        <f>VLOOKUP($A323, Stat!$A$1:$C$1000, 2,0)</f>
        <v>0</v>
      </c>
      <c r="K323" s="81">
        <f>VLOOKUP($A323, Stat!$A$1:$C$1000, 3,0)</f>
        <v>0</v>
      </c>
      <c r="S323" s="38">
        <v>0</v>
      </c>
      <c r="T323" s="38">
        <v>0</v>
      </c>
      <c r="V323" s="38" t="s">
        <v>417</v>
      </c>
      <c r="X323" s="38">
        <v>1</v>
      </c>
    </row>
    <row r="324" spans="1:24" x14ac:dyDescent="0.25">
      <c r="A324" s="38">
        <v>343</v>
      </c>
      <c r="B324" s="38" t="s">
        <v>35</v>
      </c>
      <c r="C324" s="38" t="s">
        <v>420</v>
      </c>
      <c r="D324" s="38" t="s">
        <v>785</v>
      </c>
      <c r="E324" s="38" t="s">
        <v>46</v>
      </c>
      <c r="F324" s="35" t="s">
        <v>555</v>
      </c>
      <c r="I324" s="35" t="s">
        <v>521</v>
      </c>
      <c r="J324" s="81">
        <f>VLOOKUP($A324, Stat!$A$1:$C$1000, 2,0)</f>
        <v>7</v>
      </c>
      <c r="K324" s="81">
        <f>VLOOKUP($A324, Stat!$A$1:$C$1000, 3,0)</f>
        <v>2</v>
      </c>
      <c r="L324" s="34">
        <v>1</v>
      </c>
      <c r="P324" s="34">
        <v>342</v>
      </c>
      <c r="S324" s="38">
        <v>60</v>
      </c>
      <c r="T324" s="38">
        <v>0</v>
      </c>
      <c r="V324" s="38" t="s">
        <v>417</v>
      </c>
      <c r="X324" s="38">
        <v>1</v>
      </c>
    </row>
    <row r="325" spans="1:24" x14ac:dyDescent="0.25">
      <c r="A325" s="38">
        <v>344</v>
      </c>
      <c r="B325" s="38" t="s">
        <v>35</v>
      </c>
      <c r="C325" s="38" t="s">
        <v>12</v>
      </c>
      <c r="D325" s="38" t="s">
        <v>366</v>
      </c>
      <c r="E325" s="38" t="s">
        <v>367</v>
      </c>
      <c r="F325" s="96">
        <v>9</v>
      </c>
      <c r="I325" s="35" t="s">
        <v>472</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472</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472</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815</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665</v>
      </c>
      <c r="W329" s="38" t="s">
        <v>542</v>
      </c>
      <c r="X329" s="38">
        <v>1</v>
      </c>
    </row>
    <row r="330" spans="1:24" x14ac:dyDescent="0.25">
      <c r="A330" s="38">
        <v>349</v>
      </c>
      <c r="B330" s="38" t="s">
        <v>56</v>
      </c>
      <c r="C330" s="38" t="s">
        <v>53</v>
      </c>
      <c r="D330" s="38" t="s">
        <v>696</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696</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398</v>
      </c>
      <c r="F332" s="34">
        <v>2</v>
      </c>
      <c r="G332" s="34">
        <v>1</v>
      </c>
      <c r="J332" s="81">
        <f>VLOOKUP($A332, Stat!$A$1:$C$1000, 2,0)</f>
        <v>361</v>
      </c>
      <c r="K332" s="81">
        <f>VLOOKUP($A332, Stat!$A$1:$C$1000, 3,0)</f>
        <v>1</v>
      </c>
      <c r="L332" s="84"/>
      <c r="S332" s="38">
        <v>0</v>
      </c>
      <c r="T332" s="38">
        <v>-1</v>
      </c>
      <c r="V332" s="38" t="s">
        <v>717</v>
      </c>
      <c r="X332" s="38">
        <v>1</v>
      </c>
    </row>
    <row r="333" spans="1:24" x14ac:dyDescent="0.25">
      <c r="A333" s="38">
        <v>355</v>
      </c>
      <c r="B333" s="38" t="s">
        <v>56</v>
      </c>
      <c r="C333" s="38" t="s">
        <v>56</v>
      </c>
      <c r="D333" s="38" t="s">
        <v>384</v>
      </c>
      <c r="E333" s="38" t="s">
        <v>399</v>
      </c>
      <c r="F333" s="34">
        <v>2</v>
      </c>
      <c r="G333" s="34">
        <v>1</v>
      </c>
      <c r="J333" s="81">
        <f>VLOOKUP($A333, Stat!$A$1:$C$1000, 2,0)</f>
        <v>27</v>
      </c>
      <c r="K333" s="81">
        <f>VLOOKUP($A333, Stat!$A$1:$C$1000, 3,0)</f>
        <v>7</v>
      </c>
      <c r="S333" s="38">
        <v>60</v>
      </c>
      <c r="T333" s="38">
        <v>0</v>
      </c>
      <c r="V333" s="38" t="s">
        <v>717</v>
      </c>
      <c r="X333" s="38">
        <v>1</v>
      </c>
    </row>
    <row r="334" spans="1:24" x14ac:dyDescent="0.25">
      <c r="A334" s="38">
        <v>356</v>
      </c>
      <c r="B334" s="38" t="s">
        <v>56</v>
      </c>
      <c r="C334" s="38" t="s">
        <v>56</v>
      </c>
      <c r="D334" s="38" t="s">
        <v>384</v>
      </c>
      <c r="E334" s="38" t="s">
        <v>400</v>
      </c>
      <c r="F334" s="34">
        <v>2</v>
      </c>
      <c r="G334" s="34">
        <v>1</v>
      </c>
      <c r="J334" s="81">
        <f>VLOOKUP($A334, Stat!$A$1:$C$1000, 2,0)</f>
        <v>19</v>
      </c>
      <c r="K334" s="81">
        <f>VLOOKUP($A334, Stat!$A$1:$C$1000, 3,0)</f>
        <v>4</v>
      </c>
      <c r="L334" s="34">
        <v>1</v>
      </c>
      <c r="S334" s="38">
        <v>60</v>
      </c>
      <c r="T334" s="38">
        <v>0</v>
      </c>
      <c r="V334" s="38" t="s">
        <v>717</v>
      </c>
      <c r="X334" s="38">
        <v>1</v>
      </c>
    </row>
    <row r="335" spans="1:24" x14ac:dyDescent="0.25">
      <c r="A335" s="38">
        <v>357</v>
      </c>
      <c r="B335" s="38" t="s">
        <v>56</v>
      </c>
      <c r="C335" s="38" t="s">
        <v>56</v>
      </c>
      <c r="D335" s="38" t="s">
        <v>384</v>
      </c>
      <c r="E335" s="38" t="s">
        <v>401</v>
      </c>
      <c r="F335" s="34">
        <v>2</v>
      </c>
      <c r="G335" s="34">
        <v>1</v>
      </c>
      <c r="J335" s="81">
        <f>VLOOKUP($A335, Stat!$A$1:$C$1000, 2,0)</f>
        <v>8</v>
      </c>
      <c r="K335" s="81">
        <f>VLOOKUP($A335, Stat!$A$1:$C$1000, 3,0)</f>
        <v>4</v>
      </c>
      <c r="L335" s="34">
        <v>1</v>
      </c>
      <c r="S335" s="38">
        <v>100</v>
      </c>
      <c r="T335" s="38">
        <v>0</v>
      </c>
      <c r="V335" s="38" t="s">
        <v>717</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717</v>
      </c>
      <c r="X336" s="38">
        <v>1</v>
      </c>
    </row>
    <row r="337" spans="1:24" x14ac:dyDescent="0.25">
      <c r="A337" s="38">
        <v>359</v>
      </c>
      <c r="B337" s="38" t="s">
        <v>56</v>
      </c>
      <c r="C337" s="38" t="s">
        <v>56</v>
      </c>
      <c r="D337" s="38" t="s">
        <v>491</v>
      </c>
      <c r="E337" s="38" t="s">
        <v>413</v>
      </c>
      <c r="F337" s="34">
        <v>2</v>
      </c>
      <c r="G337" s="34">
        <v>1</v>
      </c>
      <c r="J337" s="81">
        <f>VLOOKUP($A337, Stat!$A$1:$C$1000, 2,0)</f>
        <v>18</v>
      </c>
      <c r="K337" s="81">
        <f>VLOOKUP($A337, Stat!$A$1:$C$1000, 3,0)</f>
        <v>12</v>
      </c>
      <c r="L337" s="34">
        <v>1</v>
      </c>
      <c r="S337" s="38">
        <v>100</v>
      </c>
      <c r="T337" s="38">
        <v>0</v>
      </c>
      <c r="W337" s="38" t="s">
        <v>716</v>
      </c>
      <c r="X337" s="38">
        <v>1</v>
      </c>
    </row>
    <row r="338" spans="1:24" x14ac:dyDescent="0.25">
      <c r="A338" s="38">
        <v>360</v>
      </c>
      <c r="B338" s="38" t="s">
        <v>35</v>
      </c>
      <c r="C338" s="38" t="s">
        <v>420</v>
      </c>
      <c r="D338" s="38" t="s">
        <v>783</v>
      </c>
      <c r="E338" s="38" t="s">
        <v>45</v>
      </c>
      <c r="F338" s="35" t="s">
        <v>555</v>
      </c>
      <c r="I338" s="35" t="s">
        <v>521</v>
      </c>
      <c r="J338" s="81">
        <f>VLOOKUP($A338, Stat!$A$1:$C$1000, 2,0)</f>
        <v>1</v>
      </c>
      <c r="K338" s="81">
        <f>VLOOKUP($A338, Stat!$A$1:$C$1000, 3,0)</f>
        <v>0</v>
      </c>
      <c r="L338" s="34">
        <v>1</v>
      </c>
      <c r="P338" s="34">
        <v>368</v>
      </c>
      <c r="S338" s="38">
        <v>40</v>
      </c>
      <c r="T338" s="38">
        <v>0</v>
      </c>
      <c r="V338" s="38" t="s">
        <v>416</v>
      </c>
      <c r="X338" s="38">
        <v>1</v>
      </c>
    </row>
    <row r="339" spans="1:24" x14ac:dyDescent="0.25">
      <c r="A339" s="38">
        <v>361</v>
      </c>
      <c r="B339" s="38" t="s">
        <v>35</v>
      </c>
      <c r="C339" s="38" t="s">
        <v>420</v>
      </c>
      <c r="D339" s="38" t="s">
        <v>783</v>
      </c>
      <c r="E339" s="38" t="s">
        <v>46</v>
      </c>
      <c r="F339" s="35" t="s">
        <v>555</v>
      </c>
      <c r="I339" s="35" t="s">
        <v>521</v>
      </c>
      <c r="J339" s="81">
        <f>VLOOKUP($A339, Stat!$A$1:$C$1000, 2,0)</f>
        <v>8</v>
      </c>
      <c r="K339" s="81">
        <f>VLOOKUP($A339, Stat!$A$1:$C$1000, 3,0)</f>
        <v>3</v>
      </c>
      <c r="L339" s="34">
        <v>1</v>
      </c>
      <c r="P339" s="35" t="s">
        <v>430</v>
      </c>
      <c r="S339" s="38">
        <v>100</v>
      </c>
      <c r="T339" s="38">
        <v>0</v>
      </c>
      <c r="V339" s="38" t="s">
        <v>416</v>
      </c>
      <c r="X339" s="38">
        <v>1</v>
      </c>
    </row>
    <row r="340" spans="1:24" x14ac:dyDescent="0.25">
      <c r="A340" s="38">
        <v>362</v>
      </c>
      <c r="B340" s="38" t="s">
        <v>35</v>
      </c>
      <c r="C340" s="38" t="s">
        <v>420</v>
      </c>
      <c r="D340" s="38" t="s">
        <v>783</v>
      </c>
      <c r="E340" s="38" t="s">
        <v>20</v>
      </c>
      <c r="F340" s="35" t="s">
        <v>555</v>
      </c>
      <c r="I340" s="35" t="s">
        <v>521</v>
      </c>
      <c r="J340" s="81">
        <f>VLOOKUP($A340, Stat!$A$1:$C$1000, 2,0)</f>
        <v>4</v>
      </c>
      <c r="K340" s="81">
        <f>VLOOKUP($A340, Stat!$A$1:$C$1000, 3,0)</f>
        <v>1</v>
      </c>
      <c r="S340" s="38">
        <v>0</v>
      </c>
      <c r="T340" s="38">
        <v>0</v>
      </c>
      <c r="V340" s="38" t="s">
        <v>416</v>
      </c>
      <c r="X340" s="38">
        <v>1</v>
      </c>
    </row>
    <row r="341" spans="1:24" x14ac:dyDescent="0.25">
      <c r="A341" s="38">
        <v>363</v>
      </c>
      <c r="B341" s="38" t="s">
        <v>35</v>
      </c>
      <c r="C341" s="38" t="s">
        <v>420</v>
      </c>
      <c r="D341" s="38" t="s">
        <v>784</v>
      </c>
      <c r="E341" s="38" t="s">
        <v>20</v>
      </c>
      <c r="F341" s="35" t="s">
        <v>555</v>
      </c>
      <c r="I341" s="35" t="s">
        <v>521</v>
      </c>
      <c r="J341" s="81">
        <f>VLOOKUP($A341, Stat!$A$1:$C$1000, 2,0)</f>
        <v>8</v>
      </c>
      <c r="K341" s="81">
        <f>VLOOKUP($A341, Stat!$A$1:$C$1000, 3,0)</f>
        <v>2</v>
      </c>
      <c r="S341" s="38">
        <v>0</v>
      </c>
      <c r="T341" s="38">
        <v>0</v>
      </c>
      <c r="V341" s="38" t="s">
        <v>414</v>
      </c>
      <c r="X341" s="38">
        <v>1</v>
      </c>
    </row>
    <row r="342" spans="1:24" x14ac:dyDescent="0.25">
      <c r="A342" s="38">
        <v>364</v>
      </c>
      <c r="B342" s="38" t="s">
        <v>35</v>
      </c>
      <c r="C342" s="38" t="s">
        <v>420</v>
      </c>
      <c r="D342" s="38" t="s">
        <v>785</v>
      </c>
      <c r="E342" s="38" t="s">
        <v>20</v>
      </c>
      <c r="F342" s="35" t="s">
        <v>555</v>
      </c>
      <c r="I342" s="35" t="s">
        <v>521</v>
      </c>
      <c r="J342" s="81">
        <f>VLOOKUP($A342, Stat!$A$1:$C$1000, 2,0)</f>
        <v>1</v>
      </c>
      <c r="K342" s="81">
        <f>VLOOKUP($A342, Stat!$A$1:$C$1000, 3,0)</f>
        <v>1</v>
      </c>
      <c r="S342" s="38">
        <v>0</v>
      </c>
      <c r="T342" s="38">
        <v>0</v>
      </c>
      <c r="V342" s="38" t="s">
        <v>417</v>
      </c>
      <c r="X342" s="38">
        <v>1</v>
      </c>
    </row>
    <row r="343" spans="1:24" x14ac:dyDescent="0.25">
      <c r="A343" s="38">
        <v>365</v>
      </c>
      <c r="B343" s="38" t="s">
        <v>35</v>
      </c>
      <c r="C343" s="38" t="s">
        <v>420</v>
      </c>
      <c r="D343" s="38" t="s">
        <v>782</v>
      </c>
      <c r="E343" s="38" t="s">
        <v>45</v>
      </c>
      <c r="F343" s="35" t="s">
        <v>555</v>
      </c>
      <c r="I343" s="35" t="s">
        <v>521</v>
      </c>
      <c r="J343" s="81">
        <f>VLOOKUP($A343, Stat!$A$1:$C$1000, 2,0)</f>
        <v>18</v>
      </c>
      <c r="K343" s="81">
        <f>VLOOKUP($A343, Stat!$A$1:$C$1000, 3,0)</f>
        <v>4</v>
      </c>
      <c r="S343" s="38">
        <v>40</v>
      </c>
      <c r="T343" s="38">
        <v>0</v>
      </c>
      <c r="V343" s="38" t="s">
        <v>415</v>
      </c>
      <c r="X343" s="38">
        <v>1</v>
      </c>
    </row>
    <row r="344" spans="1:24" x14ac:dyDescent="0.25">
      <c r="A344" s="38">
        <v>366</v>
      </c>
      <c r="B344" s="38" t="s">
        <v>35</v>
      </c>
      <c r="C344" s="38" t="s">
        <v>420</v>
      </c>
      <c r="D344" s="38" t="s">
        <v>782</v>
      </c>
      <c r="E344" s="38" t="s">
        <v>46</v>
      </c>
      <c r="F344" s="35" t="s">
        <v>555</v>
      </c>
      <c r="I344" s="35" t="s">
        <v>521</v>
      </c>
      <c r="J344" s="81">
        <f>VLOOKUP($A344, Stat!$A$1:$C$1000, 2,0)</f>
        <v>20</v>
      </c>
      <c r="K344" s="81">
        <f>VLOOKUP($A344, Stat!$A$1:$C$1000, 3,0)</f>
        <v>5</v>
      </c>
      <c r="P344" s="34">
        <v>365</v>
      </c>
      <c r="S344" s="38">
        <v>100</v>
      </c>
      <c r="T344" s="38">
        <v>0</v>
      </c>
      <c r="V344" s="38" t="s">
        <v>415</v>
      </c>
      <c r="X344" s="38">
        <v>1</v>
      </c>
    </row>
    <row r="345" spans="1:24" x14ac:dyDescent="0.25">
      <c r="A345" s="38">
        <v>367</v>
      </c>
      <c r="B345" s="38" t="s">
        <v>35</v>
      </c>
      <c r="C345" s="38" t="s">
        <v>420</v>
      </c>
      <c r="D345" s="38" t="s">
        <v>782</v>
      </c>
      <c r="E345" s="38" t="s">
        <v>20</v>
      </c>
      <c r="F345" s="35" t="s">
        <v>555</v>
      </c>
      <c r="I345" s="35" t="s">
        <v>521</v>
      </c>
      <c r="J345" s="81">
        <f>VLOOKUP($A345, Stat!$A$1:$C$1000, 2,0)</f>
        <v>7</v>
      </c>
      <c r="K345" s="81">
        <f>VLOOKUP($A345, Stat!$A$1:$C$1000, 3,0)</f>
        <v>4</v>
      </c>
      <c r="S345" s="38">
        <v>0</v>
      </c>
      <c r="T345" s="38">
        <v>0</v>
      </c>
      <c r="V345" s="38" t="s">
        <v>415</v>
      </c>
      <c r="X345" s="38">
        <v>1</v>
      </c>
    </row>
    <row r="346" spans="1:24" x14ac:dyDescent="0.25">
      <c r="A346" s="38">
        <v>368</v>
      </c>
      <c r="B346" s="38" t="s">
        <v>35</v>
      </c>
      <c r="C346" s="38" t="s">
        <v>420</v>
      </c>
      <c r="D346" s="38" t="s">
        <v>781</v>
      </c>
      <c r="E346" s="38" t="s">
        <v>45</v>
      </c>
      <c r="F346" s="35" t="s">
        <v>555</v>
      </c>
      <c r="I346" s="35" t="s">
        <v>521</v>
      </c>
      <c r="J346" s="81">
        <f>VLOOKUP($A346, Stat!$A$1:$C$1000, 2,0)</f>
        <v>3</v>
      </c>
      <c r="K346" s="81">
        <f>VLOOKUP($A346, Stat!$A$1:$C$1000, 3,0)</f>
        <v>1</v>
      </c>
      <c r="S346" s="38">
        <v>0</v>
      </c>
      <c r="T346" s="38">
        <v>0</v>
      </c>
      <c r="V346" s="38" t="s">
        <v>415</v>
      </c>
      <c r="X346" s="38">
        <v>1</v>
      </c>
    </row>
    <row r="347" spans="1:24" x14ac:dyDescent="0.25">
      <c r="A347" s="38">
        <v>369</v>
      </c>
      <c r="B347" s="38" t="s">
        <v>35</v>
      </c>
      <c r="C347" s="38" t="s">
        <v>420</v>
      </c>
      <c r="D347" s="38" t="s">
        <v>781</v>
      </c>
      <c r="E347" s="38" t="s">
        <v>46</v>
      </c>
      <c r="F347" s="35" t="s">
        <v>555</v>
      </c>
      <c r="I347" s="35" t="s">
        <v>521</v>
      </c>
      <c r="J347" s="81">
        <f>VLOOKUP($A347, Stat!$A$1:$C$1000, 2,0)</f>
        <v>6</v>
      </c>
      <c r="K347" s="81">
        <f>VLOOKUP($A347, Stat!$A$1:$C$1000, 3,0)</f>
        <v>2</v>
      </c>
      <c r="P347" s="34">
        <v>368</v>
      </c>
      <c r="S347" s="38">
        <v>60</v>
      </c>
      <c r="T347" s="38">
        <v>0</v>
      </c>
      <c r="V347" s="38" t="s">
        <v>415</v>
      </c>
      <c r="X347" s="38">
        <v>1</v>
      </c>
    </row>
    <row r="348" spans="1:24" x14ac:dyDescent="0.25">
      <c r="A348" s="38">
        <v>370</v>
      </c>
      <c r="B348" s="38" t="s">
        <v>35</v>
      </c>
      <c r="C348" s="38" t="s">
        <v>420</v>
      </c>
      <c r="D348" s="38" t="s">
        <v>781</v>
      </c>
      <c r="E348" s="38" t="s">
        <v>20</v>
      </c>
      <c r="F348" s="35" t="s">
        <v>555</v>
      </c>
      <c r="I348" s="35" t="s">
        <v>521</v>
      </c>
      <c r="J348" s="81">
        <f>VLOOKUP($A348, Stat!$A$1:$C$1000, 2,0)</f>
        <v>2</v>
      </c>
      <c r="K348" s="81">
        <f>VLOOKUP($A348, Stat!$A$1:$C$1000, 3,0)</f>
        <v>2</v>
      </c>
      <c r="S348" s="38">
        <v>0</v>
      </c>
      <c r="T348" s="38">
        <v>0</v>
      </c>
      <c r="V348" s="38" t="s">
        <v>415</v>
      </c>
      <c r="X348" s="38">
        <v>1</v>
      </c>
    </row>
    <row r="349" spans="1:24" x14ac:dyDescent="0.25">
      <c r="A349" s="38">
        <v>371</v>
      </c>
      <c r="B349" s="38" t="s">
        <v>35</v>
      </c>
      <c r="C349" s="38" t="s">
        <v>419</v>
      </c>
      <c r="D349" s="38" t="s">
        <v>364</v>
      </c>
      <c r="E349" s="38" t="s">
        <v>45</v>
      </c>
      <c r="F349" s="35" t="s">
        <v>555</v>
      </c>
      <c r="I349" s="35" t="s">
        <v>521</v>
      </c>
      <c r="J349" s="81">
        <f>VLOOKUP($A349, Stat!$A$1:$C$1000, 2,0)</f>
        <v>19</v>
      </c>
      <c r="K349" s="81">
        <f>VLOOKUP($A349, Stat!$A$1:$C$1000, 3,0)</f>
        <v>2</v>
      </c>
      <c r="S349" s="38">
        <v>0</v>
      </c>
      <c r="T349" s="38">
        <v>0</v>
      </c>
      <c r="V349" s="38" t="s">
        <v>457</v>
      </c>
      <c r="X349" s="38">
        <v>1</v>
      </c>
    </row>
    <row r="350" spans="1:24" x14ac:dyDescent="0.25">
      <c r="A350" s="38">
        <v>372</v>
      </c>
      <c r="B350" s="38" t="s">
        <v>35</v>
      </c>
      <c r="C350" s="38" t="s">
        <v>419</v>
      </c>
      <c r="D350" s="38" t="s">
        <v>364</v>
      </c>
      <c r="E350" s="38" t="s">
        <v>46</v>
      </c>
      <c r="F350" s="35" t="s">
        <v>555</v>
      </c>
      <c r="I350" s="35" t="s">
        <v>521</v>
      </c>
      <c r="J350" s="81">
        <f>VLOOKUP($A350, Stat!$A$1:$C$1000, 2,0)</f>
        <v>38</v>
      </c>
      <c r="K350" s="81">
        <f>VLOOKUP($A350, Stat!$A$1:$C$1000, 3,0)</f>
        <v>2</v>
      </c>
      <c r="P350" s="34">
        <v>371</v>
      </c>
      <c r="S350" s="38">
        <v>60</v>
      </c>
      <c r="T350" s="38">
        <v>0</v>
      </c>
      <c r="V350" s="38" t="s">
        <v>457</v>
      </c>
      <c r="X350" s="38">
        <v>1</v>
      </c>
    </row>
    <row r="351" spans="1:24" x14ac:dyDescent="0.25">
      <c r="A351" s="38">
        <v>373</v>
      </c>
      <c r="B351" s="38" t="s">
        <v>35</v>
      </c>
      <c r="C351" s="38" t="s">
        <v>419</v>
      </c>
      <c r="D351" s="38" t="s">
        <v>364</v>
      </c>
      <c r="E351" s="38" t="s">
        <v>20</v>
      </c>
      <c r="F351" s="35" t="s">
        <v>555</v>
      </c>
      <c r="I351" s="35" t="s">
        <v>521</v>
      </c>
      <c r="J351" s="81">
        <f>VLOOKUP($A351, Stat!$A$1:$C$1000, 2,0)</f>
        <v>33</v>
      </c>
      <c r="K351" s="81">
        <f>VLOOKUP($A351, Stat!$A$1:$C$1000, 3,0)</f>
        <v>4</v>
      </c>
      <c r="S351" s="38">
        <v>0</v>
      </c>
      <c r="T351" s="38">
        <v>0</v>
      </c>
      <c r="V351" s="38" t="s">
        <v>457</v>
      </c>
      <c r="X351" s="38">
        <v>1</v>
      </c>
    </row>
    <row r="352" spans="1:24" x14ac:dyDescent="0.25">
      <c r="A352" s="38">
        <v>374</v>
      </c>
      <c r="B352" s="38" t="s">
        <v>56</v>
      </c>
      <c r="C352" s="38" t="s">
        <v>56</v>
      </c>
      <c r="D352" s="38" t="s">
        <v>815</v>
      </c>
      <c r="E352" s="38" t="s">
        <v>425</v>
      </c>
      <c r="F352" s="34">
        <v>7</v>
      </c>
      <c r="G352" s="34">
        <v>1</v>
      </c>
      <c r="H352" s="34">
        <v>1</v>
      </c>
      <c r="J352" s="81">
        <f>VLOOKUP($A352, Stat!$A$1:$C$1000, 2,0)</f>
        <v>4</v>
      </c>
      <c r="K352" s="81">
        <f>VLOOKUP($A352, Stat!$A$1:$C$1000, 3,0)</f>
        <v>3</v>
      </c>
      <c r="L352" s="34">
        <v>1</v>
      </c>
      <c r="S352" s="38">
        <v>0</v>
      </c>
      <c r="T352" s="38">
        <v>1</v>
      </c>
      <c r="V352" s="38" t="s">
        <v>328</v>
      </c>
      <c r="W352" s="38" t="s">
        <v>426</v>
      </c>
      <c r="X352" s="38">
        <v>1</v>
      </c>
    </row>
    <row r="353" spans="1:24" x14ac:dyDescent="0.25">
      <c r="A353" s="38">
        <v>375</v>
      </c>
      <c r="B353" s="38" t="s">
        <v>37</v>
      </c>
      <c r="C353" s="38" t="s">
        <v>15</v>
      </c>
      <c r="D353" s="38" t="s">
        <v>789</v>
      </c>
      <c r="E353" s="38" t="s">
        <v>679</v>
      </c>
      <c r="F353" s="34">
        <v>1</v>
      </c>
      <c r="J353" s="81">
        <f>VLOOKUP($A353, Stat!$A$1:$C$1000, 2,0)</f>
        <v>11</v>
      </c>
      <c r="K353" s="85">
        <f>VLOOKUP($A353, Stat!$A$1:$C$1000, 3,0)</f>
        <v>0</v>
      </c>
      <c r="L353" s="34">
        <v>1</v>
      </c>
      <c r="S353" s="38">
        <v>30</v>
      </c>
      <c r="T353" s="38">
        <v>0</v>
      </c>
      <c r="W353" s="38" t="s">
        <v>429</v>
      </c>
      <c r="X353" s="38">
        <v>1</v>
      </c>
    </row>
    <row r="354" spans="1:24" x14ac:dyDescent="0.25">
      <c r="A354" s="38">
        <v>376</v>
      </c>
      <c r="B354" s="38" t="s">
        <v>56</v>
      </c>
      <c r="C354" s="38" t="s">
        <v>56</v>
      </c>
      <c r="D354" s="38" t="s">
        <v>815</v>
      </c>
      <c r="E354" s="38" t="s">
        <v>432</v>
      </c>
      <c r="F354" s="34">
        <v>7</v>
      </c>
      <c r="G354" s="34">
        <v>1</v>
      </c>
      <c r="H354" s="34">
        <v>1</v>
      </c>
      <c r="J354" s="81">
        <f>VLOOKUP($A354, Stat!$A$1:$C$1000, 2,0)</f>
        <v>0</v>
      </c>
      <c r="K354" s="81">
        <f>VLOOKUP($A354, Stat!$A$1:$C$1000, 3,0)</f>
        <v>0</v>
      </c>
      <c r="L354" s="34">
        <v>1</v>
      </c>
      <c r="S354" s="38">
        <v>0</v>
      </c>
      <c r="T354" s="38">
        <v>1</v>
      </c>
      <c r="V354" s="38" t="s">
        <v>328</v>
      </c>
      <c r="W354" s="38" t="s">
        <v>431</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434</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435</v>
      </c>
      <c r="X356" s="38">
        <v>1</v>
      </c>
    </row>
    <row r="357" spans="1:24" x14ac:dyDescent="0.25">
      <c r="A357" s="38">
        <v>379</v>
      </c>
      <c r="B357" s="38" t="s">
        <v>56</v>
      </c>
      <c r="C357" s="38" t="s">
        <v>56</v>
      </c>
      <c r="D357" s="38" t="s">
        <v>439</v>
      </c>
      <c r="E357" s="38" t="s">
        <v>152</v>
      </c>
      <c r="F357" s="34">
        <v>12</v>
      </c>
      <c r="I357" s="87" t="s">
        <v>559</v>
      </c>
      <c r="J357" s="81">
        <f>VLOOKUP($A357, Stat!$A$1:$C$1000, 2,0)</f>
        <v>21</v>
      </c>
      <c r="K357" s="81">
        <f>VLOOKUP($A357, Stat!$A$1:$C$1000, 3,0)</f>
        <v>4</v>
      </c>
      <c r="S357" s="38">
        <v>0</v>
      </c>
      <c r="T357" s="38">
        <v>-1</v>
      </c>
      <c r="V357" s="38" t="s">
        <v>700</v>
      </c>
      <c r="X357" s="38">
        <v>1</v>
      </c>
    </row>
    <row r="358" spans="1:24" x14ac:dyDescent="0.25">
      <c r="A358" s="38">
        <v>380</v>
      </c>
      <c r="B358" s="38" t="s">
        <v>56</v>
      </c>
      <c r="C358" s="38" t="s">
        <v>56</v>
      </c>
      <c r="D358" s="38" t="s">
        <v>439</v>
      </c>
      <c r="E358" s="38" t="s">
        <v>153</v>
      </c>
      <c r="F358" s="34">
        <v>12</v>
      </c>
      <c r="I358" s="87" t="s">
        <v>559</v>
      </c>
      <c r="J358" s="81">
        <f>VLOOKUP($A358, Stat!$A$1:$C$1000, 2,0)</f>
        <v>10</v>
      </c>
      <c r="K358" s="81">
        <f>VLOOKUP($A358, Stat!$A$1:$C$1000, 3,0)</f>
        <v>4</v>
      </c>
      <c r="S358" s="38">
        <v>0</v>
      </c>
      <c r="T358" s="38">
        <v>-1</v>
      </c>
      <c r="V358" s="38" t="s">
        <v>700</v>
      </c>
      <c r="X358" s="38">
        <v>1</v>
      </c>
    </row>
    <row r="359" spans="1:24" x14ac:dyDescent="0.25">
      <c r="A359" s="38">
        <v>381</v>
      </c>
      <c r="B359" s="38" t="s">
        <v>56</v>
      </c>
      <c r="C359" s="38" t="s">
        <v>56</v>
      </c>
      <c r="D359" s="38" t="s">
        <v>439</v>
      </c>
      <c r="E359" s="38" t="s">
        <v>440</v>
      </c>
      <c r="F359" s="34">
        <v>12</v>
      </c>
      <c r="I359" s="87" t="s">
        <v>559</v>
      </c>
      <c r="J359" s="81">
        <f>VLOOKUP($A359, Stat!$A$1:$C$1000, 2,0)</f>
        <v>12</v>
      </c>
      <c r="K359" s="81">
        <f>VLOOKUP($A359, Stat!$A$1:$C$1000, 3,0)</f>
        <v>4</v>
      </c>
      <c r="S359" s="38">
        <v>0</v>
      </c>
      <c r="T359" s="38">
        <v>-1</v>
      </c>
      <c r="V359" s="38" t="s">
        <v>700</v>
      </c>
      <c r="X359" s="38">
        <v>1</v>
      </c>
    </row>
    <row r="360" spans="1:24" x14ac:dyDescent="0.25">
      <c r="A360" s="38">
        <v>382</v>
      </c>
      <c r="B360" s="38" t="s">
        <v>56</v>
      </c>
      <c r="C360" s="38" t="s">
        <v>56</v>
      </c>
      <c r="D360" s="38" t="s">
        <v>439</v>
      </c>
      <c r="E360" s="38" t="s">
        <v>163</v>
      </c>
      <c r="F360" s="34">
        <v>12</v>
      </c>
      <c r="I360" s="87" t="s">
        <v>559</v>
      </c>
      <c r="J360" s="81">
        <f>VLOOKUP($A360, Stat!$A$1:$C$1000, 2,0)</f>
        <v>2</v>
      </c>
      <c r="K360" s="81">
        <f>VLOOKUP($A360, Stat!$A$1:$C$1000, 3,0)</f>
        <v>2</v>
      </c>
      <c r="S360" s="38">
        <v>0</v>
      </c>
      <c r="T360" s="38">
        <v>-1</v>
      </c>
      <c r="V360" s="38" t="s">
        <v>700</v>
      </c>
      <c r="X360" s="38">
        <v>1</v>
      </c>
    </row>
    <row r="361" spans="1:24" x14ac:dyDescent="0.25">
      <c r="A361" s="38">
        <v>383</v>
      </c>
      <c r="B361" s="38" t="s">
        <v>37</v>
      </c>
      <c r="C361" s="38" t="s">
        <v>15</v>
      </c>
      <c r="D361" s="38" t="s">
        <v>786</v>
      </c>
      <c r="E361" s="38" t="s">
        <v>788</v>
      </c>
      <c r="F361" s="34">
        <v>1</v>
      </c>
      <c r="J361" s="81">
        <f>VLOOKUP($A361, Stat!$A$1:$C$1000, 2,0)</f>
        <v>20</v>
      </c>
      <c r="K361" s="85">
        <f>VLOOKUP($A361, Stat!$A$1:$C$1000, 3,0)</f>
        <v>0</v>
      </c>
      <c r="L361" s="34">
        <v>1</v>
      </c>
      <c r="S361" s="38">
        <v>60</v>
      </c>
      <c r="T361" s="38">
        <v>0</v>
      </c>
      <c r="W361" s="38" t="s">
        <v>865</v>
      </c>
      <c r="X361" s="38">
        <v>1</v>
      </c>
    </row>
    <row r="362" spans="1:24" x14ac:dyDescent="0.25">
      <c r="A362" s="38">
        <v>384</v>
      </c>
      <c r="B362" s="38" t="s">
        <v>56</v>
      </c>
      <c r="C362" s="38" t="s">
        <v>56</v>
      </c>
      <c r="D362" s="38" t="s">
        <v>491</v>
      </c>
      <c r="E362" s="38" t="s">
        <v>714</v>
      </c>
      <c r="F362" s="34">
        <v>2</v>
      </c>
      <c r="G362" s="34">
        <v>1</v>
      </c>
      <c r="J362" s="81">
        <f>VLOOKUP($A362, Stat!$A$1:$C$1000, 2,0)</f>
        <v>8</v>
      </c>
      <c r="K362" s="81">
        <f>VLOOKUP($A362, Stat!$A$1:$C$1000, 3,0)</f>
        <v>1</v>
      </c>
      <c r="S362" s="38">
        <v>0</v>
      </c>
      <c r="T362" s="38">
        <v>0</v>
      </c>
      <c r="W362" s="38" t="s">
        <v>444</v>
      </c>
      <c r="X362" s="38">
        <v>1</v>
      </c>
    </row>
    <row r="363" spans="1:24" x14ac:dyDescent="0.25">
      <c r="A363" s="38">
        <v>385</v>
      </c>
      <c r="B363" s="38" t="s">
        <v>56</v>
      </c>
      <c r="C363" s="38" t="s">
        <v>56</v>
      </c>
      <c r="D363" s="38" t="s">
        <v>815</v>
      </c>
      <c r="E363" s="38" t="s">
        <v>448</v>
      </c>
      <c r="F363" s="34">
        <v>7</v>
      </c>
      <c r="G363" s="34">
        <v>1</v>
      </c>
      <c r="H363" s="34">
        <v>1</v>
      </c>
      <c r="J363" s="34">
        <f>VLOOKUP($A363, Stat!$A$1:$C$1000, 2,0)</f>
        <v>22</v>
      </c>
      <c r="K363" s="34">
        <f>VLOOKUP($A363, Stat!$A$1:$C$1000, 3,0)</f>
        <v>2</v>
      </c>
      <c r="L363" s="34">
        <v>1</v>
      </c>
      <c r="S363" s="38">
        <v>60</v>
      </c>
      <c r="T363" s="38">
        <v>0</v>
      </c>
      <c r="V363" s="38" t="s">
        <v>328</v>
      </c>
      <c r="W363" s="38" t="s">
        <v>450</v>
      </c>
      <c r="X363" s="38">
        <v>1</v>
      </c>
    </row>
    <row r="364" spans="1:24" x14ac:dyDescent="0.25">
      <c r="A364" s="38">
        <v>386</v>
      </c>
      <c r="B364" s="38" t="s">
        <v>35</v>
      </c>
      <c r="C364" s="38" t="s">
        <v>73</v>
      </c>
      <c r="D364" s="38" t="s">
        <v>80</v>
      </c>
      <c r="E364" s="38" t="s">
        <v>449</v>
      </c>
      <c r="F364" s="34">
        <v>5</v>
      </c>
      <c r="J364" s="83">
        <f>VLOOKUP($A364, Stat!$A$1:$C$1000, 2,0)</f>
        <v>0</v>
      </c>
      <c r="K364" s="34">
        <f>VLOOKUP($A364, Stat!$A$1:$C$1000, 3,0)</f>
        <v>0</v>
      </c>
      <c r="L364" s="83"/>
      <c r="S364" s="38">
        <v>100</v>
      </c>
      <c r="T364" s="38">
        <v>0</v>
      </c>
      <c r="V364" s="38" t="s">
        <v>637</v>
      </c>
      <c r="W364" s="38" t="s">
        <v>451</v>
      </c>
      <c r="X364" s="38">
        <v>1</v>
      </c>
    </row>
    <row r="365" spans="1:24" x14ac:dyDescent="0.25">
      <c r="A365" s="38">
        <v>387</v>
      </c>
      <c r="B365" s="38" t="s">
        <v>56</v>
      </c>
      <c r="C365" s="38" t="s">
        <v>56</v>
      </c>
      <c r="D365" s="38" t="s">
        <v>455</v>
      </c>
      <c r="E365" s="38" t="s">
        <v>456</v>
      </c>
      <c r="J365" s="34">
        <f>VLOOKUP($A365, Stat!$A$1:$C$1000, 2,0)</f>
        <v>8</v>
      </c>
      <c r="K365" s="34">
        <f>VLOOKUP($A365, Stat!$A$1:$C$1000, 3,0)</f>
        <v>0</v>
      </c>
      <c r="L365" s="34">
        <v>1</v>
      </c>
      <c r="S365" s="38">
        <v>0</v>
      </c>
      <c r="T365" s="38">
        <v>1</v>
      </c>
      <c r="W365" s="38" t="s">
        <v>729</v>
      </c>
      <c r="X365" s="38">
        <v>1</v>
      </c>
    </row>
    <row r="366" spans="1:24" x14ac:dyDescent="0.25">
      <c r="A366" s="38">
        <v>388</v>
      </c>
      <c r="B366" s="38" t="s">
        <v>56</v>
      </c>
      <c r="C366" s="38" t="s">
        <v>56</v>
      </c>
      <c r="D366" s="38" t="s">
        <v>455</v>
      </c>
      <c r="E366" s="38" t="s">
        <v>615</v>
      </c>
      <c r="J366" s="34">
        <f>VLOOKUP($A366, Stat!$A$1:$C$1000, 2,0)</f>
        <v>14</v>
      </c>
      <c r="K366" s="34">
        <f>VLOOKUP($A366, Stat!$A$1:$C$1000, 3,0)</f>
        <v>4</v>
      </c>
      <c r="S366" s="38">
        <v>60</v>
      </c>
      <c r="T366" s="38">
        <v>0</v>
      </c>
      <c r="W366" s="38" t="s">
        <v>730</v>
      </c>
      <c r="X366" s="38">
        <v>1</v>
      </c>
    </row>
    <row r="367" spans="1:24" x14ac:dyDescent="0.25">
      <c r="A367" s="38">
        <v>389</v>
      </c>
      <c r="B367" s="38" t="s">
        <v>56</v>
      </c>
      <c r="C367" s="38" t="s">
        <v>56</v>
      </c>
      <c r="D367" s="38" t="s">
        <v>562</v>
      </c>
      <c r="E367" s="38">
        <v>3</v>
      </c>
      <c r="F367" s="34">
        <v>9</v>
      </c>
      <c r="G367" s="34">
        <v>1</v>
      </c>
      <c r="I367" s="34" t="s">
        <v>562</v>
      </c>
      <c r="J367" s="34">
        <f>VLOOKUP($A367, Stat!$A$1:$C$1000, 2,0)</f>
        <v>19</v>
      </c>
      <c r="K367" s="34">
        <f>VLOOKUP($A367, Stat!$A$1:$C$1000, 3,0)</f>
        <v>0</v>
      </c>
      <c r="L367" s="84"/>
      <c r="S367" s="38">
        <v>0</v>
      </c>
      <c r="T367" s="38">
        <v>-1</v>
      </c>
      <c r="V367" s="38" t="s">
        <v>826</v>
      </c>
      <c r="X367" s="38">
        <v>1</v>
      </c>
    </row>
    <row r="368" spans="1:24" x14ac:dyDescent="0.25">
      <c r="A368" s="38">
        <v>390</v>
      </c>
      <c r="B368" s="38" t="s">
        <v>56</v>
      </c>
      <c r="C368" s="38" t="s">
        <v>56</v>
      </c>
      <c r="D368" s="38" t="s">
        <v>562</v>
      </c>
      <c r="E368" s="38" t="s">
        <v>824</v>
      </c>
      <c r="F368" s="34">
        <v>9</v>
      </c>
      <c r="G368" s="34">
        <v>1</v>
      </c>
      <c r="I368" s="34" t="s">
        <v>562</v>
      </c>
      <c r="J368" s="34">
        <f>VLOOKUP($A368, Stat!$A$1:$C$1000, 2,0)</f>
        <v>6</v>
      </c>
      <c r="K368" s="34">
        <f>VLOOKUP($A368, Stat!$A$1:$C$1000, 3,0)</f>
        <v>0</v>
      </c>
      <c r="L368" s="84"/>
      <c r="S368" s="38">
        <v>60</v>
      </c>
      <c r="T368" s="38">
        <v>0</v>
      </c>
      <c r="V368" s="38" t="s">
        <v>826</v>
      </c>
      <c r="X368" s="38">
        <v>1</v>
      </c>
    </row>
    <row r="369" spans="1:24" x14ac:dyDescent="0.25">
      <c r="A369" s="38">
        <v>391</v>
      </c>
      <c r="B369" s="38" t="s">
        <v>35</v>
      </c>
      <c r="C369" s="38" t="s">
        <v>567</v>
      </c>
      <c r="D369" s="38" t="s">
        <v>578</v>
      </c>
      <c r="E369" s="38" t="s">
        <v>2</v>
      </c>
      <c r="F369" s="35" t="s">
        <v>226</v>
      </c>
      <c r="J369" s="34">
        <f>VLOOKUP($A369, Stat!$A$1:$C$1000, 2,0)</f>
        <v>15</v>
      </c>
      <c r="K369" s="34">
        <f>VLOOKUP($A369, Stat!$A$1:$C$1000, 3,0)</f>
        <v>0</v>
      </c>
      <c r="P369" s="35" t="s">
        <v>589</v>
      </c>
      <c r="S369" s="38">
        <v>0</v>
      </c>
      <c r="T369" s="38">
        <v>1</v>
      </c>
      <c r="V369" s="38" t="s">
        <v>647</v>
      </c>
      <c r="X369" s="38">
        <v>1</v>
      </c>
    </row>
    <row r="370" spans="1:24" x14ac:dyDescent="0.25">
      <c r="A370" s="38">
        <v>392</v>
      </c>
      <c r="B370" s="38" t="s">
        <v>35</v>
      </c>
      <c r="C370" s="38" t="s">
        <v>567</v>
      </c>
      <c r="D370" s="38" t="s">
        <v>578</v>
      </c>
      <c r="E370" s="38" t="s">
        <v>3</v>
      </c>
      <c r="F370" s="35" t="s">
        <v>226</v>
      </c>
      <c r="J370" s="34">
        <f>VLOOKUP($A370, Stat!$A$1:$C$1000, 2,0)</f>
        <v>1</v>
      </c>
      <c r="K370" s="34">
        <f>VLOOKUP($A370, Stat!$A$1:$C$1000, 3,0)</f>
        <v>0</v>
      </c>
      <c r="P370" s="35" t="s">
        <v>599</v>
      </c>
      <c r="S370" s="38">
        <v>0</v>
      </c>
      <c r="T370" s="38">
        <v>0</v>
      </c>
      <c r="V370" s="38" t="s">
        <v>647</v>
      </c>
      <c r="X370" s="38">
        <v>1</v>
      </c>
    </row>
    <row r="371" spans="1:24" x14ac:dyDescent="0.25">
      <c r="A371" s="38">
        <v>393</v>
      </c>
      <c r="B371" s="38" t="s">
        <v>35</v>
      </c>
      <c r="C371" s="38" t="s">
        <v>567</v>
      </c>
      <c r="D371" s="38" t="s">
        <v>578</v>
      </c>
      <c r="E371" s="38" t="s">
        <v>4</v>
      </c>
      <c r="F371" s="35" t="s">
        <v>226</v>
      </c>
      <c r="J371" s="34">
        <f>VLOOKUP($A371, Stat!$A$1:$C$1000, 2,0)</f>
        <v>5</v>
      </c>
      <c r="K371" s="34">
        <f>VLOOKUP($A371, Stat!$A$1:$C$1000, 3,0)</f>
        <v>1</v>
      </c>
      <c r="P371" s="35" t="s">
        <v>600</v>
      </c>
      <c r="S371" s="38">
        <v>60</v>
      </c>
      <c r="T371" s="38">
        <v>0</v>
      </c>
      <c r="V371" s="38" t="s">
        <v>647</v>
      </c>
      <c r="X371" s="38">
        <v>1</v>
      </c>
    </row>
    <row r="372" spans="1:24" x14ac:dyDescent="0.25">
      <c r="A372" s="38">
        <v>394</v>
      </c>
      <c r="B372" s="38" t="s">
        <v>35</v>
      </c>
      <c r="C372" s="38" t="s">
        <v>567</v>
      </c>
      <c r="D372" s="38" t="s">
        <v>578</v>
      </c>
      <c r="E372" s="38" t="s">
        <v>47</v>
      </c>
      <c r="F372" s="35" t="s">
        <v>226</v>
      </c>
      <c r="J372" s="34">
        <f>VLOOKUP($A372, Stat!$A$1:$C$1000, 2,0)</f>
        <v>1</v>
      </c>
      <c r="K372" s="34">
        <f>VLOOKUP($A372, Stat!$A$1:$C$1000, 3,0)</f>
        <v>0</v>
      </c>
      <c r="P372" s="35" t="s">
        <v>601</v>
      </c>
      <c r="S372" s="38">
        <v>100</v>
      </c>
      <c r="T372" s="38">
        <v>0</v>
      </c>
      <c r="V372" s="38" t="s">
        <v>647</v>
      </c>
      <c r="X372" s="38">
        <v>1</v>
      </c>
    </row>
    <row r="373" spans="1:24" x14ac:dyDescent="0.25">
      <c r="A373" s="38">
        <v>398</v>
      </c>
      <c r="B373" s="38" t="s">
        <v>35</v>
      </c>
      <c r="C373" s="38" t="s">
        <v>567</v>
      </c>
      <c r="D373" s="38" t="s">
        <v>580</v>
      </c>
      <c r="E373" s="38" t="s">
        <v>2</v>
      </c>
      <c r="F373" s="35" t="s">
        <v>226</v>
      </c>
      <c r="J373" s="34">
        <f>VLOOKUP($A373, Stat!$A$1:$C$1000, 2,0)</f>
        <v>6</v>
      </c>
      <c r="K373" s="34">
        <f>VLOOKUP($A373, Stat!$A$1:$C$1000, 3,0)</f>
        <v>0</v>
      </c>
      <c r="P373" s="35" t="s">
        <v>568</v>
      </c>
      <c r="S373" s="38">
        <v>0</v>
      </c>
      <c r="T373" s="38">
        <v>1</v>
      </c>
      <c r="V373" s="38" t="s">
        <v>649</v>
      </c>
      <c r="X373" s="38">
        <v>1</v>
      </c>
    </row>
    <row r="374" spans="1:24" x14ac:dyDescent="0.25">
      <c r="A374" s="38">
        <v>399</v>
      </c>
      <c r="B374" s="38" t="s">
        <v>35</v>
      </c>
      <c r="C374" s="38" t="s">
        <v>567</v>
      </c>
      <c r="D374" s="38" t="s">
        <v>580</v>
      </c>
      <c r="E374" s="38" t="s">
        <v>3</v>
      </c>
      <c r="F374" s="35" t="s">
        <v>226</v>
      </c>
      <c r="J374" s="34">
        <f>VLOOKUP($A374, Stat!$A$1:$C$1000, 2,0)</f>
        <v>1</v>
      </c>
      <c r="K374" s="34">
        <f>VLOOKUP($A374, Stat!$A$1:$C$1000, 3,0)</f>
        <v>1</v>
      </c>
      <c r="P374" s="35" t="s">
        <v>569</v>
      </c>
      <c r="S374" s="38">
        <v>0</v>
      </c>
      <c r="T374" s="38">
        <v>0</v>
      </c>
      <c r="V374" s="38" t="s">
        <v>649</v>
      </c>
      <c r="X374" s="38">
        <v>1</v>
      </c>
    </row>
    <row r="375" spans="1:24" x14ac:dyDescent="0.25">
      <c r="A375" s="38">
        <v>400</v>
      </c>
      <c r="B375" s="38" t="s">
        <v>35</v>
      </c>
      <c r="C375" s="38" t="s">
        <v>567</v>
      </c>
      <c r="D375" s="38" t="s">
        <v>580</v>
      </c>
      <c r="E375" s="38" t="s">
        <v>4</v>
      </c>
      <c r="F375" s="35" t="s">
        <v>226</v>
      </c>
      <c r="J375" s="34">
        <f>VLOOKUP($A375, Stat!$A$1:$C$1000, 2,0)</f>
        <v>3</v>
      </c>
      <c r="K375" s="34">
        <f>VLOOKUP($A375, Stat!$A$1:$C$1000, 3,0)</f>
        <v>3</v>
      </c>
      <c r="P375" s="35" t="s">
        <v>570</v>
      </c>
      <c r="S375" s="38">
        <v>100</v>
      </c>
      <c r="T375" s="38">
        <v>0</v>
      </c>
      <c r="V375" s="38" t="s">
        <v>649</v>
      </c>
      <c r="X375" s="38">
        <v>1</v>
      </c>
    </row>
    <row r="376" spans="1:24" x14ac:dyDescent="0.25">
      <c r="A376" s="38">
        <v>401</v>
      </c>
      <c r="B376" s="38" t="s">
        <v>35</v>
      </c>
      <c r="C376" s="38" t="s">
        <v>567</v>
      </c>
      <c r="D376" s="38" t="s">
        <v>580</v>
      </c>
      <c r="E376" s="38" t="s">
        <v>47</v>
      </c>
      <c r="F376" s="35" t="s">
        <v>226</v>
      </c>
      <c r="J376" s="34">
        <f>VLOOKUP($A376, Stat!$A$1:$C$1000, 2,0)</f>
        <v>1</v>
      </c>
      <c r="K376" s="34">
        <f>VLOOKUP($A376, Stat!$A$1:$C$1000, 3,0)</f>
        <v>1</v>
      </c>
      <c r="P376" s="35" t="s">
        <v>571</v>
      </c>
      <c r="S376" s="38">
        <v>100</v>
      </c>
      <c r="T376" s="38">
        <v>0</v>
      </c>
      <c r="V376" s="38" t="s">
        <v>649</v>
      </c>
      <c r="X376" s="38">
        <v>1</v>
      </c>
    </row>
    <row r="377" spans="1:24" x14ac:dyDescent="0.25">
      <c r="A377" s="38">
        <v>402</v>
      </c>
      <c r="B377" s="38" t="s">
        <v>35</v>
      </c>
      <c r="C377" s="38" t="s">
        <v>12</v>
      </c>
      <c r="D377" s="38" t="s">
        <v>858</v>
      </c>
      <c r="E377" s="38" t="s">
        <v>314</v>
      </c>
      <c r="F377" s="34">
        <v>3</v>
      </c>
      <c r="J377" s="34">
        <f>VLOOKUP($A377, Stat!$A$1:$C$1000, 2,0)</f>
        <v>97</v>
      </c>
      <c r="K377" s="34">
        <f>VLOOKUP($A377, Stat!$A$1:$C$1000, 3,0)</f>
        <v>41</v>
      </c>
      <c r="L377" s="34">
        <v>1</v>
      </c>
      <c r="S377" s="38">
        <v>60</v>
      </c>
      <c r="T377" s="38">
        <v>0</v>
      </c>
      <c r="U377" s="38">
        <v>5</v>
      </c>
      <c r="V377" s="38" t="s">
        <v>662</v>
      </c>
      <c r="W377" s="38" t="s">
        <v>316</v>
      </c>
      <c r="X377" s="38">
        <v>1</v>
      </c>
    </row>
    <row r="378" spans="1:24" x14ac:dyDescent="0.25">
      <c r="A378" s="38">
        <v>403</v>
      </c>
      <c r="B378" s="38" t="s">
        <v>35</v>
      </c>
      <c r="C378" s="38" t="s">
        <v>12</v>
      </c>
      <c r="D378" s="38" t="s">
        <v>858</v>
      </c>
      <c r="E378" s="38" t="s">
        <v>312</v>
      </c>
      <c r="F378" s="34">
        <v>3</v>
      </c>
      <c r="J378" s="34">
        <f>VLOOKUP($A378, Stat!$A$1:$C$1000, 2,0)</f>
        <v>12</v>
      </c>
      <c r="K378" s="34">
        <f>VLOOKUP($A378, Stat!$A$1:$C$1000, 3,0)</f>
        <v>4</v>
      </c>
      <c r="L378" s="34">
        <v>1</v>
      </c>
      <c r="S378" s="38">
        <v>0</v>
      </c>
      <c r="T378" s="38">
        <v>0</v>
      </c>
      <c r="U378" s="38">
        <v>5</v>
      </c>
      <c r="V378" s="38" t="s">
        <v>662</v>
      </c>
      <c r="W378" s="38" t="s">
        <v>315</v>
      </c>
      <c r="X378" s="38">
        <v>1</v>
      </c>
    </row>
    <row r="379" spans="1:24" x14ac:dyDescent="0.25">
      <c r="A379" s="38">
        <v>404</v>
      </c>
      <c r="B379" s="38" t="s">
        <v>35</v>
      </c>
      <c r="C379" s="38" t="s">
        <v>12</v>
      </c>
      <c r="D379" s="38" t="s">
        <v>858</v>
      </c>
      <c r="E379" s="38" t="s">
        <v>313</v>
      </c>
      <c r="F379" s="34">
        <v>3</v>
      </c>
      <c r="J379" s="34">
        <f>VLOOKUP($A379, Stat!$A$1:$C$1000, 2,0)</f>
        <v>35</v>
      </c>
      <c r="K379" s="34">
        <f>VLOOKUP($A379, Stat!$A$1:$C$1000, 3,0)</f>
        <v>12</v>
      </c>
      <c r="L379" s="34">
        <v>1</v>
      </c>
      <c r="S379" s="38">
        <v>0</v>
      </c>
      <c r="T379" s="38">
        <v>1</v>
      </c>
      <c r="U379" s="38">
        <v>5</v>
      </c>
      <c r="V379" s="38" t="s">
        <v>662</v>
      </c>
      <c r="X379" s="38">
        <v>1</v>
      </c>
    </row>
    <row r="380" spans="1:24" x14ac:dyDescent="0.25">
      <c r="A380" s="38">
        <v>405</v>
      </c>
      <c r="B380" s="38" t="s">
        <v>35</v>
      </c>
      <c r="C380" s="38" t="s">
        <v>12</v>
      </c>
      <c r="D380" s="38" t="s">
        <v>890</v>
      </c>
      <c r="E380" s="38" t="s">
        <v>887</v>
      </c>
      <c r="F380" s="34">
        <v>3</v>
      </c>
      <c r="S380" s="38">
        <v>0</v>
      </c>
      <c r="T380" s="38">
        <v>0</v>
      </c>
      <c r="V380" s="38" t="s">
        <v>883</v>
      </c>
      <c r="W380" s="38" t="s">
        <v>884</v>
      </c>
    </row>
    <row r="381" spans="1:24" x14ac:dyDescent="0.25">
      <c r="A381" s="38">
        <v>406</v>
      </c>
      <c r="B381" s="38" t="s">
        <v>35</v>
      </c>
      <c r="C381" s="38" t="s">
        <v>12</v>
      </c>
      <c r="D381" s="38" t="s">
        <v>890</v>
      </c>
      <c r="E381" s="38" t="s">
        <v>888</v>
      </c>
      <c r="F381" s="34">
        <v>3</v>
      </c>
      <c r="S381" s="38">
        <v>0</v>
      </c>
      <c r="T381" s="38">
        <v>0</v>
      </c>
      <c r="V381" s="38" t="s">
        <v>883</v>
      </c>
      <c r="W381" s="38" t="s">
        <v>884</v>
      </c>
    </row>
    <row r="382" spans="1:24" x14ac:dyDescent="0.25">
      <c r="A382" s="38">
        <v>407</v>
      </c>
      <c r="B382" s="38" t="s">
        <v>35</v>
      </c>
      <c r="C382" s="38" t="s">
        <v>12</v>
      </c>
      <c r="D382" s="38" t="s">
        <v>889</v>
      </c>
      <c r="E382" s="38" t="s">
        <v>887</v>
      </c>
      <c r="F382" s="34">
        <v>3</v>
      </c>
      <c r="P382" s="34">
        <v>311.40499999999997</v>
      </c>
      <c r="S382" s="38">
        <v>60</v>
      </c>
      <c r="T382" s="38">
        <v>0</v>
      </c>
      <c r="V382" s="38" t="s">
        <v>883</v>
      </c>
      <c r="W382" s="38" t="s">
        <v>884</v>
      </c>
    </row>
    <row r="383" spans="1:24" x14ac:dyDescent="0.25">
      <c r="A383" s="38">
        <v>408</v>
      </c>
      <c r="B383" s="38" t="s">
        <v>35</v>
      </c>
      <c r="C383" s="38" t="s">
        <v>12</v>
      </c>
      <c r="D383" s="38" t="s">
        <v>889</v>
      </c>
      <c r="E383" s="38" t="s">
        <v>888</v>
      </c>
      <c r="F383" s="34">
        <v>3</v>
      </c>
      <c r="P383" s="34">
        <v>312.40600000000001</v>
      </c>
      <c r="S383" s="38">
        <v>60</v>
      </c>
      <c r="T383" s="38">
        <v>0</v>
      </c>
      <c r="V383" s="38" t="s">
        <v>883</v>
      </c>
      <c r="W383" s="38" t="s">
        <v>884</v>
      </c>
    </row>
    <row r="384" spans="1:24" x14ac:dyDescent="0.25">
      <c r="A384" s="38">
        <v>411</v>
      </c>
      <c r="B384" s="38" t="s">
        <v>35</v>
      </c>
      <c r="C384" s="38" t="s">
        <v>12</v>
      </c>
      <c r="D384" s="38" t="s">
        <v>859</v>
      </c>
      <c r="E384" s="38" t="s">
        <v>314</v>
      </c>
      <c r="F384" s="34">
        <v>3</v>
      </c>
      <c r="J384" s="34">
        <f>VLOOKUP($A384, Stat!$A$1:$C$1000, 2,0)</f>
        <v>7</v>
      </c>
      <c r="K384" s="34">
        <f>VLOOKUP($A384, Stat!$A$1:$C$1000, 3,0)</f>
        <v>4</v>
      </c>
      <c r="L384" s="34">
        <v>1</v>
      </c>
      <c r="S384" s="38">
        <v>60</v>
      </c>
      <c r="T384" s="38">
        <v>0</v>
      </c>
      <c r="U384" s="38">
        <v>5</v>
      </c>
      <c r="V384" s="38" t="s">
        <v>663</v>
      </c>
      <c r="W384" s="38" t="s">
        <v>316</v>
      </c>
      <c r="X384" s="38">
        <v>1</v>
      </c>
    </row>
    <row r="385" spans="1:24" x14ac:dyDescent="0.25">
      <c r="A385" s="38">
        <v>412</v>
      </c>
      <c r="B385" s="38" t="s">
        <v>35</v>
      </c>
      <c r="C385" s="38" t="s">
        <v>12</v>
      </c>
      <c r="D385" s="38" t="s">
        <v>859</v>
      </c>
      <c r="E385" s="38" t="s">
        <v>312</v>
      </c>
      <c r="F385" s="34">
        <v>3</v>
      </c>
      <c r="J385" s="34">
        <f>VLOOKUP($A385, Stat!$A$1:$C$1000, 2,0)</f>
        <v>0</v>
      </c>
      <c r="K385" s="34">
        <f>VLOOKUP($A385, Stat!$A$1:$C$1000, 3,0)</f>
        <v>0</v>
      </c>
      <c r="L385" s="34">
        <v>1</v>
      </c>
      <c r="S385" s="38">
        <v>60</v>
      </c>
      <c r="T385" s="38">
        <v>0</v>
      </c>
      <c r="U385" s="38">
        <v>5</v>
      </c>
      <c r="V385" s="38" t="s">
        <v>663</v>
      </c>
      <c r="W385" s="38" t="s">
        <v>315</v>
      </c>
      <c r="X385" s="38">
        <v>1</v>
      </c>
    </row>
    <row r="386" spans="1:24" x14ac:dyDescent="0.25">
      <c r="A386" s="38">
        <v>413</v>
      </c>
      <c r="B386" s="38" t="s">
        <v>35</v>
      </c>
      <c r="C386" s="38" t="s">
        <v>12</v>
      </c>
      <c r="D386" s="38" t="s">
        <v>859</v>
      </c>
      <c r="E386" s="38" t="s">
        <v>313</v>
      </c>
      <c r="F386" s="34">
        <v>3</v>
      </c>
      <c r="J386" s="34">
        <f>VLOOKUP($A386, Stat!$A$1:$C$1000, 2,0)</f>
        <v>2</v>
      </c>
      <c r="K386" s="34">
        <f>VLOOKUP($A386, Stat!$A$1:$C$1000, 3,0)</f>
        <v>1</v>
      </c>
      <c r="L386" s="34">
        <v>1</v>
      </c>
      <c r="N386" s="34">
        <v>999</v>
      </c>
      <c r="S386" s="38">
        <v>0</v>
      </c>
      <c r="T386" s="38">
        <v>0</v>
      </c>
      <c r="U386" s="38">
        <v>5</v>
      </c>
      <c r="V386" s="38" t="s">
        <v>663</v>
      </c>
      <c r="X386" s="38">
        <v>1</v>
      </c>
    </row>
    <row r="387" spans="1:24" x14ac:dyDescent="0.25">
      <c r="A387" s="38">
        <v>414</v>
      </c>
      <c r="B387" s="38" t="s">
        <v>35</v>
      </c>
      <c r="C387" s="38" t="s">
        <v>567</v>
      </c>
      <c r="D387" s="38" t="s">
        <v>807</v>
      </c>
      <c r="E387" s="38" t="s">
        <v>2</v>
      </c>
      <c r="F387" s="34">
        <v>5</v>
      </c>
      <c r="J387" s="34">
        <f>VLOOKUP($A387, Stat!$A$1:$C$1000, 2,0)</f>
        <v>72</v>
      </c>
      <c r="K387" s="34">
        <f>VLOOKUP($A387, Stat!$A$1:$C$1000, 3,0)</f>
        <v>5</v>
      </c>
      <c r="S387" s="38">
        <v>0</v>
      </c>
      <c r="T387" s="38">
        <v>1</v>
      </c>
      <c r="V387" s="38" t="s">
        <v>585</v>
      </c>
      <c r="X387" s="38">
        <v>1</v>
      </c>
    </row>
    <row r="388" spans="1:24" x14ac:dyDescent="0.25">
      <c r="A388" s="38">
        <v>415</v>
      </c>
      <c r="B388" s="38" t="s">
        <v>35</v>
      </c>
      <c r="C388" s="38" t="s">
        <v>567</v>
      </c>
      <c r="D388" s="38" t="s">
        <v>807</v>
      </c>
      <c r="E388" s="38" t="s">
        <v>3</v>
      </c>
      <c r="F388" s="34">
        <v>5</v>
      </c>
      <c r="J388" s="34">
        <f>VLOOKUP($A388, Stat!$A$1:$C$1000, 2,0)</f>
        <v>35</v>
      </c>
      <c r="K388" s="34">
        <f>VLOOKUP($A388, Stat!$A$1:$C$1000, 3,0)</f>
        <v>0</v>
      </c>
      <c r="S388" s="38">
        <v>0</v>
      </c>
      <c r="T388" s="38">
        <v>1</v>
      </c>
      <c r="V388" s="38" t="s">
        <v>585</v>
      </c>
      <c r="X388" s="38">
        <v>1</v>
      </c>
    </row>
    <row r="389" spans="1:24" x14ac:dyDescent="0.25">
      <c r="A389" s="38">
        <v>416</v>
      </c>
      <c r="B389" s="38" t="s">
        <v>35</v>
      </c>
      <c r="C389" s="38" t="s">
        <v>567</v>
      </c>
      <c r="D389" s="38" t="s">
        <v>807</v>
      </c>
      <c r="E389" s="38" t="s">
        <v>4</v>
      </c>
      <c r="F389" s="34">
        <v>5</v>
      </c>
      <c r="J389" s="34">
        <f>VLOOKUP($A389, Stat!$A$1:$C$1000, 2,0)</f>
        <v>23</v>
      </c>
      <c r="K389" s="34">
        <f>VLOOKUP($A389, Stat!$A$1:$C$1000, 3,0)</f>
        <v>0</v>
      </c>
      <c r="S389" s="38">
        <v>0</v>
      </c>
      <c r="T389" s="38">
        <v>1</v>
      </c>
      <c r="V389" s="38" t="s">
        <v>585</v>
      </c>
      <c r="X389" s="38">
        <v>1</v>
      </c>
    </row>
    <row r="390" spans="1:24" x14ac:dyDescent="0.25">
      <c r="A390" s="38">
        <v>417</v>
      </c>
      <c r="B390" s="38" t="s">
        <v>35</v>
      </c>
      <c r="C390" s="38" t="s">
        <v>567</v>
      </c>
      <c r="D390" s="38" t="s">
        <v>807</v>
      </c>
      <c r="E390" s="38" t="s">
        <v>47</v>
      </c>
      <c r="F390" s="34">
        <v>5</v>
      </c>
      <c r="J390" s="34">
        <f>VLOOKUP($A390, Stat!$A$1:$C$1000, 2,0)</f>
        <v>11</v>
      </c>
      <c r="K390" s="34">
        <f>VLOOKUP($A390, Stat!$A$1:$C$1000, 3,0)</f>
        <v>4</v>
      </c>
      <c r="S390" s="38">
        <v>0</v>
      </c>
      <c r="T390" s="38">
        <v>1</v>
      </c>
      <c r="V390" s="38" t="s">
        <v>585</v>
      </c>
      <c r="X390" s="38">
        <v>1</v>
      </c>
    </row>
    <row r="391" spans="1:24" x14ac:dyDescent="0.25">
      <c r="A391" s="38">
        <v>418</v>
      </c>
      <c r="B391" s="38" t="s">
        <v>37</v>
      </c>
      <c r="C391" s="38" t="s">
        <v>15</v>
      </c>
      <c r="D391" s="38" t="s">
        <v>602</v>
      </c>
      <c r="E391" s="38" t="s">
        <v>604</v>
      </c>
      <c r="F391" s="34">
        <v>1</v>
      </c>
      <c r="J391" s="34">
        <f>VLOOKUP($A391, Stat!$A$1:$C$1000, 2,0)</f>
        <v>130</v>
      </c>
      <c r="K391" s="34">
        <f>VLOOKUP($A391, Stat!$A$1:$C$1000, 3,0)</f>
        <v>3</v>
      </c>
      <c r="S391" s="38">
        <v>0</v>
      </c>
      <c r="T391" s="38">
        <v>0</v>
      </c>
      <c r="W391" s="38" t="s">
        <v>607</v>
      </c>
      <c r="X391" s="38">
        <v>1</v>
      </c>
    </row>
    <row r="392" spans="1:24" x14ac:dyDescent="0.25">
      <c r="A392" s="38">
        <v>419</v>
      </c>
      <c r="B392" s="38" t="s">
        <v>56</v>
      </c>
      <c r="C392" s="38" t="s">
        <v>56</v>
      </c>
      <c r="D392" s="38" t="s">
        <v>137</v>
      </c>
      <c r="E392" s="38" t="s">
        <v>609</v>
      </c>
      <c r="J392" s="34">
        <f>VLOOKUP($A392, Stat!$A$1:$C$1000, 2,0)</f>
        <v>0</v>
      </c>
      <c r="K392" s="34">
        <f>VLOOKUP($A392, Stat!$A$1:$C$1000, 3,0)</f>
        <v>0</v>
      </c>
      <c r="L392" s="84"/>
      <c r="S392" s="38">
        <v>0</v>
      </c>
      <c r="T392" s="38">
        <v>1</v>
      </c>
      <c r="W392" s="38" t="s">
        <v>612</v>
      </c>
      <c r="X392" s="38">
        <v>1</v>
      </c>
    </row>
    <row r="393" spans="1:24" x14ac:dyDescent="0.25">
      <c r="A393" s="38">
        <v>420</v>
      </c>
      <c r="B393" s="38" t="s">
        <v>56</v>
      </c>
      <c r="C393" s="38" t="s">
        <v>56</v>
      </c>
      <c r="D393" s="38" t="s">
        <v>137</v>
      </c>
      <c r="E393" s="38" t="s">
        <v>610</v>
      </c>
      <c r="J393" s="34">
        <f>VLOOKUP($A393, Stat!$A$1:$C$1000, 2,0)</f>
        <v>0</v>
      </c>
      <c r="K393" s="34">
        <f>VLOOKUP($A393, Stat!$A$1:$C$1000, 3,0)</f>
        <v>0</v>
      </c>
      <c r="L393" s="84"/>
      <c r="S393" s="38">
        <v>0</v>
      </c>
      <c r="T393" s="38">
        <v>1</v>
      </c>
      <c r="W393" s="38" t="s">
        <v>613</v>
      </c>
      <c r="X393" s="38">
        <v>1</v>
      </c>
    </row>
    <row r="394" spans="1:24" x14ac:dyDescent="0.25">
      <c r="A394" s="38">
        <v>421</v>
      </c>
      <c r="B394" s="38" t="s">
        <v>56</v>
      </c>
      <c r="C394" s="38" t="s">
        <v>56</v>
      </c>
      <c r="D394" s="38" t="s">
        <v>383</v>
      </c>
      <c r="E394" s="38" t="s">
        <v>618</v>
      </c>
      <c r="J394" s="34">
        <f>VLOOKUP($A394, Stat!$A$1:$C$1000, 2,0)</f>
        <v>0</v>
      </c>
      <c r="K394" s="34">
        <f>VLOOKUP($A394, Stat!$A$1:$C$1000, 3,0)</f>
        <v>0</v>
      </c>
      <c r="L394" s="34">
        <v>1</v>
      </c>
      <c r="S394" s="38">
        <v>60</v>
      </c>
      <c r="T394" s="38">
        <v>0</v>
      </c>
      <c r="V394" s="38" t="s">
        <v>717</v>
      </c>
      <c r="X394" s="38">
        <v>1</v>
      </c>
    </row>
    <row r="395" spans="1:24" x14ac:dyDescent="0.25">
      <c r="A395" s="38">
        <v>422</v>
      </c>
      <c r="B395" s="38" t="s">
        <v>56</v>
      </c>
      <c r="C395" s="38" t="s">
        <v>56</v>
      </c>
      <c r="D395" s="38" t="s">
        <v>384</v>
      </c>
      <c r="E395" s="38" t="s">
        <v>618</v>
      </c>
      <c r="J395" s="34">
        <f>VLOOKUP($A395, Stat!$A$1:$C$1000, 2,0)</f>
        <v>10</v>
      </c>
      <c r="K395" s="34">
        <f>VLOOKUP($A395, Stat!$A$1:$C$1000, 3,0)</f>
        <v>0</v>
      </c>
      <c r="L395" s="34">
        <v>1</v>
      </c>
      <c r="S395" s="38">
        <v>100</v>
      </c>
      <c r="T395" s="38">
        <v>0</v>
      </c>
      <c r="V395" s="38" t="s">
        <v>717</v>
      </c>
      <c r="X395" s="38">
        <v>1</v>
      </c>
    </row>
    <row r="396" spans="1:24" x14ac:dyDescent="0.25">
      <c r="A396" s="38">
        <v>423</v>
      </c>
      <c r="B396" s="38" t="s">
        <v>56</v>
      </c>
      <c r="C396" s="38" t="s">
        <v>56</v>
      </c>
      <c r="D396" s="38" t="s">
        <v>383</v>
      </c>
      <c r="E396" s="38" t="s">
        <v>616</v>
      </c>
      <c r="J396" s="34">
        <f>VLOOKUP($A396, Stat!$A$1:$C$1000, 2,0)</f>
        <v>4</v>
      </c>
      <c r="K396" s="34">
        <f>VLOOKUP($A396, Stat!$A$1:$C$1000, 3,0)</f>
        <v>1</v>
      </c>
      <c r="L396" s="34">
        <v>1</v>
      </c>
      <c r="S396" s="38">
        <v>100</v>
      </c>
      <c r="T396" s="38">
        <v>0</v>
      </c>
      <c r="V396" s="38" t="s">
        <v>717</v>
      </c>
      <c r="X396" s="38">
        <v>1</v>
      </c>
    </row>
    <row r="397" spans="1:24" x14ac:dyDescent="0.25">
      <c r="A397" s="38">
        <v>424</v>
      </c>
      <c r="B397" s="38" t="s">
        <v>56</v>
      </c>
      <c r="C397" s="38" t="s">
        <v>56</v>
      </c>
      <c r="D397" s="38" t="s">
        <v>384</v>
      </c>
      <c r="E397" s="38" t="s">
        <v>616</v>
      </c>
      <c r="J397" s="34">
        <f>VLOOKUP($A397, Stat!$A$1:$C$1000, 2,0)</f>
        <v>3</v>
      </c>
      <c r="K397" s="34">
        <f>VLOOKUP($A397, Stat!$A$1:$C$1000, 3,0)</f>
        <v>0</v>
      </c>
      <c r="L397" s="34">
        <v>1</v>
      </c>
      <c r="S397" s="38">
        <v>100</v>
      </c>
      <c r="T397" s="38">
        <v>0</v>
      </c>
      <c r="V397" s="38" t="s">
        <v>717</v>
      </c>
      <c r="X397" s="38">
        <v>1</v>
      </c>
    </row>
    <row r="398" spans="1:24" x14ac:dyDescent="0.25">
      <c r="A398" s="38">
        <v>425</v>
      </c>
      <c r="B398" s="38" t="s">
        <v>56</v>
      </c>
      <c r="C398" s="38" t="s">
        <v>56</v>
      </c>
      <c r="D398" s="38" t="s">
        <v>383</v>
      </c>
      <c r="E398" s="38" t="s">
        <v>617</v>
      </c>
      <c r="J398" s="34">
        <f>VLOOKUP($A398, Stat!$A$1:$C$1000, 2,0)</f>
        <v>4</v>
      </c>
      <c r="K398" s="34">
        <f>VLOOKUP($A398, Stat!$A$1:$C$1000, 3,0)</f>
        <v>0</v>
      </c>
      <c r="L398" s="34">
        <v>1</v>
      </c>
      <c r="S398" s="38">
        <v>100</v>
      </c>
      <c r="T398" s="38">
        <v>0</v>
      </c>
      <c r="V398" s="38" t="s">
        <v>717</v>
      </c>
      <c r="X398" s="38">
        <v>1</v>
      </c>
    </row>
    <row r="399" spans="1:24" x14ac:dyDescent="0.25">
      <c r="A399" s="38">
        <v>426</v>
      </c>
      <c r="B399" s="38" t="s">
        <v>56</v>
      </c>
      <c r="C399" s="38" t="s">
        <v>56</v>
      </c>
      <c r="D399" s="38" t="s">
        <v>384</v>
      </c>
      <c r="E399" s="38" t="s">
        <v>617</v>
      </c>
      <c r="J399" s="34">
        <f>VLOOKUP($A399, Stat!$A$1:$C$1000, 2,0)</f>
        <v>0</v>
      </c>
      <c r="K399" s="34">
        <f>VLOOKUP($A399, Stat!$A$1:$C$1000, 3,0)</f>
        <v>0</v>
      </c>
      <c r="L399" s="34">
        <v>1</v>
      </c>
      <c r="S399" s="38">
        <v>100</v>
      </c>
      <c r="T399" s="38">
        <v>0</v>
      </c>
      <c r="V399" s="38" t="s">
        <v>717</v>
      </c>
      <c r="X399" s="38">
        <v>1</v>
      </c>
    </row>
    <row r="400" spans="1:24" x14ac:dyDescent="0.25">
      <c r="A400" s="38">
        <v>427</v>
      </c>
      <c r="B400" s="38" t="s">
        <v>56</v>
      </c>
      <c r="C400" s="38" t="s">
        <v>159</v>
      </c>
      <c r="D400" s="38" t="s">
        <v>277</v>
      </c>
      <c r="E400" s="38" t="s">
        <v>619</v>
      </c>
      <c r="J400" s="34">
        <f>VLOOKUP($A400, Stat!$A$1:$C$1000, 2,0)</f>
        <v>24</v>
      </c>
      <c r="K400" s="34">
        <f>VLOOKUP($A400, Stat!$A$1:$C$1000, 3,0)</f>
        <v>0</v>
      </c>
      <c r="L400" s="34">
        <v>1</v>
      </c>
      <c r="S400" s="38">
        <v>60</v>
      </c>
      <c r="T400" s="38">
        <v>0</v>
      </c>
      <c r="V400" s="38" t="s">
        <v>748</v>
      </c>
      <c r="X400" s="38">
        <v>1</v>
      </c>
    </row>
    <row r="401" spans="1:24" x14ac:dyDescent="0.25">
      <c r="A401" s="38">
        <v>428</v>
      </c>
      <c r="B401" s="38" t="s">
        <v>37</v>
      </c>
      <c r="C401" s="38" t="s">
        <v>15</v>
      </c>
      <c r="D401" s="38" t="s">
        <v>16</v>
      </c>
      <c r="E401" s="38" t="s">
        <v>621</v>
      </c>
      <c r="F401" s="35" t="s">
        <v>464</v>
      </c>
      <c r="G401" s="35"/>
      <c r="H401" s="35"/>
      <c r="I401" s="35" t="s">
        <v>633</v>
      </c>
      <c r="J401" s="34">
        <f>VLOOKUP($A401, Stat!$A$1:$C$1000, 2,0)</f>
        <v>1</v>
      </c>
      <c r="K401" s="34">
        <f>VLOOKUP($A401, Stat!$A$1:$C$1000, 3,0)</f>
        <v>0</v>
      </c>
      <c r="L401" s="84"/>
      <c r="M401" s="34">
        <v>1</v>
      </c>
      <c r="R401" s="35" t="s">
        <v>632</v>
      </c>
      <c r="S401" s="38">
        <v>20</v>
      </c>
      <c r="T401" s="38">
        <v>0</v>
      </c>
      <c r="V401" s="38" t="s">
        <v>673</v>
      </c>
      <c r="X401" s="38">
        <v>1</v>
      </c>
    </row>
    <row r="402" spans="1:24" x14ac:dyDescent="0.25">
      <c r="A402" s="38">
        <v>429</v>
      </c>
      <c r="B402" s="38" t="s">
        <v>37</v>
      </c>
      <c r="C402" s="38" t="s">
        <v>15</v>
      </c>
      <c r="D402" s="38" t="s">
        <v>16</v>
      </c>
      <c r="E402" s="38" t="s">
        <v>622</v>
      </c>
      <c r="F402" s="35" t="s">
        <v>464</v>
      </c>
      <c r="G402" s="35"/>
      <c r="H402" s="35"/>
      <c r="I402" s="35" t="s">
        <v>633</v>
      </c>
      <c r="J402" s="34">
        <f>VLOOKUP($A402, Stat!$A$1:$C$1000, 2,0)</f>
        <v>1</v>
      </c>
      <c r="K402" s="34">
        <f>VLOOKUP($A402, Stat!$A$1:$C$1000, 3,0)</f>
        <v>0</v>
      </c>
      <c r="L402" s="84"/>
      <c r="M402" s="34">
        <v>1</v>
      </c>
      <c r="R402" s="35" t="s">
        <v>632</v>
      </c>
      <c r="S402" s="38">
        <v>20</v>
      </c>
      <c r="T402" s="38">
        <v>0</v>
      </c>
      <c r="V402" s="38" t="s">
        <v>673</v>
      </c>
      <c r="X402" s="38">
        <v>1</v>
      </c>
    </row>
    <row r="403" spans="1:24" x14ac:dyDescent="0.25">
      <c r="A403" s="38">
        <v>430</v>
      </c>
      <c r="B403" s="38" t="s">
        <v>37</v>
      </c>
      <c r="C403" s="38" t="s">
        <v>15</v>
      </c>
      <c r="D403" s="38" t="s">
        <v>17</v>
      </c>
      <c r="E403" s="38" t="s">
        <v>624</v>
      </c>
      <c r="F403" s="35" t="s">
        <v>464</v>
      </c>
      <c r="G403" s="35"/>
      <c r="H403" s="35"/>
      <c r="I403" s="35" t="s">
        <v>635</v>
      </c>
      <c r="J403" s="34">
        <f>VLOOKUP($A403, Stat!$A$1:$C$1000, 2,0)</f>
        <v>10</v>
      </c>
      <c r="K403" s="34">
        <f>VLOOKUP($A403, Stat!$A$1:$C$1000, 3,0)</f>
        <v>0</v>
      </c>
      <c r="L403" s="84"/>
      <c r="M403" s="34">
        <v>1</v>
      </c>
      <c r="R403" s="35" t="s">
        <v>632</v>
      </c>
      <c r="S403" s="38">
        <v>20</v>
      </c>
      <c r="T403" s="38">
        <v>0</v>
      </c>
      <c r="V403" s="38" t="s">
        <v>674</v>
      </c>
      <c r="X403" s="38">
        <v>1</v>
      </c>
    </row>
    <row r="404" spans="1:24" x14ac:dyDescent="0.25">
      <c r="A404" s="38">
        <v>431</v>
      </c>
      <c r="B404" s="38" t="s">
        <v>37</v>
      </c>
      <c r="C404" s="38" t="s">
        <v>15</v>
      </c>
      <c r="D404" s="38" t="s">
        <v>17</v>
      </c>
      <c r="E404" s="38" t="s">
        <v>625</v>
      </c>
      <c r="F404" s="35" t="s">
        <v>464</v>
      </c>
      <c r="G404" s="35"/>
      <c r="H404" s="35"/>
      <c r="I404" s="35" t="s">
        <v>636</v>
      </c>
      <c r="J404" s="34">
        <f>VLOOKUP($A404, Stat!$A$1:$C$1000, 2,0)</f>
        <v>3</v>
      </c>
      <c r="K404" s="34">
        <f>VLOOKUP($A404, Stat!$A$1:$C$1000, 3,0)</f>
        <v>0</v>
      </c>
      <c r="L404" s="84"/>
      <c r="M404" s="34">
        <v>1</v>
      </c>
      <c r="R404" s="35" t="s">
        <v>632</v>
      </c>
      <c r="S404" s="38">
        <v>20</v>
      </c>
      <c r="T404" s="38">
        <v>0</v>
      </c>
      <c r="V404" s="38" t="s">
        <v>674</v>
      </c>
      <c r="X404" s="38">
        <v>1</v>
      </c>
    </row>
    <row r="405" spans="1:24" x14ac:dyDescent="0.25">
      <c r="A405" s="38">
        <v>432</v>
      </c>
      <c r="B405" s="38" t="s">
        <v>56</v>
      </c>
      <c r="C405" s="38" t="s">
        <v>53</v>
      </c>
      <c r="D405" s="38" t="s">
        <v>799</v>
      </c>
      <c r="E405" s="38" t="s">
        <v>867</v>
      </c>
      <c r="F405" s="34">
        <v>8</v>
      </c>
      <c r="I405" s="34" t="s">
        <v>547</v>
      </c>
      <c r="J405" s="34">
        <f>VLOOKUP($A405, Stat!$A$1:$C$1000, 2,0)</f>
        <v>2</v>
      </c>
      <c r="K405" s="34">
        <f>VLOOKUP($A405, Stat!$A$1:$C$1000, 3,0)</f>
        <v>0</v>
      </c>
      <c r="L405" s="34">
        <v>1</v>
      </c>
      <c r="P405" s="34">
        <v>157</v>
      </c>
      <c r="S405" s="38">
        <v>0</v>
      </c>
      <c r="T405" s="38">
        <v>1</v>
      </c>
      <c r="W405" s="38" t="s">
        <v>866</v>
      </c>
      <c r="X405" s="38">
        <v>1</v>
      </c>
    </row>
    <row r="406" spans="1:24" x14ac:dyDescent="0.25">
      <c r="A406" s="38">
        <v>433</v>
      </c>
      <c r="B406" s="38" t="s">
        <v>37</v>
      </c>
      <c r="C406" s="38" t="s">
        <v>15</v>
      </c>
      <c r="D406" s="38" t="s">
        <v>786</v>
      </c>
      <c r="E406" s="38" t="s">
        <v>787</v>
      </c>
      <c r="F406" s="34">
        <v>1</v>
      </c>
      <c r="J406" s="34">
        <f>VLOOKUP($A406, Stat!$A$1:$C$1000, 2,0)</f>
        <v>172</v>
      </c>
      <c r="K406" s="34">
        <f>VLOOKUP($A406, Stat!$A$1:$C$1000, 3,0)</f>
        <v>0</v>
      </c>
      <c r="L406" s="34">
        <v>1</v>
      </c>
      <c r="S406" s="38">
        <v>100</v>
      </c>
      <c r="T406" s="38">
        <v>0</v>
      </c>
      <c r="W406" s="38" t="s">
        <v>763</v>
      </c>
      <c r="X406" s="38">
        <v>1</v>
      </c>
    </row>
    <row r="407" spans="1:24" x14ac:dyDescent="0.25">
      <c r="A407" s="38">
        <v>434</v>
      </c>
      <c r="B407" s="38" t="s">
        <v>35</v>
      </c>
      <c r="C407" s="38" t="s">
        <v>14</v>
      </c>
      <c r="D407" s="38" t="s">
        <v>771</v>
      </c>
      <c r="E407" s="38" t="s">
        <v>280</v>
      </c>
      <c r="F407" s="34">
        <v>9</v>
      </c>
      <c r="I407" s="87" t="s">
        <v>472</v>
      </c>
      <c r="J407" s="34">
        <f>VLOOKUP($A407, Stat!$A$1:$C$1000, 2,0)</f>
        <v>2</v>
      </c>
      <c r="K407" s="34">
        <f>VLOOKUP($A407, Stat!$A$1:$C$1000, 3,0)</f>
        <v>0</v>
      </c>
      <c r="L407" s="84"/>
      <c r="S407" s="38">
        <v>100</v>
      </c>
      <c r="T407" s="38">
        <v>0</v>
      </c>
      <c r="W407" s="38" t="s">
        <v>671</v>
      </c>
      <c r="X407" s="38">
        <v>1</v>
      </c>
    </row>
    <row r="408" spans="1:24" x14ac:dyDescent="0.25">
      <c r="A408" s="38">
        <v>435</v>
      </c>
      <c r="B408" s="38" t="s">
        <v>35</v>
      </c>
      <c r="C408" s="38" t="s">
        <v>14</v>
      </c>
      <c r="D408" s="38" t="s">
        <v>771</v>
      </c>
      <c r="E408" s="38" t="s">
        <v>343</v>
      </c>
      <c r="F408" s="34">
        <v>9</v>
      </c>
      <c r="I408" s="87" t="s">
        <v>472</v>
      </c>
      <c r="J408" s="34">
        <f>VLOOKUP($A408, Stat!$A$1:$C$1000, 2,0)</f>
        <v>7</v>
      </c>
      <c r="K408" s="34">
        <f>VLOOKUP($A408, Stat!$A$1:$C$1000, 3,0)</f>
        <v>0</v>
      </c>
      <c r="L408" s="84"/>
      <c r="S408" s="38">
        <v>60</v>
      </c>
      <c r="T408" s="38">
        <v>0</v>
      </c>
      <c r="W408" s="38" t="s">
        <v>671</v>
      </c>
      <c r="X408" s="38">
        <v>1</v>
      </c>
    </row>
    <row r="409" spans="1:24" x14ac:dyDescent="0.25">
      <c r="A409" s="38">
        <v>436</v>
      </c>
      <c r="B409" s="38" t="s">
        <v>35</v>
      </c>
      <c r="C409" s="38" t="s">
        <v>14</v>
      </c>
      <c r="D409" s="38" t="s">
        <v>771</v>
      </c>
      <c r="E409" s="38" t="s">
        <v>764</v>
      </c>
      <c r="F409" s="34">
        <v>9</v>
      </c>
      <c r="I409" s="87" t="s">
        <v>472</v>
      </c>
      <c r="J409" s="34">
        <f>VLOOKUP($A409, Stat!$A$1:$C$1000, 2,0)</f>
        <v>3</v>
      </c>
      <c r="K409" s="34">
        <f>VLOOKUP($A409, Stat!$A$1:$C$1000, 3,0)</f>
        <v>0</v>
      </c>
      <c r="L409" s="84"/>
      <c r="S409" s="38">
        <v>60</v>
      </c>
      <c r="T409" s="38">
        <v>0</v>
      </c>
      <c r="W409" s="38" t="s">
        <v>671</v>
      </c>
      <c r="X409" s="38">
        <v>1</v>
      </c>
    </row>
    <row r="410" spans="1:24" x14ac:dyDescent="0.25">
      <c r="A410" s="38">
        <v>437</v>
      </c>
      <c r="B410" s="38" t="s">
        <v>35</v>
      </c>
      <c r="C410" s="38" t="s">
        <v>14</v>
      </c>
      <c r="D410" s="38" t="s">
        <v>771</v>
      </c>
      <c r="E410" s="38" t="s">
        <v>381</v>
      </c>
      <c r="F410" s="34">
        <v>9</v>
      </c>
      <c r="I410" s="87" t="s">
        <v>472</v>
      </c>
      <c r="J410" s="34">
        <f>VLOOKUP($A410, Stat!$A$1:$C$1000, 2,0)</f>
        <v>3</v>
      </c>
      <c r="K410" s="34">
        <f>VLOOKUP($A410, Stat!$A$1:$C$1000, 3,0)</f>
        <v>0</v>
      </c>
      <c r="L410" s="84"/>
      <c r="S410" s="38">
        <v>0</v>
      </c>
      <c r="T410" s="38">
        <v>0</v>
      </c>
      <c r="W410" s="38" t="s">
        <v>671</v>
      </c>
      <c r="X410" s="38">
        <v>1</v>
      </c>
    </row>
    <row r="411" spans="1:24" x14ac:dyDescent="0.25">
      <c r="A411" s="38">
        <v>438</v>
      </c>
      <c r="B411" s="38" t="s">
        <v>35</v>
      </c>
      <c r="C411" s="38" t="s">
        <v>14</v>
      </c>
      <c r="D411" s="38" t="s">
        <v>770</v>
      </c>
      <c r="E411" s="38" t="s">
        <v>280</v>
      </c>
      <c r="F411" s="34">
        <v>9</v>
      </c>
      <c r="I411" s="87" t="s">
        <v>472</v>
      </c>
      <c r="J411" s="34">
        <f>VLOOKUP($A411, Stat!$A$1:$C$1000, 2,0)</f>
        <v>4</v>
      </c>
      <c r="K411" s="34">
        <f>VLOOKUP($A411, Stat!$A$1:$C$1000, 3,0)</f>
        <v>0</v>
      </c>
      <c r="L411" s="84"/>
      <c r="S411" s="38">
        <v>100</v>
      </c>
      <c r="T411" s="38">
        <v>0</v>
      </c>
      <c r="W411" s="38" t="s">
        <v>671</v>
      </c>
      <c r="X411" s="38">
        <v>1</v>
      </c>
    </row>
    <row r="412" spans="1:24" x14ac:dyDescent="0.25">
      <c r="A412" s="38">
        <v>439</v>
      </c>
      <c r="B412" s="38" t="s">
        <v>35</v>
      </c>
      <c r="C412" s="38" t="s">
        <v>14</v>
      </c>
      <c r="D412" s="38" t="s">
        <v>770</v>
      </c>
      <c r="E412" s="38" t="s">
        <v>343</v>
      </c>
      <c r="F412" s="34">
        <v>9</v>
      </c>
      <c r="I412" s="87" t="s">
        <v>472</v>
      </c>
      <c r="J412" s="34">
        <f>VLOOKUP($A412, Stat!$A$1:$C$1000, 2,0)</f>
        <v>2</v>
      </c>
      <c r="K412" s="34">
        <f>VLOOKUP($A412, Stat!$A$1:$C$1000, 3,0)</f>
        <v>0</v>
      </c>
      <c r="L412" s="84"/>
      <c r="S412" s="38">
        <v>60</v>
      </c>
      <c r="T412" s="38">
        <v>0</v>
      </c>
      <c r="W412" s="38" t="s">
        <v>671</v>
      </c>
      <c r="X412" s="38">
        <v>1</v>
      </c>
    </row>
    <row r="413" spans="1:24" x14ac:dyDescent="0.25">
      <c r="A413" s="38">
        <v>440</v>
      </c>
      <c r="B413" s="38" t="s">
        <v>35</v>
      </c>
      <c r="C413" s="38" t="s">
        <v>14</v>
      </c>
      <c r="D413" s="38" t="s">
        <v>770</v>
      </c>
      <c r="E413" s="38" t="s">
        <v>764</v>
      </c>
      <c r="F413" s="34">
        <v>9</v>
      </c>
      <c r="I413" s="87" t="s">
        <v>472</v>
      </c>
      <c r="J413" s="34">
        <f>VLOOKUP($A413, Stat!$A$1:$C$1000, 2,0)</f>
        <v>0</v>
      </c>
      <c r="K413" s="34">
        <f>VLOOKUP($A413, Stat!$A$1:$C$1000, 3,0)</f>
        <v>0</v>
      </c>
      <c r="L413" s="84"/>
      <c r="S413" s="38">
        <v>60</v>
      </c>
      <c r="T413" s="38">
        <v>0</v>
      </c>
      <c r="W413" s="38" t="s">
        <v>671</v>
      </c>
      <c r="X413" s="38">
        <v>1</v>
      </c>
    </row>
    <row r="414" spans="1:24" x14ac:dyDescent="0.25">
      <c r="A414" s="38">
        <v>441</v>
      </c>
      <c r="B414" s="38" t="s">
        <v>35</v>
      </c>
      <c r="C414" s="38" t="s">
        <v>14</v>
      </c>
      <c r="D414" s="38" t="s">
        <v>770</v>
      </c>
      <c r="E414" s="38" t="s">
        <v>381</v>
      </c>
      <c r="F414" s="34">
        <v>9</v>
      </c>
      <c r="I414" s="87" t="s">
        <v>472</v>
      </c>
      <c r="J414" s="34">
        <f>VLOOKUP($A414, Stat!$A$1:$C$1000, 2,0)</f>
        <v>1</v>
      </c>
      <c r="K414" s="34">
        <f>VLOOKUP($A414, Stat!$A$1:$C$1000, 3,0)</f>
        <v>0</v>
      </c>
      <c r="L414" s="84"/>
      <c r="S414" s="38">
        <v>0</v>
      </c>
      <c r="T414" s="38">
        <v>0</v>
      </c>
      <c r="W414" s="38" t="s">
        <v>671</v>
      </c>
      <c r="X414" s="38">
        <v>1</v>
      </c>
    </row>
    <row r="415" spans="1:24" x14ac:dyDescent="0.25">
      <c r="A415" s="38">
        <v>442</v>
      </c>
      <c r="B415" s="38" t="s">
        <v>35</v>
      </c>
      <c r="C415" s="38" t="s">
        <v>14</v>
      </c>
      <c r="D415" s="38" t="s">
        <v>766</v>
      </c>
      <c r="E415" s="38" t="s">
        <v>280</v>
      </c>
      <c r="F415" s="34">
        <v>9</v>
      </c>
      <c r="I415" s="87" t="s">
        <v>472</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766</v>
      </c>
      <c r="E416" s="38" t="s">
        <v>373</v>
      </c>
      <c r="F416" s="34">
        <v>9</v>
      </c>
      <c r="I416" s="87" t="s">
        <v>472</v>
      </c>
      <c r="J416" s="34">
        <f>VLOOKUP($A416, Stat!$A$1:$C$1000, 2,0)</f>
        <v>2</v>
      </c>
      <c r="K416" s="34">
        <f>VLOOKUP($A416, Stat!$A$1:$C$1000, 3,0)</f>
        <v>0</v>
      </c>
      <c r="L416" s="84"/>
      <c r="S416" s="38">
        <v>60</v>
      </c>
      <c r="T416" s="38">
        <v>0</v>
      </c>
      <c r="W416" s="38" t="s">
        <v>671</v>
      </c>
      <c r="X416" s="38">
        <v>1</v>
      </c>
    </row>
    <row r="417" spans="1:24" x14ac:dyDescent="0.25">
      <c r="A417" s="38">
        <v>444</v>
      </c>
      <c r="B417" s="38" t="s">
        <v>35</v>
      </c>
      <c r="C417" s="38" t="s">
        <v>14</v>
      </c>
      <c r="D417" s="38" t="s">
        <v>766</v>
      </c>
      <c r="E417" s="38" t="s">
        <v>764</v>
      </c>
      <c r="F417" s="34">
        <v>9</v>
      </c>
      <c r="I417" s="87" t="s">
        <v>472</v>
      </c>
      <c r="J417" s="34">
        <f>VLOOKUP($A417, Stat!$A$1:$C$1000, 2,0)</f>
        <v>2</v>
      </c>
      <c r="K417" s="34">
        <f>VLOOKUP($A417, Stat!$A$1:$C$1000, 3,0)</f>
        <v>0</v>
      </c>
      <c r="L417" s="84"/>
      <c r="S417" s="38">
        <v>60</v>
      </c>
      <c r="T417" s="38">
        <v>0</v>
      </c>
      <c r="W417" s="38" t="s">
        <v>671</v>
      </c>
      <c r="X417" s="38">
        <v>1</v>
      </c>
    </row>
    <row r="418" spans="1:24" x14ac:dyDescent="0.25">
      <c r="A418" s="38">
        <v>445</v>
      </c>
      <c r="B418" s="38" t="s">
        <v>35</v>
      </c>
      <c r="C418" s="38" t="s">
        <v>14</v>
      </c>
      <c r="D418" s="38" t="s">
        <v>766</v>
      </c>
      <c r="E418" s="38" t="s">
        <v>287</v>
      </c>
      <c r="F418" s="34">
        <v>9</v>
      </c>
      <c r="I418" s="87" t="s">
        <v>472</v>
      </c>
      <c r="J418" s="34">
        <f>VLOOKUP($A418, Stat!$A$1:$C$1000, 2,0)</f>
        <v>0</v>
      </c>
      <c r="K418" s="34">
        <f>VLOOKUP($A418, Stat!$A$1:$C$1000, 3,0)</f>
        <v>0</v>
      </c>
      <c r="L418" s="84"/>
      <c r="S418" s="38">
        <v>0</v>
      </c>
      <c r="T418" s="38">
        <v>0</v>
      </c>
      <c r="W418" s="38" t="s">
        <v>671</v>
      </c>
      <c r="X418" s="38">
        <v>1</v>
      </c>
    </row>
    <row r="419" spans="1:24" x14ac:dyDescent="0.25">
      <c r="A419" s="38">
        <v>446</v>
      </c>
      <c r="B419" s="38" t="s">
        <v>35</v>
      </c>
      <c r="C419" s="38" t="s">
        <v>14</v>
      </c>
      <c r="D419" s="38" t="s">
        <v>769</v>
      </c>
      <c r="E419" s="38" t="s">
        <v>280</v>
      </c>
      <c r="F419" s="34">
        <v>9</v>
      </c>
      <c r="I419" s="87" t="s">
        <v>472</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769</v>
      </c>
      <c r="E420" s="38" t="s">
        <v>564</v>
      </c>
      <c r="F420" s="34">
        <v>9</v>
      </c>
      <c r="I420" s="87" t="s">
        <v>472</v>
      </c>
      <c r="J420" s="34">
        <f>VLOOKUP($A420, Stat!$A$1:$C$1000, 2,0)</f>
        <v>2</v>
      </c>
      <c r="K420" s="34">
        <f>VLOOKUP($A420, Stat!$A$1:$C$1000, 3,0)</f>
        <v>0</v>
      </c>
      <c r="L420" s="84"/>
      <c r="S420" s="38">
        <v>60</v>
      </c>
      <c r="T420" s="38">
        <v>0</v>
      </c>
      <c r="W420" s="38" t="s">
        <v>671</v>
      </c>
      <c r="X420" s="38">
        <v>1</v>
      </c>
    </row>
    <row r="421" spans="1:24" x14ac:dyDescent="0.25">
      <c r="A421" s="38">
        <v>448</v>
      </c>
      <c r="B421" s="38" t="s">
        <v>35</v>
      </c>
      <c r="C421" s="38" t="s">
        <v>14</v>
      </c>
      <c r="D421" s="38" t="s">
        <v>769</v>
      </c>
      <c r="E421" s="38" t="s">
        <v>765</v>
      </c>
      <c r="F421" s="34">
        <v>9</v>
      </c>
      <c r="I421" s="87" t="s">
        <v>472</v>
      </c>
      <c r="J421" s="34">
        <f>VLOOKUP($A421, Stat!$A$1:$C$1000, 2,0)</f>
        <v>1</v>
      </c>
      <c r="K421" s="34">
        <f>VLOOKUP($A421, Stat!$A$1:$C$1000, 3,0)</f>
        <v>0</v>
      </c>
      <c r="L421" s="84"/>
      <c r="S421" s="38">
        <v>60</v>
      </c>
      <c r="T421" s="38">
        <v>0</v>
      </c>
      <c r="W421" s="38" t="s">
        <v>671</v>
      </c>
      <c r="X421" s="38">
        <v>1</v>
      </c>
    </row>
    <row r="422" spans="1:24" x14ac:dyDescent="0.25">
      <c r="A422" s="38">
        <v>449</v>
      </c>
      <c r="B422" s="38" t="s">
        <v>35</v>
      </c>
      <c r="C422" s="38" t="s">
        <v>14</v>
      </c>
      <c r="D422" s="38" t="s">
        <v>769</v>
      </c>
      <c r="E422" s="38" t="s">
        <v>565</v>
      </c>
      <c r="F422" s="34">
        <v>9</v>
      </c>
      <c r="I422" s="87" t="s">
        <v>472</v>
      </c>
      <c r="J422" s="34">
        <f>VLOOKUP($A422, Stat!$A$1:$C$1000, 2,0)</f>
        <v>0</v>
      </c>
      <c r="K422" s="34">
        <f>VLOOKUP($A422, Stat!$A$1:$C$1000, 3,0)</f>
        <v>0</v>
      </c>
      <c r="L422" s="84"/>
      <c r="S422" s="38">
        <v>0</v>
      </c>
      <c r="T422" s="38">
        <v>0</v>
      </c>
      <c r="W422" s="38" t="s">
        <v>671</v>
      </c>
      <c r="X422" s="38">
        <v>1</v>
      </c>
    </row>
    <row r="423" spans="1:24" x14ac:dyDescent="0.25">
      <c r="A423" s="38">
        <v>450</v>
      </c>
      <c r="B423" s="38" t="s">
        <v>35</v>
      </c>
      <c r="C423" s="38" t="s">
        <v>14</v>
      </c>
      <c r="D423" s="38" t="s">
        <v>767</v>
      </c>
      <c r="E423" s="38" t="s">
        <v>280</v>
      </c>
      <c r="F423" s="34">
        <v>9</v>
      </c>
      <c r="I423" s="87" t="s">
        <v>472</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767</v>
      </c>
      <c r="E424" s="38" t="s">
        <v>343</v>
      </c>
      <c r="F424" s="34">
        <v>9</v>
      </c>
      <c r="I424" s="87" t="s">
        <v>472</v>
      </c>
      <c r="J424" s="34">
        <f>VLOOKUP($A424, Stat!$A$1:$C$1000, 2,0)</f>
        <v>1</v>
      </c>
      <c r="K424" s="34">
        <f>VLOOKUP($A424, Stat!$A$1:$C$1000, 3,0)</f>
        <v>0</v>
      </c>
      <c r="L424" s="84"/>
      <c r="S424" s="38">
        <v>60</v>
      </c>
      <c r="T424" s="38">
        <v>0</v>
      </c>
      <c r="W424" s="38" t="s">
        <v>671</v>
      </c>
      <c r="X424" s="38">
        <v>1</v>
      </c>
    </row>
    <row r="425" spans="1:24" x14ac:dyDescent="0.25">
      <c r="A425" s="38">
        <v>452</v>
      </c>
      <c r="B425" s="38" t="s">
        <v>35</v>
      </c>
      <c r="C425" s="38" t="s">
        <v>14</v>
      </c>
      <c r="D425" s="38" t="s">
        <v>767</v>
      </c>
      <c r="E425" s="38" t="s">
        <v>764</v>
      </c>
      <c r="F425" s="34">
        <v>9</v>
      </c>
      <c r="I425" s="87" t="s">
        <v>472</v>
      </c>
      <c r="J425" s="34">
        <f>VLOOKUP($A425, Stat!$A$1:$C$1000, 2,0)</f>
        <v>1</v>
      </c>
      <c r="K425" s="34">
        <f>VLOOKUP($A425, Stat!$A$1:$C$1000, 3,0)</f>
        <v>0</v>
      </c>
      <c r="L425" s="84"/>
      <c r="S425" s="38">
        <v>60</v>
      </c>
      <c r="T425" s="38">
        <v>0</v>
      </c>
      <c r="W425" s="38" t="s">
        <v>671</v>
      </c>
      <c r="X425" s="38">
        <v>1</v>
      </c>
    </row>
    <row r="426" spans="1:24" x14ac:dyDescent="0.25">
      <c r="A426" s="38">
        <v>453</v>
      </c>
      <c r="B426" s="38" t="s">
        <v>35</v>
      </c>
      <c r="C426" s="38" t="s">
        <v>14</v>
      </c>
      <c r="D426" s="38" t="s">
        <v>767</v>
      </c>
      <c r="E426" s="38" t="s">
        <v>381</v>
      </c>
      <c r="F426" s="34">
        <v>9</v>
      </c>
      <c r="I426" s="87" t="s">
        <v>472</v>
      </c>
      <c r="J426" s="34">
        <f>VLOOKUP($A426, Stat!$A$1:$C$1000, 2,0)</f>
        <v>1</v>
      </c>
      <c r="K426" s="34">
        <f>VLOOKUP($A426, Stat!$A$1:$C$1000, 3,0)</f>
        <v>0</v>
      </c>
      <c r="L426" s="84"/>
      <c r="S426" s="38">
        <v>0</v>
      </c>
      <c r="T426" s="38">
        <v>0</v>
      </c>
      <c r="W426" s="38" t="s">
        <v>671</v>
      </c>
      <c r="X426" s="38">
        <v>1</v>
      </c>
    </row>
    <row r="427" spans="1:24" x14ac:dyDescent="0.25">
      <c r="A427" s="38">
        <v>454</v>
      </c>
      <c r="B427" s="38" t="s">
        <v>35</v>
      </c>
      <c r="C427" s="38" t="s">
        <v>14</v>
      </c>
      <c r="D427" s="38" t="s">
        <v>768</v>
      </c>
      <c r="E427" s="38" t="s">
        <v>280</v>
      </c>
      <c r="F427" s="34">
        <v>9</v>
      </c>
      <c r="I427" s="87" t="s">
        <v>472</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768</v>
      </c>
      <c r="E428" s="38" t="s">
        <v>564</v>
      </c>
      <c r="F428" s="34">
        <v>9</v>
      </c>
      <c r="I428" s="87" t="s">
        <v>472</v>
      </c>
      <c r="J428" s="34">
        <f>VLOOKUP($A428, Stat!$A$1:$C$1000, 2,0)</f>
        <v>5</v>
      </c>
      <c r="K428" s="34">
        <f>VLOOKUP($A428, Stat!$A$1:$C$1000, 3,0)</f>
        <v>0</v>
      </c>
      <c r="L428" s="84"/>
      <c r="S428" s="38">
        <v>60</v>
      </c>
      <c r="T428" s="38">
        <v>0</v>
      </c>
      <c r="W428" s="38" t="s">
        <v>671</v>
      </c>
      <c r="X428" s="38">
        <v>1</v>
      </c>
    </row>
    <row r="429" spans="1:24" x14ac:dyDescent="0.25">
      <c r="A429" s="38">
        <v>456</v>
      </c>
      <c r="B429" s="38" t="s">
        <v>35</v>
      </c>
      <c r="C429" s="38" t="s">
        <v>14</v>
      </c>
      <c r="D429" s="38" t="s">
        <v>768</v>
      </c>
      <c r="E429" s="38" t="s">
        <v>765</v>
      </c>
      <c r="F429" s="34">
        <v>9</v>
      </c>
      <c r="I429" s="87" t="s">
        <v>472</v>
      </c>
      <c r="J429" s="34">
        <f>VLOOKUP($A429, Stat!$A$1:$C$1000, 2,0)</f>
        <v>6</v>
      </c>
      <c r="K429" s="34">
        <f>VLOOKUP($A429, Stat!$A$1:$C$1000, 3,0)</f>
        <v>0</v>
      </c>
      <c r="L429" s="84"/>
      <c r="S429" s="38">
        <v>60</v>
      </c>
      <c r="T429" s="38">
        <v>0</v>
      </c>
      <c r="W429" s="38" t="s">
        <v>671</v>
      </c>
      <c r="X429" s="38">
        <v>1</v>
      </c>
    </row>
    <row r="430" spans="1:24" x14ac:dyDescent="0.25">
      <c r="A430" s="38">
        <v>457</v>
      </c>
      <c r="B430" s="38" t="s">
        <v>35</v>
      </c>
      <c r="C430" s="38" t="s">
        <v>14</v>
      </c>
      <c r="D430" s="38" t="s">
        <v>768</v>
      </c>
      <c r="E430" s="38" t="s">
        <v>565</v>
      </c>
      <c r="F430" s="34">
        <v>9</v>
      </c>
      <c r="I430" s="87" t="s">
        <v>472</v>
      </c>
      <c r="J430" s="34">
        <f>VLOOKUP($A430, Stat!$A$1:$C$1000, 2,0)</f>
        <v>6</v>
      </c>
      <c r="K430" s="34">
        <f>VLOOKUP($A430, Stat!$A$1:$C$1000, 3,0)</f>
        <v>0</v>
      </c>
      <c r="L430" s="84"/>
      <c r="S430" s="38">
        <v>0</v>
      </c>
      <c r="T430" s="38">
        <v>0</v>
      </c>
      <c r="W430" s="38" t="s">
        <v>671</v>
      </c>
      <c r="X430" s="38">
        <v>1</v>
      </c>
    </row>
    <row r="431" spans="1:24" x14ac:dyDescent="0.25">
      <c r="A431" s="38">
        <v>458</v>
      </c>
      <c r="B431" s="38" t="s">
        <v>56</v>
      </c>
      <c r="C431" s="38" t="s">
        <v>159</v>
      </c>
      <c r="D431" s="38" t="s">
        <v>150</v>
      </c>
      <c r="E431" s="38" t="s">
        <v>773</v>
      </c>
      <c r="J431" s="34">
        <f>VLOOKUP($A431, Stat!$A$1:$C$1000, 2,0)</f>
        <v>23</v>
      </c>
      <c r="K431" s="34">
        <f>VLOOKUP($A431, Stat!$A$1:$C$1000, 3,0)</f>
        <v>6</v>
      </c>
      <c r="S431" s="38">
        <v>100</v>
      </c>
      <c r="T431" s="38">
        <v>0</v>
      </c>
      <c r="W431" s="38" t="s">
        <v>774</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775</v>
      </c>
      <c r="X432" s="38">
        <v>1</v>
      </c>
    </row>
    <row r="433" spans="1:24" x14ac:dyDescent="0.25">
      <c r="A433" s="38">
        <v>460</v>
      </c>
      <c r="B433" s="38" t="s">
        <v>35</v>
      </c>
      <c r="C433" s="38" t="s">
        <v>567</v>
      </c>
      <c r="D433" s="38" t="s">
        <v>803</v>
      </c>
      <c r="E433" s="38" t="s">
        <v>2</v>
      </c>
      <c r="F433" s="34">
        <v>5</v>
      </c>
      <c r="J433" s="34">
        <f>VLOOKUP($A433, Stat!$A$1:$C$1000, 2,0)</f>
        <v>0</v>
      </c>
      <c r="K433" s="34">
        <f>VLOOKUP($A433, Stat!$A$1:$C$1000, 3,0)</f>
        <v>0</v>
      </c>
      <c r="L433" s="34">
        <v>1</v>
      </c>
      <c r="P433" s="35" t="s">
        <v>586</v>
      </c>
      <c r="S433" s="38">
        <v>60</v>
      </c>
      <c r="T433" s="38">
        <v>0</v>
      </c>
      <c r="V433" s="38" t="s">
        <v>808</v>
      </c>
      <c r="X433" s="38">
        <v>1</v>
      </c>
    </row>
    <row r="434" spans="1:24" x14ac:dyDescent="0.25">
      <c r="A434" s="38">
        <v>461</v>
      </c>
      <c r="B434" s="38" t="s">
        <v>35</v>
      </c>
      <c r="C434" s="38" t="s">
        <v>567</v>
      </c>
      <c r="D434" s="38" t="s">
        <v>803</v>
      </c>
      <c r="E434" s="38" t="s">
        <v>3</v>
      </c>
      <c r="F434" s="34">
        <v>5</v>
      </c>
      <c r="J434" s="34">
        <f>VLOOKUP($A434, Stat!$A$1:$C$1000, 2,0)</f>
        <v>0</v>
      </c>
      <c r="K434" s="34">
        <f>VLOOKUP($A434, Stat!$A$1:$C$1000, 3,0)</f>
        <v>0</v>
      </c>
      <c r="L434" s="34">
        <v>1</v>
      </c>
      <c r="P434" s="35" t="s">
        <v>590</v>
      </c>
      <c r="S434" s="38">
        <v>60</v>
      </c>
      <c r="T434" s="38">
        <v>0</v>
      </c>
      <c r="V434" s="38" t="s">
        <v>808</v>
      </c>
      <c r="X434" s="38">
        <v>1</v>
      </c>
    </row>
    <row r="435" spans="1:24" x14ac:dyDescent="0.25">
      <c r="A435" s="38">
        <v>462</v>
      </c>
      <c r="B435" s="38" t="s">
        <v>35</v>
      </c>
      <c r="C435" s="38" t="s">
        <v>567</v>
      </c>
      <c r="D435" s="38" t="s">
        <v>803</v>
      </c>
      <c r="E435" s="38" t="s">
        <v>4</v>
      </c>
      <c r="F435" s="34">
        <v>5</v>
      </c>
      <c r="J435" s="34">
        <f>VLOOKUP($A435, Stat!$A$1:$C$1000, 2,0)</f>
        <v>0</v>
      </c>
      <c r="K435" s="34">
        <f>VLOOKUP($A435, Stat!$A$1:$C$1000, 3,0)</f>
        <v>0</v>
      </c>
      <c r="L435" s="34">
        <v>1</v>
      </c>
      <c r="P435" s="35" t="s">
        <v>591</v>
      </c>
      <c r="S435" s="38">
        <v>100</v>
      </c>
      <c r="T435" s="38">
        <v>0</v>
      </c>
      <c r="V435" s="38" t="s">
        <v>808</v>
      </c>
      <c r="X435" s="38">
        <v>1</v>
      </c>
    </row>
    <row r="436" spans="1:24" x14ac:dyDescent="0.25">
      <c r="A436" s="38">
        <v>463</v>
      </c>
      <c r="B436" s="38" t="s">
        <v>35</v>
      </c>
      <c r="C436" s="38" t="s">
        <v>567</v>
      </c>
      <c r="D436" s="38" t="s">
        <v>803</v>
      </c>
      <c r="E436" s="38" t="s">
        <v>47</v>
      </c>
      <c r="F436" s="34">
        <v>5</v>
      </c>
      <c r="J436" s="34">
        <f>VLOOKUP($A436, Stat!$A$1:$C$1000, 2,0)</f>
        <v>1</v>
      </c>
      <c r="K436" s="34">
        <f>VLOOKUP($A436, Stat!$A$1:$C$1000, 3,0)</f>
        <v>1</v>
      </c>
      <c r="L436" s="34">
        <v>1</v>
      </c>
      <c r="P436" s="35" t="s">
        <v>592</v>
      </c>
      <c r="S436" s="38">
        <v>100</v>
      </c>
      <c r="T436" s="38">
        <v>0</v>
      </c>
      <c r="V436" s="38" t="s">
        <v>808</v>
      </c>
      <c r="X436" s="38">
        <v>1</v>
      </c>
    </row>
    <row r="437" spans="1:24" x14ac:dyDescent="0.25">
      <c r="A437" s="38">
        <v>464</v>
      </c>
      <c r="B437" s="38" t="s">
        <v>35</v>
      </c>
      <c r="C437" s="38" t="s">
        <v>567</v>
      </c>
      <c r="D437" s="38" t="s">
        <v>805</v>
      </c>
      <c r="E437" s="38" t="s">
        <v>2</v>
      </c>
      <c r="F437" s="34">
        <v>5</v>
      </c>
      <c r="J437" s="34">
        <f>VLOOKUP($A437, Stat!$A$1:$C$1000, 2,0)</f>
        <v>1</v>
      </c>
      <c r="K437" s="34">
        <f>VLOOKUP($A437, Stat!$A$1:$C$1000, 3,0)</f>
        <v>1</v>
      </c>
      <c r="L437" s="34">
        <v>1</v>
      </c>
      <c r="P437" s="35" t="s">
        <v>844</v>
      </c>
      <c r="S437" s="38">
        <v>60</v>
      </c>
      <c r="T437" s="38">
        <v>0</v>
      </c>
      <c r="V437" s="38" t="s">
        <v>809</v>
      </c>
      <c r="X437" s="38">
        <v>1</v>
      </c>
    </row>
    <row r="438" spans="1:24" x14ac:dyDescent="0.25">
      <c r="A438" s="38">
        <v>465</v>
      </c>
      <c r="B438" s="38" t="s">
        <v>35</v>
      </c>
      <c r="C438" s="38" t="s">
        <v>567</v>
      </c>
      <c r="D438" s="38" t="s">
        <v>805</v>
      </c>
      <c r="E438" s="38" t="s">
        <v>3</v>
      </c>
      <c r="F438" s="34">
        <v>5</v>
      </c>
      <c r="J438" s="34">
        <f>VLOOKUP($A438, Stat!$A$1:$C$1000, 2,0)</f>
        <v>1</v>
      </c>
      <c r="K438" s="34">
        <f>VLOOKUP($A438, Stat!$A$1:$C$1000, 3,0)</f>
        <v>0</v>
      </c>
      <c r="L438" s="34">
        <v>1</v>
      </c>
      <c r="P438" s="35" t="s">
        <v>845</v>
      </c>
      <c r="S438" s="38">
        <v>60</v>
      </c>
      <c r="T438" s="38">
        <v>0</v>
      </c>
      <c r="V438" s="38" t="s">
        <v>809</v>
      </c>
      <c r="X438" s="38">
        <v>1</v>
      </c>
    </row>
    <row r="439" spans="1:24" x14ac:dyDescent="0.25">
      <c r="A439" s="38">
        <v>466</v>
      </c>
      <c r="B439" s="38" t="s">
        <v>35</v>
      </c>
      <c r="C439" s="38" t="s">
        <v>567</v>
      </c>
      <c r="D439" s="38" t="s">
        <v>805</v>
      </c>
      <c r="E439" s="38" t="s">
        <v>4</v>
      </c>
      <c r="F439" s="34">
        <v>5</v>
      </c>
      <c r="J439" s="34">
        <f>VLOOKUP($A439, Stat!$A$1:$C$1000, 2,0)</f>
        <v>0</v>
      </c>
      <c r="K439" s="34">
        <f>VLOOKUP($A439, Stat!$A$1:$C$1000, 3,0)</f>
        <v>0</v>
      </c>
      <c r="L439" s="34">
        <v>1</v>
      </c>
      <c r="P439" s="35" t="s">
        <v>846</v>
      </c>
      <c r="S439" s="38">
        <v>100</v>
      </c>
      <c r="T439" s="38">
        <v>0</v>
      </c>
      <c r="V439" s="38" t="s">
        <v>809</v>
      </c>
      <c r="X439" s="38">
        <v>1</v>
      </c>
    </row>
    <row r="440" spans="1:24" x14ac:dyDescent="0.25">
      <c r="A440" s="38">
        <v>467</v>
      </c>
      <c r="B440" s="38" t="s">
        <v>35</v>
      </c>
      <c r="C440" s="38" t="s">
        <v>567</v>
      </c>
      <c r="D440" s="38" t="s">
        <v>805</v>
      </c>
      <c r="E440" s="38" t="s">
        <v>47</v>
      </c>
      <c r="F440" s="34">
        <v>5</v>
      </c>
      <c r="J440" s="34">
        <f>VLOOKUP($A440, Stat!$A$1:$C$1000, 2,0)</f>
        <v>0</v>
      </c>
      <c r="K440" s="34">
        <f>VLOOKUP($A440, Stat!$A$1:$C$1000, 3,0)</f>
        <v>0</v>
      </c>
      <c r="L440" s="34">
        <v>1</v>
      </c>
      <c r="P440" s="35" t="s">
        <v>847</v>
      </c>
      <c r="S440" s="38">
        <v>100</v>
      </c>
      <c r="T440" s="38">
        <v>0</v>
      </c>
      <c r="V440" s="38" t="s">
        <v>809</v>
      </c>
      <c r="X440" s="38">
        <v>1</v>
      </c>
    </row>
    <row r="441" spans="1:24" x14ac:dyDescent="0.25">
      <c r="A441" s="38">
        <v>468</v>
      </c>
      <c r="B441" s="38" t="s">
        <v>35</v>
      </c>
      <c r="C441" s="38" t="s">
        <v>567</v>
      </c>
      <c r="D441" s="38" t="s">
        <v>804</v>
      </c>
      <c r="E441" s="38" t="s">
        <v>2</v>
      </c>
      <c r="F441" s="34">
        <v>5</v>
      </c>
      <c r="J441" s="34">
        <f>VLOOKUP($A441, Stat!$A$1:$C$1000, 2,0)</f>
        <v>6</v>
      </c>
      <c r="K441" s="34">
        <f>VLOOKUP($A441, Stat!$A$1:$C$1000, 3,0)</f>
        <v>3</v>
      </c>
      <c r="L441" s="34">
        <v>1</v>
      </c>
      <c r="P441" s="36">
        <v>132</v>
      </c>
      <c r="S441" s="38">
        <v>60</v>
      </c>
      <c r="T441" s="38">
        <v>0</v>
      </c>
      <c r="V441" s="38" t="s">
        <v>810</v>
      </c>
      <c r="X441" s="38">
        <v>1</v>
      </c>
    </row>
    <row r="442" spans="1:24" x14ac:dyDescent="0.25">
      <c r="A442" s="38">
        <v>469</v>
      </c>
      <c r="B442" s="38" t="s">
        <v>35</v>
      </c>
      <c r="C442" s="38" t="s">
        <v>567</v>
      </c>
      <c r="D442" s="38" t="s">
        <v>804</v>
      </c>
      <c r="E442" s="38" t="s">
        <v>3</v>
      </c>
      <c r="F442" s="34">
        <v>5</v>
      </c>
      <c r="J442" s="34">
        <f>VLOOKUP($A442, Stat!$A$1:$C$1000, 2,0)</f>
        <v>0</v>
      </c>
      <c r="K442" s="34">
        <f>VLOOKUP($A442, Stat!$A$1:$C$1000, 3,0)</f>
        <v>0</v>
      </c>
      <c r="L442" s="34">
        <v>1</v>
      </c>
      <c r="P442" s="36">
        <v>133</v>
      </c>
      <c r="S442" s="38">
        <v>60</v>
      </c>
      <c r="T442" s="38">
        <v>0</v>
      </c>
      <c r="V442" s="38" t="s">
        <v>810</v>
      </c>
      <c r="X442" s="38">
        <v>1</v>
      </c>
    </row>
    <row r="443" spans="1:24" x14ac:dyDescent="0.25">
      <c r="A443" s="38">
        <v>470</v>
      </c>
      <c r="B443" s="38" t="s">
        <v>35</v>
      </c>
      <c r="C443" s="38" t="s">
        <v>567</v>
      </c>
      <c r="D443" s="38" t="s">
        <v>804</v>
      </c>
      <c r="E443" s="38" t="s">
        <v>4</v>
      </c>
      <c r="F443" s="34">
        <v>5</v>
      </c>
      <c r="J443" s="34">
        <f>VLOOKUP($A443, Stat!$A$1:$C$1000, 2,0)</f>
        <v>1</v>
      </c>
      <c r="K443" s="34">
        <f>VLOOKUP($A443, Stat!$A$1:$C$1000, 3,0)</f>
        <v>1</v>
      </c>
      <c r="L443" s="34">
        <v>1</v>
      </c>
      <c r="P443" s="36">
        <v>134</v>
      </c>
      <c r="S443" s="38">
        <v>100</v>
      </c>
      <c r="T443" s="38">
        <v>0</v>
      </c>
      <c r="V443" s="38" t="s">
        <v>810</v>
      </c>
      <c r="X443" s="38">
        <v>1</v>
      </c>
    </row>
    <row r="444" spans="1:24" x14ac:dyDescent="0.25">
      <c r="A444" s="38">
        <v>471</v>
      </c>
      <c r="B444" s="38" t="s">
        <v>35</v>
      </c>
      <c r="C444" s="38" t="s">
        <v>567</v>
      </c>
      <c r="D444" s="38" t="s">
        <v>804</v>
      </c>
      <c r="E444" s="38" t="s">
        <v>47</v>
      </c>
      <c r="F444" s="34">
        <v>5</v>
      </c>
      <c r="J444" s="34">
        <f>VLOOKUP($A444, Stat!$A$1:$C$1000, 2,0)</f>
        <v>0</v>
      </c>
      <c r="K444" s="34">
        <f>VLOOKUP($A444, Stat!$A$1:$C$1000, 3,0)</f>
        <v>0</v>
      </c>
      <c r="L444" s="34">
        <v>1</v>
      </c>
      <c r="P444" s="36">
        <v>135</v>
      </c>
      <c r="S444" s="38">
        <v>100</v>
      </c>
      <c r="T444" s="38">
        <v>0</v>
      </c>
      <c r="V444" s="38" t="s">
        <v>810</v>
      </c>
      <c r="X444" s="38">
        <v>1</v>
      </c>
    </row>
    <row r="445" spans="1:24" x14ac:dyDescent="0.25">
      <c r="A445" s="38">
        <v>472</v>
      </c>
      <c r="B445" s="38" t="s">
        <v>35</v>
      </c>
      <c r="C445" s="38" t="s">
        <v>567</v>
      </c>
      <c r="D445" s="38" t="s">
        <v>806</v>
      </c>
      <c r="E445" s="38" t="s">
        <v>2</v>
      </c>
      <c r="F445" s="34">
        <v>5</v>
      </c>
      <c r="J445" s="34">
        <f>VLOOKUP($A445, Stat!$A$1:$C$1000, 2,0)</f>
        <v>1</v>
      </c>
      <c r="K445" s="34">
        <f>VLOOKUP($A445, Stat!$A$1:$C$1000, 3,0)</f>
        <v>0</v>
      </c>
      <c r="L445" s="34">
        <v>1</v>
      </c>
      <c r="P445" s="35" t="s">
        <v>843</v>
      </c>
      <c r="S445" s="38">
        <v>60</v>
      </c>
      <c r="T445" s="38">
        <v>0</v>
      </c>
      <c r="V445" s="38" t="s">
        <v>811</v>
      </c>
      <c r="X445" s="38">
        <v>1</v>
      </c>
    </row>
    <row r="446" spans="1:24" x14ac:dyDescent="0.25">
      <c r="A446" s="38">
        <v>473</v>
      </c>
      <c r="B446" s="38" t="s">
        <v>35</v>
      </c>
      <c r="C446" s="38" t="s">
        <v>567</v>
      </c>
      <c r="D446" s="38" t="s">
        <v>806</v>
      </c>
      <c r="E446" s="38" t="s">
        <v>3</v>
      </c>
      <c r="F446" s="34">
        <v>5</v>
      </c>
      <c r="J446" s="34">
        <f>VLOOKUP($A446, Stat!$A$1:$C$1000, 2,0)</f>
        <v>0</v>
      </c>
      <c r="K446" s="34">
        <f>VLOOKUP($A446, Stat!$A$1:$C$1000, 3,0)</f>
        <v>0</v>
      </c>
      <c r="L446" s="34">
        <v>1</v>
      </c>
      <c r="P446" s="35" t="s">
        <v>870</v>
      </c>
      <c r="S446" s="38">
        <v>60</v>
      </c>
      <c r="T446" s="38">
        <v>0</v>
      </c>
      <c r="V446" s="38" t="s">
        <v>811</v>
      </c>
      <c r="X446" s="38">
        <v>1</v>
      </c>
    </row>
    <row r="447" spans="1:24" x14ac:dyDescent="0.25">
      <c r="A447" s="38">
        <v>474</v>
      </c>
      <c r="B447" s="38" t="s">
        <v>35</v>
      </c>
      <c r="C447" s="38" t="s">
        <v>567</v>
      </c>
      <c r="D447" s="38" t="s">
        <v>806</v>
      </c>
      <c r="E447" s="38" t="s">
        <v>4</v>
      </c>
      <c r="F447" s="34">
        <v>5</v>
      </c>
      <c r="J447" s="34">
        <f>VLOOKUP($A447, Stat!$A$1:$C$1000, 2,0)</f>
        <v>0</v>
      </c>
      <c r="K447" s="34">
        <f>VLOOKUP($A447, Stat!$A$1:$C$1000, 3,0)</f>
        <v>0</v>
      </c>
      <c r="L447" s="34">
        <v>1</v>
      </c>
      <c r="P447" s="35" t="s">
        <v>871</v>
      </c>
      <c r="S447" s="38">
        <v>100</v>
      </c>
      <c r="T447" s="38">
        <v>0</v>
      </c>
      <c r="V447" s="38" t="s">
        <v>811</v>
      </c>
      <c r="X447" s="38">
        <v>1</v>
      </c>
    </row>
    <row r="448" spans="1:24" x14ac:dyDescent="0.25">
      <c r="A448" s="38">
        <v>475</v>
      </c>
      <c r="B448" s="38" t="s">
        <v>35</v>
      </c>
      <c r="C448" s="38" t="s">
        <v>567</v>
      </c>
      <c r="D448" s="38" t="s">
        <v>806</v>
      </c>
      <c r="E448" s="38" t="s">
        <v>47</v>
      </c>
      <c r="F448" s="34">
        <v>5</v>
      </c>
      <c r="J448" s="34">
        <f>VLOOKUP($A448, Stat!$A$1:$C$1000, 2,0)</f>
        <v>0</v>
      </c>
      <c r="K448" s="34">
        <f>VLOOKUP($A448, Stat!$A$1:$C$1000, 3,0)</f>
        <v>0</v>
      </c>
      <c r="L448" s="34">
        <v>1</v>
      </c>
      <c r="P448" s="35" t="s">
        <v>872</v>
      </c>
      <c r="S448" s="38">
        <v>100</v>
      </c>
      <c r="T448" s="38">
        <v>0</v>
      </c>
      <c r="V448" s="38" t="s">
        <v>811</v>
      </c>
      <c r="X448" s="38">
        <v>1</v>
      </c>
    </row>
    <row r="449" spans="1:24" x14ac:dyDescent="0.25">
      <c r="A449" s="38">
        <v>481</v>
      </c>
      <c r="B449" s="38" t="s">
        <v>56</v>
      </c>
      <c r="C449" s="38" t="s">
        <v>56</v>
      </c>
      <c r="D449" s="38" t="s">
        <v>817</v>
      </c>
      <c r="E449" s="38" t="s">
        <v>60</v>
      </c>
      <c r="F449" s="35" t="s">
        <v>461</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817</v>
      </c>
      <c r="E450" s="38" t="s">
        <v>324</v>
      </c>
      <c r="F450" s="35" t="s">
        <v>461</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816</v>
      </c>
      <c r="E451" s="38" t="s">
        <v>164</v>
      </c>
      <c r="F451" s="34">
        <v>7</v>
      </c>
      <c r="G451" s="34">
        <v>1</v>
      </c>
      <c r="H451" s="34">
        <v>1</v>
      </c>
      <c r="J451" s="34">
        <f>VLOOKUP($A451, Stat!$A$1:$C$1000, 2,0)</f>
        <v>22</v>
      </c>
      <c r="K451" s="34">
        <f>VLOOKUP($A451, Stat!$A$1:$C$1000, 3,0)</f>
        <v>3</v>
      </c>
      <c r="L451" s="34">
        <v>1</v>
      </c>
      <c r="S451" s="38">
        <v>0</v>
      </c>
      <c r="T451" s="38">
        <v>1</v>
      </c>
      <c r="V451" s="38" t="s">
        <v>328</v>
      </c>
      <c r="W451" s="38" t="s">
        <v>705</v>
      </c>
      <c r="X451" s="38">
        <v>1</v>
      </c>
    </row>
    <row r="452" spans="1:24" x14ac:dyDescent="0.25">
      <c r="A452" s="38">
        <v>485</v>
      </c>
      <c r="B452" s="38" t="s">
        <v>56</v>
      </c>
      <c r="C452" s="38" t="s">
        <v>56</v>
      </c>
      <c r="D452" s="38" t="s">
        <v>816</v>
      </c>
      <c r="E452" s="38" t="s">
        <v>432</v>
      </c>
      <c r="F452" s="34">
        <v>7</v>
      </c>
      <c r="G452" s="34">
        <v>1</v>
      </c>
      <c r="H452" s="34">
        <v>1</v>
      </c>
      <c r="J452" s="34">
        <f>VLOOKUP($A452, Stat!$A$1:$C$1000, 2,0)</f>
        <v>8</v>
      </c>
      <c r="K452" s="34">
        <f>VLOOKUP($A452, Stat!$A$1:$C$1000, 3,0)</f>
        <v>4</v>
      </c>
      <c r="L452" s="34">
        <v>1</v>
      </c>
      <c r="S452" s="38">
        <v>0</v>
      </c>
      <c r="T452" s="38">
        <v>1</v>
      </c>
      <c r="V452" s="38" t="s">
        <v>328</v>
      </c>
      <c r="W452" s="38" t="s">
        <v>431</v>
      </c>
      <c r="X452" s="38">
        <v>1</v>
      </c>
    </row>
    <row r="453" spans="1:24" x14ac:dyDescent="0.25">
      <c r="A453" s="38">
        <v>486</v>
      </c>
      <c r="B453" s="38" t="s">
        <v>56</v>
      </c>
      <c r="C453" s="38" t="s">
        <v>56</v>
      </c>
      <c r="D453" s="38" t="s">
        <v>816</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816</v>
      </c>
      <c r="E454" s="38" t="s">
        <v>425</v>
      </c>
      <c r="F454" s="34">
        <v>7</v>
      </c>
      <c r="G454" s="34">
        <v>1</v>
      </c>
      <c r="H454" s="34">
        <v>1</v>
      </c>
      <c r="J454" s="34">
        <f>VLOOKUP($A454, Stat!$A$1:$C$1000, 2,0)</f>
        <v>20</v>
      </c>
      <c r="K454" s="34">
        <f>VLOOKUP($A454, Stat!$A$1:$C$1000, 3,0)</f>
        <v>6</v>
      </c>
      <c r="L454" s="34">
        <v>1</v>
      </c>
      <c r="S454" s="38">
        <v>0</v>
      </c>
      <c r="T454" s="38">
        <v>1</v>
      </c>
      <c r="V454" s="38" t="s">
        <v>328</v>
      </c>
      <c r="W454" s="38" t="s">
        <v>426</v>
      </c>
      <c r="X454" s="38">
        <v>1</v>
      </c>
    </row>
    <row r="455" spans="1:24" x14ac:dyDescent="0.25">
      <c r="A455" s="38">
        <v>488</v>
      </c>
      <c r="B455" s="38" t="s">
        <v>56</v>
      </c>
      <c r="C455" s="38" t="s">
        <v>56</v>
      </c>
      <c r="D455" s="38" t="s">
        <v>816</v>
      </c>
      <c r="E455" s="38" t="s">
        <v>99</v>
      </c>
      <c r="F455" s="34">
        <v>7</v>
      </c>
      <c r="G455" s="34">
        <v>1</v>
      </c>
      <c r="H455" s="34">
        <v>1</v>
      </c>
      <c r="J455" s="34">
        <f>VLOOKUP($A455, Stat!$A$1:$C$1000, 2,0)</f>
        <v>81</v>
      </c>
      <c r="K455" s="34">
        <f>VLOOKUP($A455, Stat!$A$1:$C$1000, 3,0)</f>
        <v>28</v>
      </c>
      <c r="L455" s="34">
        <v>1</v>
      </c>
      <c r="S455" s="38">
        <v>0</v>
      </c>
      <c r="T455" s="38">
        <v>1</v>
      </c>
      <c r="V455" s="38" t="s">
        <v>328</v>
      </c>
      <c r="W455" s="38" t="s">
        <v>706</v>
      </c>
      <c r="X455" s="38">
        <v>1</v>
      </c>
    </row>
    <row r="456" spans="1:24" x14ac:dyDescent="0.25">
      <c r="A456" s="38">
        <v>489</v>
      </c>
      <c r="B456" s="38" t="s">
        <v>56</v>
      </c>
      <c r="C456" s="38" t="s">
        <v>56</v>
      </c>
      <c r="D456" s="38" t="s">
        <v>816</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816</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816</v>
      </c>
      <c r="E458" s="38" t="s">
        <v>448</v>
      </c>
      <c r="F458" s="34">
        <v>7</v>
      </c>
      <c r="G458" s="34">
        <v>1</v>
      </c>
      <c r="H458" s="34">
        <v>1</v>
      </c>
      <c r="J458" s="34">
        <f>VLOOKUP($A458, Stat!$A$1:$C$1000, 2,0)</f>
        <v>4</v>
      </c>
      <c r="K458" s="34">
        <f>VLOOKUP($A458, Stat!$A$1:$C$1000, 3,0)</f>
        <v>2</v>
      </c>
      <c r="L458" s="34">
        <v>1</v>
      </c>
      <c r="S458" s="38">
        <v>60</v>
      </c>
      <c r="T458" s="38">
        <v>0</v>
      </c>
      <c r="V458" s="38" t="s">
        <v>328</v>
      </c>
      <c r="W458" s="38" t="s">
        <v>450</v>
      </c>
      <c r="X458" s="38">
        <v>1</v>
      </c>
    </row>
    <row r="459" spans="1:24" x14ac:dyDescent="0.25">
      <c r="A459" s="38">
        <v>492</v>
      </c>
      <c r="B459" s="38" t="s">
        <v>56</v>
      </c>
      <c r="C459" s="38" t="s">
        <v>56</v>
      </c>
      <c r="D459" s="38" t="s">
        <v>816</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860</v>
      </c>
      <c r="E460" s="38" t="s">
        <v>273</v>
      </c>
      <c r="F460" s="95" t="s">
        <v>462</v>
      </c>
      <c r="G460" s="36"/>
      <c r="H460" s="36"/>
      <c r="I460" s="35" t="s">
        <v>547</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860</v>
      </c>
      <c r="E461" s="38" t="s">
        <v>852</v>
      </c>
      <c r="F461" s="95" t="s">
        <v>462</v>
      </c>
      <c r="G461" s="36"/>
      <c r="H461" s="36"/>
      <c r="I461" s="35" t="s">
        <v>468</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860</v>
      </c>
      <c r="E462" s="38" t="s">
        <v>303</v>
      </c>
      <c r="F462" s="95" t="s">
        <v>462</v>
      </c>
      <c r="G462" s="36"/>
      <c r="H462" s="36"/>
      <c r="I462" s="35" t="s">
        <v>547</v>
      </c>
      <c r="J462" s="81">
        <f>VLOOKUP($A462, Stat!$A$1:$C$1000, 2,0)</f>
        <v>0</v>
      </c>
      <c r="K462" s="81">
        <f>VLOOKUP($A462, Stat!$A$1:$C$1000, 3,0)</f>
        <v>0</v>
      </c>
      <c r="L462" s="84"/>
      <c r="O462" s="34">
        <v>1</v>
      </c>
      <c r="P462" s="35" t="s">
        <v>837</v>
      </c>
      <c r="S462" s="38">
        <v>60</v>
      </c>
      <c r="T462" s="38">
        <v>0</v>
      </c>
      <c r="U462" s="38">
        <v>5</v>
      </c>
      <c r="X462" s="38">
        <v>1</v>
      </c>
    </row>
    <row r="463" spans="1:24" x14ac:dyDescent="0.25">
      <c r="A463" s="38">
        <v>496</v>
      </c>
      <c r="B463" s="38" t="s">
        <v>35</v>
      </c>
      <c r="C463" s="38" t="s">
        <v>6</v>
      </c>
      <c r="D463" s="38" t="s">
        <v>860</v>
      </c>
      <c r="E463" s="38" t="s">
        <v>832</v>
      </c>
      <c r="F463" s="95" t="s">
        <v>462</v>
      </c>
      <c r="G463" s="36"/>
      <c r="H463" s="36"/>
      <c r="I463" s="35" t="s">
        <v>468</v>
      </c>
      <c r="J463" s="81">
        <f>VLOOKUP($A463, Stat!$A$1:$C$1000, 2,0)</f>
        <v>0</v>
      </c>
      <c r="K463" s="81">
        <f>VLOOKUP($A463, Stat!$A$1:$C$1000, 3,0)</f>
        <v>0</v>
      </c>
      <c r="L463" s="84"/>
      <c r="O463" s="34">
        <v>1</v>
      </c>
      <c r="P463" s="35" t="s">
        <v>838</v>
      </c>
      <c r="S463" s="38">
        <v>60</v>
      </c>
      <c r="T463" s="38">
        <v>0</v>
      </c>
      <c r="U463" s="38">
        <v>5</v>
      </c>
      <c r="W463" s="38" t="s">
        <v>176</v>
      </c>
      <c r="X463" s="38">
        <v>1</v>
      </c>
    </row>
    <row r="464" spans="1:24" x14ac:dyDescent="0.25">
      <c r="A464" s="38">
        <v>497</v>
      </c>
      <c r="B464" s="38" t="s">
        <v>35</v>
      </c>
      <c r="C464" s="38" t="s">
        <v>6</v>
      </c>
      <c r="D464" s="38" t="s">
        <v>861</v>
      </c>
      <c r="E464" s="38" t="s">
        <v>853</v>
      </c>
      <c r="F464" s="95" t="s">
        <v>462</v>
      </c>
      <c r="G464" s="36"/>
      <c r="H464" s="36"/>
      <c r="I464" s="35" t="s">
        <v>547</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861</v>
      </c>
      <c r="E465" s="38" t="s">
        <v>854</v>
      </c>
      <c r="F465" s="95" t="s">
        <v>462</v>
      </c>
      <c r="G465" s="36"/>
      <c r="H465" s="36"/>
      <c r="I465" s="35" t="s">
        <v>468</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861</v>
      </c>
      <c r="E466" s="38" t="s">
        <v>855</v>
      </c>
      <c r="F466" s="95" t="s">
        <v>462</v>
      </c>
      <c r="G466" s="36"/>
      <c r="H466" s="36"/>
      <c r="I466" s="35" t="s">
        <v>547</v>
      </c>
      <c r="J466" s="34">
        <f>VLOOKUP($A466, Stat!$A$1:$C$1000, 2,0)</f>
        <v>0</v>
      </c>
      <c r="K466" s="34">
        <f>VLOOKUP($A466, Stat!$A$1:$C$1000, 3,0)</f>
        <v>0</v>
      </c>
      <c r="L466" s="84"/>
      <c r="O466" s="34">
        <v>1</v>
      </c>
      <c r="P466" s="35" t="s">
        <v>839</v>
      </c>
      <c r="S466" s="38">
        <v>60</v>
      </c>
      <c r="T466" s="38">
        <v>0</v>
      </c>
      <c r="U466" s="38">
        <v>5</v>
      </c>
      <c r="X466" s="38">
        <v>1</v>
      </c>
    </row>
    <row r="467" spans="1:24" x14ac:dyDescent="0.25">
      <c r="A467" s="38">
        <v>500</v>
      </c>
      <c r="B467" s="38" t="s">
        <v>35</v>
      </c>
      <c r="C467" s="38" t="s">
        <v>6</v>
      </c>
      <c r="D467" s="38" t="s">
        <v>861</v>
      </c>
      <c r="E467" s="38" t="s">
        <v>856</v>
      </c>
      <c r="F467" s="95" t="s">
        <v>462</v>
      </c>
      <c r="G467" s="36"/>
      <c r="H467" s="36"/>
      <c r="I467" s="35" t="s">
        <v>468</v>
      </c>
      <c r="J467" s="34">
        <f>VLOOKUP($A467, Stat!$A$1:$C$1000, 2,0)</f>
        <v>0</v>
      </c>
      <c r="K467" s="34">
        <f>VLOOKUP($A467, Stat!$A$1:$C$1000, 3,0)</f>
        <v>0</v>
      </c>
      <c r="L467" s="84"/>
      <c r="O467" s="34">
        <v>1</v>
      </c>
      <c r="P467" s="35" t="s">
        <v>840</v>
      </c>
      <c r="S467" s="38">
        <v>60</v>
      </c>
      <c r="T467" s="38">
        <v>0</v>
      </c>
      <c r="U467" s="38">
        <v>5</v>
      </c>
      <c r="W467" s="38" t="s">
        <v>176</v>
      </c>
      <c r="X467" s="38">
        <v>1</v>
      </c>
    </row>
    <row r="468" spans="1:24" x14ac:dyDescent="0.25">
      <c r="A468" s="38">
        <v>501</v>
      </c>
      <c r="B468" s="38" t="s">
        <v>35</v>
      </c>
      <c r="C468" s="38" t="s">
        <v>6</v>
      </c>
      <c r="D468" s="38" t="s">
        <v>554</v>
      </c>
      <c r="E468" s="38">
        <v>4</v>
      </c>
      <c r="F468" s="95" t="s">
        <v>462</v>
      </c>
      <c r="G468" s="35"/>
      <c r="H468" s="35"/>
      <c r="I468" s="35" t="s">
        <v>554</v>
      </c>
      <c r="J468" s="81">
        <f>VLOOKUP($A468, Stat!$A$1:$C$1000, 2,0)</f>
        <v>28</v>
      </c>
      <c r="K468" s="81">
        <f>VLOOKUP($A468, Stat!$A$1:$C$1000, 3,0)</f>
        <v>0</v>
      </c>
      <c r="L468" s="84"/>
      <c r="O468" s="34">
        <v>1</v>
      </c>
      <c r="P468" s="35"/>
      <c r="S468" s="38">
        <v>60</v>
      </c>
      <c r="T468" s="38">
        <v>0</v>
      </c>
      <c r="U468" s="38">
        <v>5</v>
      </c>
      <c r="V468" s="38" t="s">
        <v>836</v>
      </c>
      <c r="X468" s="38">
        <v>1</v>
      </c>
    </row>
    <row r="469" spans="1:24" x14ac:dyDescent="0.25">
      <c r="A469" s="38">
        <v>502</v>
      </c>
      <c r="B469" s="38" t="s">
        <v>35</v>
      </c>
      <c r="C469" s="38" t="s">
        <v>6</v>
      </c>
      <c r="D469" s="38" t="s">
        <v>554</v>
      </c>
      <c r="E469" s="38" t="s">
        <v>780</v>
      </c>
      <c r="F469" s="95" t="s">
        <v>462</v>
      </c>
      <c r="G469" s="35"/>
      <c r="H469" s="35"/>
      <c r="I469" s="35" t="s">
        <v>554</v>
      </c>
      <c r="J469" s="81">
        <f>VLOOKUP($A469, Stat!$A$1:$C$1000, 2,0)</f>
        <v>8</v>
      </c>
      <c r="K469" s="81">
        <f>VLOOKUP($A469, Stat!$A$1:$C$1000, 3,0)</f>
        <v>0</v>
      </c>
      <c r="L469" s="84"/>
      <c r="O469" s="34">
        <v>1</v>
      </c>
      <c r="P469" s="34">
        <v>501</v>
      </c>
      <c r="S469" s="38">
        <v>100</v>
      </c>
      <c r="T469" s="38">
        <v>0</v>
      </c>
      <c r="U469" s="38">
        <v>5</v>
      </c>
      <c r="V469" s="38" t="s">
        <v>836</v>
      </c>
      <c r="X469" s="38">
        <v>1</v>
      </c>
    </row>
    <row r="470" spans="1:24" x14ac:dyDescent="0.25">
      <c r="A470" s="38">
        <v>503</v>
      </c>
      <c r="B470" s="38" t="s">
        <v>35</v>
      </c>
      <c r="C470" s="38" t="s">
        <v>6</v>
      </c>
      <c r="D470" s="38" t="s">
        <v>862</v>
      </c>
      <c r="E470" s="38" t="s">
        <v>517</v>
      </c>
      <c r="F470" s="95" t="s">
        <v>462</v>
      </c>
      <c r="G470" s="36"/>
      <c r="H470" s="36"/>
      <c r="I470" s="35" t="s">
        <v>517</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862</v>
      </c>
      <c r="E471" s="38" t="s">
        <v>778</v>
      </c>
      <c r="F471" s="95" t="s">
        <v>462</v>
      </c>
      <c r="G471" s="36"/>
      <c r="H471" s="36"/>
      <c r="I471" s="35" t="s">
        <v>560</v>
      </c>
      <c r="J471" s="81">
        <f>VLOOKUP($A471, Stat!$A$1:$C$1000, 2,0)</f>
        <v>10</v>
      </c>
      <c r="K471" s="81">
        <f>VLOOKUP($A471, Stat!$A$1:$C$1000, 3,0)</f>
        <v>0</v>
      </c>
      <c r="L471" s="34">
        <v>1</v>
      </c>
      <c r="P471" s="35" t="s">
        <v>841</v>
      </c>
      <c r="S471" s="38">
        <v>100</v>
      </c>
      <c r="T471" s="38">
        <v>0</v>
      </c>
      <c r="U471" s="38">
        <v>45</v>
      </c>
      <c r="X471" s="38">
        <v>1</v>
      </c>
    </row>
    <row r="472" spans="1:24" x14ac:dyDescent="0.25">
      <c r="A472" s="38">
        <v>505</v>
      </c>
      <c r="B472" s="38" t="s">
        <v>35</v>
      </c>
      <c r="C472" s="38" t="s">
        <v>6</v>
      </c>
      <c r="D472" s="38" t="s">
        <v>862</v>
      </c>
      <c r="E472" s="38" t="s">
        <v>779</v>
      </c>
      <c r="F472" s="95" t="s">
        <v>462</v>
      </c>
      <c r="I472" s="87" t="s">
        <v>842</v>
      </c>
      <c r="J472" s="81">
        <f>VLOOKUP($A472, Stat!$A$1:$C$1000, 2,0)</f>
        <v>64</v>
      </c>
      <c r="K472" s="81">
        <f>VLOOKUP($A472, Stat!$A$1:$C$1000, 3,0)</f>
        <v>34</v>
      </c>
      <c r="L472" s="34">
        <v>1</v>
      </c>
      <c r="P472" s="35"/>
      <c r="S472" s="38">
        <v>100</v>
      </c>
      <c r="T472" s="38">
        <v>0</v>
      </c>
      <c r="U472" s="38">
        <v>45</v>
      </c>
      <c r="W472" s="38" t="s">
        <v>835</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445</v>
      </c>
      <c r="G1" s="33" t="s">
        <v>458</v>
      </c>
      <c r="H1" s="33" t="s">
        <v>459</v>
      </c>
      <c r="I1" s="33" t="s">
        <v>460</v>
      </c>
      <c r="J1" s="33" t="s">
        <v>411</v>
      </c>
      <c r="K1" s="33" t="s">
        <v>412</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462</v>
      </c>
      <c r="G2" s="36"/>
      <c r="H2" s="36"/>
      <c r="I2" s="35" t="s">
        <v>547</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830</v>
      </c>
      <c r="F3" s="95" t="s">
        <v>462</v>
      </c>
      <c r="G3" s="36"/>
      <c r="H3" s="36"/>
      <c r="I3" s="35" t="s">
        <v>468</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829</v>
      </c>
      <c r="F4" s="95" t="s">
        <v>462</v>
      </c>
      <c r="G4" s="36"/>
      <c r="H4" s="36"/>
      <c r="I4" s="35" t="s">
        <v>547</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831</v>
      </c>
      <c r="F5" s="95" t="s">
        <v>462</v>
      </c>
      <c r="G5" s="36"/>
      <c r="H5" s="36"/>
      <c r="I5" s="35" t="s">
        <v>468</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543</v>
      </c>
      <c r="J6" s="81">
        <f>VLOOKUP($A6, Stat!$A$1:$C$501, 2,0)</f>
        <v>15</v>
      </c>
      <c r="K6" s="81">
        <f>VLOOKUP($A6, Stat!$A$1:$C$501, 3,0)</f>
        <v>0</v>
      </c>
      <c r="L6" s="84"/>
      <c r="S6" s="38">
        <v>60</v>
      </c>
      <c r="T6" s="38">
        <v>0</v>
      </c>
      <c r="U6" s="38" t="s">
        <v>661</v>
      </c>
      <c r="V6" s="38" t="s">
        <v>271</v>
      </c>
      <c r="W6" s="38">
        <v>1</v>
      </c>
    </row>
    <row r="7" spans="1:23" ht="13.2" customHeight="1" x14ac:dyDescent="0.25">
      <c r="A7" s="38">
        <v>303</v>
      </c>
      <c r="B7" s="38" t="s">
        <v>35</v>
      </c>
      <c r="C7" s="38" t="s">
        <v>11</v>
      </c>
      <c r="D7" s="38" t="s">
        <v>301</v>
      </c>
      <c r="E7" s="38" t="s">
        <v>288</v>
      </c>
      <c r="F7" s="34">
        <v>10</v>
      </c>
      <c r="I7" s="35" t="s">
        <v>543</v>
      </c>
      <c r="J7" s="81">
        <f>VLOOKUP($A7, Stat!$A$1:$C$501, 2,0)</f>
        <v>6</v>
      </c>
      <c r="K7" s="81">
        <f>VLOOKUP($A7, Stat!$A$1:$C$501, 3,0)</f>
        <v>0</v>
      </c>
      <c r="L7" s="84"/>
      <c r="S7" s="38">
        <v>60</v>
      </c>
      <c r="T7" s="38">
        <v>0</v>
      </c>
      <c r="U7" s="38" t="s">
        <v>661</v>
      </c>
      <c r="V7" s="38" t="s">
        <v>272</v>
      </c>
      <c r="W7" s="38">
        <v>1</v>
      </c>
    </row>
    <row r="8" spans="1:23" ht="13.2" customHeight="1" x14ac:dyDescent="0.25">
      <c r="A8" s="38">
        <v>311</v>
      </c>
      <c r="B8" s="38" t="s">
        <v>35</v>
      </c>
      <c r="C8" s="38" t="s">
        <v>6</v>
      </c>
      <c r="D8" s="38" t="s">
        <v>131</v>
      </c>
      <c r="E8" s="38" t="s">
        <v>293</v>
      </c>
      <c r="F8" s="95" t="s">
        <v>462</v>
      </c>
      <c r="I8" s="35" t="s">
        <v>547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462</v>
      </c>
      <c r="I9" s="35" t="s">
        <v>468</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462</v>
      </c>
      <c r="I10" s="35" t="s">
        <v>547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462</v>
      </c>
      <c r="I11" s="35" t="s">
        <v>468</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777</v>
      </c>
      <c r="E12" s="41" t="s">
        <v>657</v>
      </c>
      <c r="F12" s="95" t="s">
        <v>462</v>
      </c>
      <c r="G12" s="36"/>
      <c r="H12" s="36"/>
      <c r="I12" s="35" t="s">
        <v>517</v>
      </c>
      <c r="J12" s="81">
        <f>VLOOKUP($A12, Stat!$A$1:$C$501, 2,0)</f>
        <v>0</v>
      </c>
      <c r="K12" s="81">
        <f>VLOOKUP($A12, Stat!$A$1:$C$501, 3,0)</f>
        <v>0</v>
      </c>
      <c r="L12" s="34">
        <v>1</v>
      </c>
      <c r="P12" s="36"/>
      <c r="Q12" s="36"/>
      <c r="R12" s="36"/>
      <c r="S12" s="38">
        <v>60</v>
      </c>
      <c r="T12" s="38">
        <v>0</v>
      </c>
      <c r="U12" s="38" t="s">
        <v>656</v>
      </c>
      <c r="V12" s="38" t="s">
        <v>658</v>
      </c>
      <c r="W12" s="38">
        <v>1</v>
      </c>
    </row>
    <row r="13" spans="1:23" ht="13.2" customHeight="1" x14ac:dyDescent="0.25">
      <c r="A13" s="38">
        <v>27</v>
      </c>
      <c r="B13" s="38" t="s">
        <v>35</v>
      </c>
      <c r="C13" s="38" t="s">
        <v>6</v>
      </c>
      <c r="D13" s="38" t="s">
        <v>9</v>
      </c>
      <c r="E13" s="41" t="s">
        <v>614</v>
      </c>
      <c r="F13" s="95" t="s">
        <v>462</v>
      </c>
      <c r="G13" s="35"/>
      <c r="H13" s="35"/>
      <c r="I13" s="35" t="s">
        <v>6</v>
      </c>
      <c r="J13" s="81">
        <f>VLOOKUP($A13, Stat!$A$1:$C$501, 2,0)</f>
        <v>0</v>
      </c>
      <c r="K13" s="81">
        <f>VLOOKUP($A13, Stat!$A$1:$C$501, 3,0)</f>
        <v>0</v>
      </c>
      <c r="P13" s="36"/>
      <c r="Q13" s="36"/>
      <c r="R13" s="36"/>
      <c r="S13" s="38">
        <v>100</v>
      </c>
      <c r="T13" s="38">
        <v>0</v>
      </c>
      <c r="U13" s="38" t="s">
        <v>655</v>
      </c>
      <c r="W13" s="38">
        <v>1</v>
      </c>
    </row>
    <row r="14" spans="1:23" ht="13.2" customHeight="1" x14ac:dyDescent="0.25">
      <c r="A14" s="38">
        <v>28</v>
      </c>
      <c r="B14" s="38" t="s">
        <v>35</v>
      </c>
      <c r="C14" s="38" t="s">
        <v>6</v>
      </c>
      <c r="D14" s="38" t="s">
        <v>777</v>
      </c>
      <c r="E14" s="41" t="s">
        <v>10</v>
      </c>
      <c r="F14" s="95" t="s">
        <v>462</v>
      </c>
      <c r="G14" s="36"/>
      <c r="H14" s="36"/>
      <c r="I14" s="35" t="s">
        <v>517</v>
      </c>
      <c r="J14" s="81">
        <f>VLOOKUP($A14, Stat!$A$1:$C$501, 2,0)</f>
        <v>0</v>
      </c>
      <c r="K14" s="81">
        <f>VLOOKUP($A14, Stat!$A$1:$C$501, 3,0)</f>
        <v>0</v>
      </c>
      <c r="L14" s="34">
        <v>1</v>
      </c>
      <c r="P14" s="36"/>
      <c r="Q14" s="36"/>
      <c r="R14" s="36"/>
      <c r="S14" s="38">
        <v>0</v>
      </c>
      <c r="T14" s="38">
        <v>-1</v>
      </c>
      <c r="U14" s="38" t="s">
        <v>656</v>
      </c>
      <c r="V14" s="38" t="s">
        <v>659</v>
      </c>
      <c r="W14" s="38">
        <v>1</v>
      </c>
    </row>
    <row r="15" spans="1:23" ht="13.2" customHeight="1" x14ac:dyDescent="0.25">
      <c r="A15" s="38">
        <v>70</v>
      </c>
      <c r="B15" s="38" t="s">
        <v>35</v>
      </c>
      <c r="C15" s="38" t="s">
        <v>6</v>
      </c>
      <c r="D15" s="38" t="s">
        <v>814</v>
      </c>
      <c r="E15" s="41" t="s">
        <v>225</v>
      </c>
      <c r="F15" s="95" t="s">
        <v>462</v>
      </c>
      <c r="G15" s="35"/>
      <c r="H15" s="35"/>
      <c r="I15" s="35" t="s">
        <v>554</v>
      </c>
      <c r="J15" s="81">
        <f>VLOOKUP($A15, Stat!$A$1:$C$501, 2,0)</f>
        <v>0</v>
      </c>
      <c r="K15" s="81">
        <f>VLOOKUP($A15, Stat!$A$1:$C$501, 3,0)</f>
        <v>0</v>
      </c>
      <c r="L15" s="84"/>
      <c r="O15" s="34">
        <v>1</v>
      </c>
      <c r="P15" s="36"/>
      <c r="Q15" s="36"/>
      <c r="R15" s="36"/>
      <c r="S15" s="38">
        <v>60</v>
      </c>
      <c r="T15" s="38">
        <v>0</v>
      </c>
      <c r="U15" s="38" t="s">
        <v>776</v>
      </c>
      <c r="W15" s="38">
        <v>1</v>
      </c>
    </row>
    <row r="16" spans="1:23" ht="13.2" customHeight="1" x14ac:dyDescent="0.25">
      <c r="A16" s="38">
        <v>71</v>
      </c>
      <c r="B16" s="38" t="s">
        <v>35</v>
      </c>
      <c r="C16" s="38" t="s">
        <v>6</v>
      </c>
      <c r="D16" s="38" t="s">
        <v>814</v>
      </c>
      <c r="E16" s="41" t="s">
        <v>49</v>
      </c>
      <c r="F16" s="95" t="s">
        <v>462</v>
      </c>
      <c r="G16" s="35"/>
      <c r="H16" s="35"/>
      <c r="I16" s="35" t="s">
        <v>554</v>
      </c>
      <c r="J16" s="81">
        <f>VLOOKUP($A16, Stat!$A$1:$C$501, 2,0)</f>
        <v>0</v>
      </c>
      <c r="K16" s="81">
        <f>VLOOKUP($A16, Stat!$A$1:$C$501, 3,0)</f>
        <v>0</v>
      </c>
      <c r="L16" s="84"/>
      <c r="O16" s="34">
        <v>1</v>
      </c>
      <c r="P16" s="35" t="s">
        <v>195</v>
      </c>
      <c r="Q16" s="36"/>
      <c r="R16" s="36"/>
      <c r="S16" s="38">
        <v>100</v>
      </c>
      <c r="T16" s="38">
        <v>0</v>
      </c>
      <c r="U16" s="38" t="s">
        <v>776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512</v>
      </c>
      <c r="B1" s="92" t="s">
        <v>513</v>
      </c>
      <c r="C1" s="92" t="s">
        <v>536</v>
      </c>
      <c r="D1" s="88" t="s">
        <v>553</v>
      </c>
    </row>
    <row r="2" spans="1:5" x14ac:dyDescent="0.25">
      <c r="A2" s="93" t="s">
        <v>73</v>
      </c>
      <c r="B2" s="93" t="s">
        <v>514</v>
      </c>
      <c r="C2" s="93" t="s">
        <v>76</v>
      </c>
    </row>
    <row r="3" spans="1:5" x14ac:dyDescent="0.25">
      <c r="A3" s="93" t="s">
        <v>72</v>
      </c>
      <c r="B3" s="93" t="s">
        <v>514</v>
      </c>
      <c r="C3" s="93" t="s">
        <v>76</v>
      </c>
    </row>
    <row r="4" spans="1:5" x14ac:dyDescent="0.25">
      <c r="A4" s="93" t="s">
        <v>484</v>
      </c>
      <c r="B4" s="93" t="s">
        <v>514</v>
      </c>
      <c r="C4" s="93" t="s">
        <v>76</v>
      </c>
    </row>
    <row r="5" spans="1:5" x14ac:dyDescent="0.25">
      <c r="A5" s="93" t="s">
        <v>5</v>
      </c>
      <c r="B5" s="93" t="s">
        <v>514</v>
      </c>
      <c r="C5" s="93" t="s">
        <v>76</v>
      </c>
    </row>
    <row r="6" spans="1:5" x14ac:dyDescent="0.25">
      <c r="A6" s="93" t="s">
        <v>467</v>
      </c>
      <c r="B6" s="93" t="s">
        <v>514</v>
      </c>
      <c r="C6" s="93" t="s">
        <v>76</v>
      </c>
    </row>
    <row r="7" spans="1:5" x14ac:dyDescent="0.25">
      <c r="A7" s="93" t="s">
        <v>468</v>
      </c>
      <c r="B7" s="93" t="s">
        <v>515</v>
      </c>
      <c r="C7" s="93" t="s">
        <v>468</v>
      </c>
      <c r="D7" s="2" t="s">
        <v>516</v>
      </c>
      <c r="E7" s="23"/>
    </row>
    <row r="8" spans="1:5" x14ac:dyDescent="0.25">
      <c r="A8" s="93" t="s">
        <v>469</v>
      </c>
      <c r="B8" s="93" t="s">
        <v>515</v>
      </c>
      <c r="C8" s="93" t="s">
        <v>517</v>
      </c>
      <c r="D8" s="2" t="s">
        <v>516</v>
      </c>
      <c r="E8" s="23"/>
    </row>
    <row r="9" spans="1:5" x14ac:dyDescent="0.25">
      <c r="A9" s="93" t="s">
        <v>470</v>
      </c>
      <c r="B9" s="93" t="s">
        <v>515</v>
      </c>
      <c r="C9" s="93" t="s">
        <v>543</v>
      </c>
      <c r="D9" s="2" t="s">
        <v>516</v>
      </c>
      <c r="E9" s="23"/>
    </row>
    <row r="10" spans="1:5" hidden="1" x14ac:dyDescent="0.25">
      <c r="A10" s="93" t="s">
        <v>471</v>
      </c>
      <c r="B10" s="93" t="s">
        <v>76</v>
      </c>
      <c r="C10" s="93" t="s">
        <v>76</v>
      </c>
      <c r="E10" s="23"/>
    </row>
    <row r="11" spans="1:5" x14ac:dyDescent="0.25">
      <c r="A11" s="93" t="s">
        <v>12</v>
      </c>
      <c r="B11" s="93" t="s">
        <v>539</v>
      </c>
      <c r="C11" s="93" t="s">
        <v>518</v>
      </c>
      <c r="E11" s="2"/>
    </row>
    <row r="12" spans="1:5" x14ac:dyDescent="0.25">
      <c r="A12" s="93" t="s">
        <v>540</v>
      </c>
      <c r="B12" s="93" t="s">
        <v>520</v>
      </c>
      <c r="C12" s="93" t="s">
        <v>519</v>
      </c>
      <c r="E12" s="23"/>
    </row>
    <row r="13" spans="1:5" x14ac:dyDescent="0.25">
      <c r="A13" s="93" t="s">
        <v>541</v>
      </c>
      <c r="B13" s="93" t="s">
        <v>520</v>
      </c>
      <c r="C13" s="93" t="s">
        <v>472</v>
      </c>
    </row>
    <row r="14" spans="1:5" x14ac:dyDescent="0.25">
      <c r="A14" s="93" t="s">
        <v>626</v>
      </c>
      <c r="B14" s="93" t="s">
        <v>520</v>
      </c>
      <c r="C14" s="93" t="s">
        <v>627</v>
      </c>
    </row>
    <row r="15" spans="1:5" x14ac:dyDescent="0.25">
      <c r="A15" s="93" t="s">
        <v>473</v>
      </c>
      <c r="B15" s="93" t="s">
        <v>538</v>
      </c>
      <c r="C15" s="93" t="s">
        <v>521</v>
      </c>
      <c r="D15" s="23"/>
      <c r="E15" s="23"/>
    </row>
    <row r="16" spans="1:5" hidden="1" x14ac:dyDescent="0.25">
      <c r="A16" s="93" t="s">
        <v>81</v>
      </c>
      <c r="B16" s="93" t="s">
        <v>76</v>
      </c>
      <c r="C16" s="94" t="s">
        <v>76</v>
      </c>
      <c r="D16" s="23"/>
    </row>
    <row r="17" spans="1:5" hidden="1" x14ac:dyDescent="0.25">
      <c r="A17" s="93" t="s">
        <v>474</v>
      </c>
      <c r="B17" s="94" t="s">
        <v>76</v>
      </c>
      <c r="C17" s="94" t="s">
        <v>76</v>
      </c>
    </row>
    <row r="18" spans="1:5" hidden="1" x14ac:dyDescent="0.25">
      <c r="A18" s="93" t="s">
        <v>476</v>
      </c>
      <c r="B18" s="94" t="s">
        <v>76</v>
      </c>
      <c r="C18" s="94" t="s">
        <v>76</v>
      </c>
    </row>
    <row r="19" spans="1:5" x14ac:dyDescent="0.25">
      <c r="A19" s="93" t="s">
        <v>475</v>
      </c>
      <c r="B19" s="94" t="s">
        <v>531</v>
      </c>
      <c r="C19" s="94" t="s">
        <v>532</v>
      </c>
    </row>
    <row r="20" spans="1:5" hidden="1" x14ac:dyDescent="0.25">
      <c r="A20" s="93" t="s">
        <v>477</v>
      </c>
      <c r="B20" s="93" t="s">
        <v>537</v>
      </c>
      <c r="C20" s="94" t="s">
        <v>76</v>
      </c>
    </row>
    <row r="21" spans="1:5" hidden="1" x14ac:dyDescent="0.25">
      <c r="A21" s="93" t="s">
        <v>544</v>
      </c>
      <c r="B21" s="93" t="s">
        <v>522</v>
      </c>
      <c r="C21" s="94" t="s">
        <v>76</v>
      </c>
    </row>
    <row r="22" spans="1:5" x14ac:dyDescent="0.25">
      <c r="A22" s="93" t="s">
        <v>478</v>
      </c>
      <c r="B22" s="93" t="s">
        <v>516</v>
      </c>
      <c r="C22" s="94" t="s">
        <v>545</v>
      </c>
      <c r="D22" s="2" t="s">
        <v>515</v>
      </c>
      <c r="E22" s="23"/>
    </row>
    <row r="23" spans="1:5" x14ac:dyDescent="0.25">
      <c r="A23" s="93" t="s">
        <v>479</v>
      </c>
      <c r="B23" s="93" t="s">
        <v>516</v>
      </c>
      <c r="C23" s="94" t="s">
        <v>546</v>
      </c>
      <c r="D23" s="2" t="s">
        <v>515</v>
      </c>
      <c r="E23" s="2"/>
    </row>
    <row r="24" spans="1:5" x14ac:dyDescent="0.25">
      <c r="A24" s="93" t="s">
        <v>376</v>
      </c>
      <c r="B24" s="93" t="s">
        <v>516</v>
      </c>
      <c r="C24" s="93" t="s">
        <v>376</v>
      </c>
      <c r="D24" s="2" t="s">
        <v>515</v>
      </c>
    </row>
    <row r="25" spans="1:5" hidden="1" x14ac:dyDescent="0.25">
      <c r="A25" s="93" t="s">
        <v>124</v>
      </c>
      <c r="B25" s="93" t="s">
        <v>76</v>
      </c>
      <c r="C25" s="94" t="s">
        <v>76</v>
      </c>
    </row>
    <row r="26" spans="1:5" x14ac:dyDescent="0.25">
      <c r="A26" s="93" t="s">
        <v>118</v>
      </c>
      <c r="B26" s="93" t="s">
        <v>514</v>
      </c>
      <c r="C26" s="94" t="s">
        <v>76</v>
      </c>
    </row>
    <row r="27" spans="1:5" x14ac:dyDescent="0.25">
      <c r="A27" s="93" t="s">
        <v>480</v>
      </c>
      <c r="B27" s="94" t="s">
        <v>516</v>
      </c>
      <c r="C27" s="94" t="s">
        <v>530</v>
      </c>
      <c r="D27" s="2" t="s">
        <v>515</v>
      </c>
    </row>
    <row r="28" spans="1:5" x14ac:dyDescent="0.25">
      <c r="A28" s="93" t="s">
        <v>481</v>
      </c>
      <c r="B28" s="94" t="s">
        <v>516</v>
      </c>
      <c r="C28" s="94" t="s">
        <v>530</v>
      </c>
      <c r="D28" s="2" t="s">
        <v>515</v>
      </c>
    </row>
    <row r="29" spans="1:5" hidden="1" x14ac:dyDescent="0.25">
      <c r="A29" s="93" t="s">
        <v>433</v>
      </c>
      <c r="B29" s="94" t="s">
        <v>76</v>
      </c>
      <c r="C29" s="94" t="s">
        <v>76</v>
      </c>
    </row>
    <row r="30" spans="1:5" hidden="1" x14ac:dyDescent="0.25">
      <c r="A30" s="93" t="s">
        <v>482</v>
      </c>
      <c r="B30" s="94" t="s">
        <v>522</v>
      </c>
      <c r="C30" s="94" t="s">
        <v>76</v>
      </c>
    </row>
    <row r="31" spans="1:5" hidden="1" x14ac:dyDescent="0.25">
      <c r="A31" s="93" t="s">
        <v>483</v>
      </c>
      <c r="B31" s="94" t="s">
        <v>522</v>
      </c>
      <c r="C31" s="94" t="s">
        <v>76</v>
      </c>
    </row>
    <row r="32" spans="1:5" hidden="1" x14ac:dyDescent="0.25">
      <c r="A32" s="93" t="s">
        <v>485</v>
      </c>
      <c r="B32" s="94" t="s">
        <v>522</v>
      </c>
      <c r="C32" s="94" t="s">
        <v>76</v>
      </c>
    </row>
    <row r="33" spans="1:3" x14ac:dyDescent="0.25">
      <c r="A33" s="93" t="s">
        <v>486</v>
      </c>
      <c r="B33" s="94" t="s">
        <v>529</v>
      </c>
      <c r="C33" s="94" t="s">
        <v>76</v>
      </c>
    </row>
    <row r="34" spans="1:3" x14ac:dyDescent="0.25">
      <c r="A34" s="93" t="s">
        <v>487</v>
      </c>
      <c r="B34" s="94" t="s">
        <v>529</v>
      </c>
      <c r="C34" s="94" t="s">
        <v>76</v>
      </c>
    </row>
    <row r="35" spans="1:3" x14ac:dyDescent="0.25">
      <c r="A35" s="93" t="s">
        <v>439</v>
      </c>
      <c r="B35" s="93" t="s">
        <v>538</v>
      </c>
      <c r="C35" s="94" t="s">
        <v>559</v>
      </c>
    </row>
    <row r="36" spans="1:3" x14ac:dyDescent="0.25">
      <c r="A36" s="93" t="s">
        <v>488</v>
      </c>
      <c r="B36" s="94" t="s">
        <v>529</v>
      </c>
      <c r="C36" s="94" t="s">
        <v>76</v>
      </c>
    </row>
    <row r="37" spans="1:3" x14ac:dyDescent="0.25">
      <c r="A37" s="93" t="s">
        <v>490</v>
      </c>
      <c r="B37" s="93" t="s">
        <v>538</v>
      </c>
      <c r="C37" s="94" t="s">
        <v>448</v>
      </c>
    </row>
    <row r="38" spans="1:3" hidden="1" x14ac:dyDescent="0.25">
      <c r="A38" s="93" t="s">
        <v>491</v>
      </c>
      <c r="B38" s="94" t="s">
        <v>522</v>
      </c>
      <c r="C38" s="94" t="s">
        <v>76</v>
      </c>
    </row>
    <row r="39" spans="1:3" x14ac:dyDescent="0.25">
      <c r="A39" s="93" t="s">
        <v>493</v>
      </c>
      <c r="B39" s="94" t="s">
        <v>520</v>
      </c>
      <c r="C39" s="94" t="s">
        <v>528</v>
      </c>
    </row>
    <row r="40" spans="1:3" hidden="1" x14ac:dyDescent="0.25">
      <c r="A40" s="93" t="s">
        <v>504</v>
      </c>
      <c r="B40" s="94" t="s">
        <v>76</v>
      </c>
      <c r="C40" s="94" t="s">
        <v>76</v>
      </c>
    </row>
    <row r="41" spans="1:3" hidden="1" x14ac:dyDescent="0.25">
      <c r="A41" s="93" t="s">
        <v>494</v>
      </c>
      <c r="B41" s="94" t="s">
        <v>522</v>
      </c>
      <c r="C41" s="94" t="s">
        <v>76</v>
      </c>
    </row>
    <row r="42" spans="1:3" x14ac:dyDescent="0.25">
      <c r="A42" s="93" t="s">
        <v>495</v>
      </c>
      <c r="B42" s="94" t="s">
        <v>527</v>
      </c>
      <c r="C42" s="94" t="s">
        <v>76</v>
      </c>
    </row>
    <row r="43" spans="1:3" hidden="1" x14ac:dyDescent="0.25">
      <c r="A43" s="93" t="s">
        <v>496</v>
      </c>
      <c r="B43" s="94" t="s">
        <v>76</v>
      </c>
      <c r="C43" s="94" t="s">
        <v>76</v>
      </c>
    </row>
    <row r="44" spans="1:3" hidden="1" x14ac:dyDescent="0.25">
      <c r="A44" s="93" t="s">
        <v>497</v>
      </c>
      <c r="B44" s="94" t="s">
        <v>76</v>
      </c>
      <c r="C44" s="94" t="s">
        <v>76</v>
      </c>
    </row>
    <row r="45" spans="1:3" hidden="1" x14ac:dyDescent="0.25">
      <c r="A45" s="93" t="s">
        <v>498</v>
      </c>
      <c r="B45" s="94" t="s">
        <v>76</v>
      </c>
      <c r="C45" s="94" t="s">
        <v>76</v>
      </c>
    </row>
    <row r="46" spans="1:3" hidden="1" x14ac:dyDescent="0.25">
      <c r="A46" s="93" t="s">
        <v>499</v>
      </c>
      <c r="B46" s="94" t="s">
        <v>76</v>
      </c>
      <c r="C46" s="94" t="s">
        <v>76</v>
      </c>
    </row>
    <row r="47" spans="1:3" x14ac:dyDescent="0.25">
      <c r="A47" s="93" t="s">
        <v>500</v>
      </c>
      <c r="B47" s="93" t="s">
        <v>515</v>
      </c>
      <c r="C47" s="93" t="s">
        <v>526</v>
      </c>
    </row>
    <row r="48" spans="1:3" x14ac:dyDescent="0.25">
      <c r="A48" s="93" t="s">
        <v>501</v>
      </c>
      <c r="B48" s="93" t="s">
        <v>523</v>
      </c>
      <c r="C48" s="93" t="s">
        <v>166</v>
      </c>
    </row>
    <row r="49" spans="1:3" hidden="1" x14ac:dyDescent="0.25">
      <c r="A49" s="93" t="s">
        <v>502</v>
      </c>
      <c r="B49" s="93" t="s">
        <v>76</v>
      </c>
      <c r="C49" s="93" t="s">
        <v>76</v>
      </c>
    </row>
    <row r="50" spans="1:3" hidden="1" x14ac:dyDescent="0.25">
      <c r="A50" s="93" t="s">
        <v>503</v>
      </c>
      <c r="B50" s="93" t="s">
        <v>76</v>
      </c>
      <c r="C50" s="93" t="s">
        <v>76</v>
      </c>
    </row>
    <row r="51" spans="1:3" x14ac:dyDescent="0.25">
      <c r="A51" s="93" t="s">
        <v>551</v>
      </c>
      <c r="B51" s="93" t="s">
        <v>523</v>
      </c>
      <c r="C51" s="93" t="s">
        <v>550</v>
      </c>
    </row>
    <row r="52" spans="1:3" x14ac:dyDescent="0.25">
      <c r="A52" s="93" t="s">
        <v>505</v>
      </c>
      <c r="B52" s="93" t="s">
        <v>539</v>
      </c>
      <c r="C52" s="93" t="s">
        <v>76</v>
      </c>
    </row>
    <row r="53" spans="1:3" hidden="1" x14ac:dyDescent="0.25">
      <c r="A53" s="93" t="s">
        <v>506</v>
      </c>
      <c r="B53" s="93" t="s">
        <v>76</v>
      </c>
      <c r="C53" s="93" t="s">
        <v>76</v>
      </c>
    </row>
    <row r="54" spans="1:3" x14ac:dyDescent="0.25">
      <c r="A54" s="93" t="s">
        <v>507</v>
      </c>
      <c r="B54" s="93" t="s">
        <v>514</v>
      </c>
      <c r="C54" s="93" t="s">
        <v>76</v>
      </c>
    </row>
    <row r="55" spans="1:3" x14ac:dyDescent="0.25">
      <c r="A55" s="93" t="s">
        <v>508</v>
      </c>
      <c r="B55" s="93" t="s">
        <v>523</v>
      </c>
      <c r="C55" s="93" t="s">
        <v>525</v>
      </c>
    </row>
    <row r="56" spans="1:3" hidden="1" x14ac:dyDescent="0.25">
      <c r="A56" s="93" t="s">
        <v>509</v>
      </c>
      <c r="B56" s="93" t="s">
        <v>76</v>
      </c>
      <c r="C56" s="93" t="s">
        <v>76</v>
      </c>
    </row>
    <row r="57" spans="1:3" hidden="1" x14ac:dyDescent="0.25">
      <c r="A57" s="93" t="s">
        <v>510</v>
      </c>
      <c r="B57" s="93" t="s">
        <v>76</v>
      </c>
      <c r="C57" s="93" t="s">
        <v>76</v>
      </c>
    </row>
    <row r="58" spans="1:3" hidden="1" x14ac:dyDescent="0.25">
      <c r="A58" s="93" t="s">
        <v>511</v>
      </c>
      <c r="B58" s="93" t="s">
        <v>76</v>
      </c>
      <c r="C58" s="93" t="s">
        <v>76</v>
      </c>
    </row>
    <row r="59" spans="1:3" x14ac:dyDescent="0.25">
      <c r="A59" s="93" t="s">
        <v>149</v>
      </c>
      <c r="B59" s="93" t="s">
        <v>523</v>
      </c>
      <c r="C59" s="93" t="s">
        <v>524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533</v>
      </c>
      <c r="B3" t="s">
        <v>535</v>
      </c>
    </row>
    <row r="4" spans="1:2" x14ac:dyDescent="0.25">
      <c r="A4" s="90" t="s">
        <v>76</v>
      </c>
      <c r="B4" s="91">
        <v>13</v>
      </c>
    </row>
    <row r="5" spans="1:2" x14ac:dyDescent="0.25">
      <c r="A5" s="90" t="s">
        <v>523</v>
      </c>
      <c r="B5" s="91">
        <v>7</v>
      </c>
    </row>
    <row r="6" spans="1:2" x14ac:dyDescent="0.25">
      <c r="A6" s="90" t="s">
        <v>514</v>
      </c>
      <c r="B6" s="91">
        <v>7</v>
      </c>
    </row>
    <row r="7" spans="1:2" x14ac:dyDescent="0.25">
      <c r="A7" s="90" t="s">
        <v>522</v>
      </c>
      <c r="B7" s="91">
        <v>6</v>
      </c>
    </row>
    <row r="8" spans="1:2" x14ac:dyDescent="0.25">
      <c r="A8" s="90" t="s">
        <v>516</v>
      </c>
      <c r="B8" s="91">
        <v>6</v>
      </c>
    </row>
    <row r="9" spans="1:2" x14ac:dyDescent="0.25">
      <c r="A9" s="90" t="s">
        <v>538</v>
      </c>
      <c r="B9" s="91">
        <v>4</v>
      </c>
    </row>
    <row r="10" spans="1:2" x14ac:dyDescent="0.25">
      <c r="A10" s="90" t="s">
        <v>520</v>
      </c>
      <c r="B10" s="91">
        <v>3</v>
      </c>
    </row>
    <row r="11" spans="1:2" x14ac:dyDescent="0.25">
      <c r="A11" s="90" t="s">
        <v>529</v>
      </c>
      <c r="B11" s="91">
        <v>3</v>
      </c>
    </row>
    <row r="12" spans="1:2" x14ac:dyDescent="0.25">
      <c r="A12" s="90" t="s">
        <v>515</v>
      </c>
      <c r="B12" s="91">
        <v>3</v>
      </c>
    </row>
    <row r="13" spans="1:2" x14ac:dyDescent="0.25">
      <c r="A13" s="90" t="s">
        <v>539</v>
      </c>
      <c r="B13" s="91">
        <v>2</v>
      </c>
    </row>
    <row r="14" spans="1:2" x14ac:dyDescent="0.25">
      <c r="A14" s="90" t="s">
        <v>527</v>
      </c>
      <c r="B14" s="91">
        <v>1</v>
      </c>
    </row>
    <row r="15" spans="1:2" x14ac:dyDescent="0.25">
      <c r="A15" s="90" t="s">
        <v>531</v>
      </c>
      <c r="B15" s="91">
        <v>1</v>
      </c>
    </row>
    <row r="16" spans="1:2" x14ac:dyDescent="0.25">
      <c r="A16" s="90" t="s">
        <v>537</v>
      </c>
      <c r="B16" s="91">
        <v>1</v>
      </c>
    </row>
    <row r="17" spans="1:2" x14ac:dyDescent="0.25">
      <c r="A17" s="90" t="s">
        <v>534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410</v>
      </c>
      <c r="B1" s="80" t="s">
        <v>408</v>
      </c>
      <c r="C1" s="80" t="s">
        <v>409</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2018-05-08T14:03:05Z</dcterms:modified>
</cp:coreProperties>
</file>