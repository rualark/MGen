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<sst xmlns="http://schemas.openxmlformats.org/spreadsheetml/2006/main" count="4108" uniqueCount="903">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</sst>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2" activePane="bottomLeft" state="frozen"/>
      <selection activeCell="C37" sqref="C37"/>
      <selection pane="bottomLeft" activeCell="F6" sqref="F6:H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842</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798</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797</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16"/>
      <c r="B16" s="108"/>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792</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26" t="s">
        <v>900</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16"/>
      <c r="B23" s="108"/>
      <c r="C23" s="26" t="s">
        <v>899</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16"/>
      <c r="B24" s="108"/>
      <c r="C24" s="103" t="s">
        <v>895</v>
      </c>
      <c r="D24" s="3"/>
      <c r="E24" s="54" t="s">
        <v>2</v>
      </c>
      <c r="F24" s="54" t="s">
        <v>3</v>
      </c>
      <c r="G24" s="56" t="s">
        <v>4</v>
      </c>
      <c r="H24" s="56" t="s">
        <v>47</v>
      </c>
      <c r="I24" s="3"/>
      <c r="J24" s="3"/>
      <c r="K24" s="3"/>
      <c r="L24" s="3"/>
      <c r="M24" s="13"/>
      <c r="N24" s="19" t="s">
        <v>793</v>
      </c>
      <c r="P24" s="2">
        <v>460</v>
      </c>
      <c r="Q24" s="2">
        <v>461</v>
      </c>
      <c r="R24" s="2">
        <v>462</v>
      </c>
      <c r="S24" s="2">
        <v>463</v>
      </c>
      <c r="U24" s="2"/>
      <c r="V24" s="2"/>
      <c r="W24" s="2"/>
      <c r="X24" s="2"/>
    </row>
    <row r="25" spans="1:24" ht="15.9" customHeight="1" x14ac:dyDescent="0.25">
      <c r="A25" s="116"/>
      <c r="B25" s="108"/>
      <c r="C25" s="103" t="s">
        <v>896</v>
      </c>
      <c r="D25" s="3"/>
      <c r="E25" s="54" t="s">
        <v>2</v>
      </c>
      <c r="F25" s="54" t="s">
        <v>3</v>
      </c>
      <c r="G25" s="56" t="s">
        <v>4</v>
      </c>
      <c r="H25" s="56" t="s">
        <v>47</v>
      </c>
      <c r="I25" s="3"/>
      <c r="J25" s="3"/>
      <c r="K25" s="3"/>
      <c r="L25" s="3"/>
      <c r="M25" s="4"/>
      <c r="N25" s="19" t="s">
        <v>794</v>
      </c>
      <c r="P25" s="2">
        <v>464</v>
      </c>
      <c r="Q25" s="2">
        <v>465</v>
      </c>
      <c r="R25" s="2">
        <v>466</v>
      </c>
      <c r="S25" s="2">
        <v>467</v>
      </c>
      <c r="U25" s="2"/>
      <c r="V25" s="2"/>
      <c r="W25" s="2"/>
      <c r="X25" s="2"/>
    </row>
    <row r="26" spans="1:24" ht="15.9" customHeight="1" x14ac:dyDescent="0.25">
      <c r="A26" s="116"/>
      <c r="B26" s="108"/>
      <c r="C26" s="103" t="s">
        <v>897</v>
      </c>
      <c r="D26" s="3"/>
      <c r="E26" s="54" t="s">
        <v>2</v>
      </c>
      <c r="F26" s="54" t="s">
        <v>3</v>
      </c>
      <c r="G26" s="56" t="s">
        <v>4</v>
      </c>
      <c r="H26" s="56" t="s">
        <v>47</v>
      </c>
      <c r="I26" s="98"/>
      <c r="J26" s="3"/>
      <c r="K26" s="3"/>
      <c r="L26" s="3"/>
      <c r="M26" s="4"/>
      <c r="N26" s="19" t="s">
        <v>795</v>
      </c>
      <c r="P26" s="2">
        <v>468</v>
      </c>
      <c r="Q26" s="2">
        <v>469</v>
      </c>
      <c r="R26" s="2">
        <v>470</v>
      </c>
      <c r="S26" s="2">
        <v>471</v>
      </c>
      <c r="U26" s="2"/>
      <c r="V26" s="2"/>
      <c r="W26" s="2"/>
      <c r="X26" s="2"/>
    </row>
    <row r="27" spans="1:24" ht="15.9" customHeight="1" x14ac:dyDescent="0.25">
      <c r="A27" s="116"/>
      <c r="B27" s="108"/>
      <c r="C27" s="103" t="s">
        <v>898</v>
      </c>
      <c r="D27" s="3"/>
      <c r="E27" s="54" t="s">
        <v>2</v>
      </c>
      <c r="F27" s="54" t="s">
        <v>3</v>
      </c>
      <c r="G27" s="56" t="s">
        <v>4</v>
      </c>
      <c r="H27" s="56" t="s">
        <v>47</v>
      </c>
      <c r="I27" s="3"/>
      <c r="J27" s="3"/>
      <c r="K27" s="3"/>
      <c r="L27" s="3"/>
      <c r="M27" s="4"/>
      <c r="N27" s="19" t="s">
        <v>796</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845</v>
      </c>
      <c r="D31" s="3">
        <v>0</v>
      </c>
      <c r="E31" s="49" t="s">
        <v>271</v>
      </c>
      <c r="F31" s="49" t="s">
        <v>837</v>
      </c>
      <c r="G31" s="48" t="s">
        <v>301</v>
      </c>
      <c r="H31" s="48" t="s">
        <v>817</v>
      </c>
      <c r="I31" s="3"/>
      <c r="J31" s="3"/>
      <c r="K31" s="3"/>
      <c r="L31" s="3"/>
      <c r="M31" s="13"/>
      <c r="N31" s="42"/>
      <c r="P31" s="2">
        <v>493</v>
      </c>
      <c r="Q31" s="2">
        <v>494</v>
      </c>
      <c r="R31" s="2">
        <v>495</v>
      </c>
      <c r="S31" s="2">
        <v>496</v>
      </c>
      <c r="T31" s="23"/>
      <c r="U31" s="23"/>
    </row>
    <row r="32" spans="1:24" ht="15.9" customHeight="1" x14ac:dyDescent="0.25">
      <c r="A32" s="116"/>
      <c r="B32" s="108"/>
      <c r="C32" s="25" t="s">
        <v>845</v>
      </c>
      <c r="D32" s="3">
        <v>1</v>
      </c>
      <c r="E32" s="49" t="s">
        <v>300</v>
      </c>
      <c r="F32" s="49" t="s">
        <v>837</v>
      </c>
      <c r="G32" s="48" t="s">
        <v>301</v>
      </c>
      <c r="H32" s="48" t="s">
        <v>817</v>
      </c>
      <c r="I32" s="3"/>
      <c r="J32" s="3"/>
      <c r="K32" s="3"/>
      <c r="L32" s="3"/>
      <c r="M32" s="13"/>
      <c r="N32" s="42"/>
      <c r="P32" s="2">
        <v>493</v>
      </c>
      <c r="Q32" s="2">
        <v>494</v>
      </c>
      <c r="R32" s="2">
        <v>495</v>
      </c>
      <c r="S32" s="2">
        <v>496</v>
      </c>
      <c r="T32" s="23"/>
      <c r="U32" s="23"/>
    </row>
    <row r="33" spans="1:21" ht="15.9" customHeight="1" x14ac:dyDescent="0.25">
      <c r="A33" s="116"/>
      <c r="B33" s="108"/>
      <c r="C33" s="25" t="s">
        <v>845</v>
      </c>
      <c r="D33" s="3">
        <v>2</v>
      </c>
      <c r="E33" s="48" t="s">
        <v>300</v>
      </c>
      <c r="F33" s="48" t="s">
        <v>818</v>
      </c>
      <c r="G33" s="50" t="s">
        <v>271</v>
      </c>
      <c r="H33" s="50" t="s">
        <v>837</v>
      </c>
      <c r="I33" s="3"/>
      <c r="J33" s="3"/>
      <c r="K33" s="3"/>
      <c r="L33" s="3"/>
      <c r="M33" s="13"/>
      <c r="N33" s="42"/>
      <c r="P33" s="2">
        <v>493</v>
      </c>
      <c r="Q33" s="2">
        <v>494</v>
      </c>
      <c r="R33" s="2">
        <v>495</v>
      </c>
      <c r="S33" s="2">
        <v>496</v>
      </c>
      <c r="T33" s="23"/>
      <c r="U33" s="23"/>
    </row>
    <row r="34" spans="1:21" ht="15.9" customHeight="1" x14ac:dyDescent="0.25">
      <c r="A34" s="116"/>
      <c r="B34" s="108"/>
      <c r="C34" s="25" t="s">
        <v>845</v>
      </c>
      <c r="D34" s="3">
        <v>3</v>
      </c>
      <c r="E34" s="48" t="s">
        <v>300</v>
      </c>
      <c r="F34" s="48" t="s">
        <v>818</v>
      </c>
      <c r="G34" s="50" t="s">
        <v>300</v>
      </c>
      <c r="H34" s="50" t="s">
        <v>818</v>
      </c>
      <c r="I34" s="3"/>
      <c r="J34" s="3"/>
      <c r="K34" s="3"/>
      <c r="L34" s="3"/>
      <c r="M34" s="13"/>
      <c r="N34" s="42"/>
      <c r="P34" s="2">
        <v>493</v>
      </c>
      <c r="Q34" s="2">
        <v>494</v>
      </c>
      <c r="R34" s="2">
        <v>495</v>
      </c>
      <c r="S34" s="2">
        <v>496</v>
      </c>
      <c r="T34" s="23"/>
      <c r="U34" s="23"/>
    </row>
    <row r="35" spans="1:21" ht="15.9" customHeight="1" x14ac:dyDescent="0.25">
      <c r="A35" s="116"/>
      <c r="B35" s="108"/>
      <c r="C35" s="25" t="s">
        <v>845</v>
      </c>
      <c r="D35" s="3">
        <v>4</v>
      </c>
      <c r="E35" s="49" t="s">
        <v>271</v>
      </c>
      <c r="F35" s="49" t="s">
        <v>837</v>
      </c>
      <c r="G35" s="48" t="s">
        <v>301</v>
      </c>
      <c r="H35" s="48" t="s">
        <v>817</v>
      </c>
      <c r="I35" s="3"/>
      <c r="J35" s="3"/>
      <c r="K35" s="3"/>
      <c r="L35" s="3"/>
      <c r="M35" s="13"/>
      <c r="N35" s="42"/>
      <c r="P35" s="2">
        <v>493</v>
      </c>
      <c r="Q35" s="2">
        <v>494</v>
      </c>
      <c r="R35" s="2">
        <v>495</v>
      </c>
      <c r="S35" s="2">
        <v>496</v>
      </c>
      <c r="T35" s="23"/>
      <c r="U35" s="23"/>
    </row>
    <row r="36" spans="1:21" ht="15.9" customHeight="1" x14ac:dyDescent="0.25">
      <c r="A36" s="116"/>
      <c r="B36" s="108"/>
      <c r="C36" s="25" t="s">
        <v>845</v>
      </c>
      <c r="D36" s="3">
        <v>5</v>
      </c>
      <c r="E36" s="49" t="s">
        <v>271</v>
      </c>
      <c r="F36" s="49" t="s">
        <v>837</v>
      </c>
      <c r="G36" s="48" t="s">
        <v>301</v>
      </c>
      <c r="H36" s="48" t="s">
        <v>817</v>
      </c>
      <c r="I36" s="3"/>
      <c r="J36" s="3"/>
      <c r="K36" s="3"/>
      <c r="L36" s="3"/>
      <c r="M36" s="13"/>
      <c r="N36" s="42"/>
      <c r="P36" s="2">
        <v>493</v>
      </c>
      <c r="Q36" s="2">
        <v>494</v>
      </c>
      <c r="R36" s="2">
        <v>495</v>
      </c>
      <c r="S36" s="2">
        <v>496</v>
      </c>
      <c r="T36" s="23"/>
      <c r="U36" s="23"/>
    </row>
    <row r="37" spans="1:21" ht="15.9" customHeight="1" x14ac:dyDescent="0.25">
      <c r="A37" s="116"/>
      <c r="B37" s="108"/>
      <c r="C37" s="25" t="s">
        <v>846</v>
      </c>
      <c r="D37" s="3">
        <v>0</v>
      </c>
      <c r="E37" s="49" t="s">
        <v>838</v>
      </c>
      <c r="F37" s="49" t="s">
        <v>839</v>
      </c>
      <c r="G37" s="48" t="s">
        <v>840</v>
      </c>
      <c r="H37" s="48" t="s">
        <v>841</v>
      </c>
      <c r="I37" s="3"/>
      <c r="J37" s="3"/>
      <c r="K37" s="3"/>
      <c r="L37" s="3"/>
      <c r="M37" s="13"/>
      <c r="N37" s="42"/>
      <c r="P37" s="2">
        <v>497</v>
      </c>
      <c r="Q37" s="2">
        <v>498</v>
      </c>
      <c r="R37" s="2">
        <v>499</v>
      </c>
      <c r="S37" s="2">
        <v>500</v>
      </c>
      <c r="T37" s="23"/>
      <c r="U37" s="23"/>
    </row>
    <row r="38" spans="1:21" ht="15.9" customHeight="1" x14ac:dyDescent="0.25">
      <c r="A38" s="116"/>
      <c r="B38" s="108"/>
      <c r="C38" s="25" t="s">
        <v>846</v>
      </c>
      <c r="D38" s="3">
        <v>1</v>
      </c>
      <c r="E38" s="49" t="s">
        <v>301</v>
      </c>
      <c r="F38" s="49" t="s">
        <v>839</v>
      </c>
      <c r="G38" s="48" t="s">
        <v>840</v>
      </c>
      <c r="H38" s="48" t="s">
        <v>841</v>
      </c>
      <c r="I38" s="3"/>
      <c r="J38" s="3"/>
      <c r="K38" s="3"/>
      <c r="L38" s="3"/>
      <c r="M38" s="13"/>
      <c r="N38" s="42"/>
      <c r="P38" s="2">
        <v>497</v>
      </c>
      <c r="Q38" s="2">
        <v>498</v>
      </c>
      <c r="R38" s="2">
        <v>499</v>
      </c>
      <c r="S38" s="2">
        <v>500</v>
      </c>
      <c r="T38" s="23"/>
      <c r="U38" s="23"/>
    </row>
    <row r="39" spans="1:21" ht="15.9" customHeight="1" x14ac:dyDescent="0.25">
      <c r="A39" s="116"/>
      <c r="B39" s="108"/>
      <c r="C39" s="25" t="s">
        <v>846</v>
      </c>
      <c r="D39" s="3">
        <v>2</v>
      </c>
      <c r="E39" s="48" t="s">
        <v>301</v>
      </c>
      <c r="F39" s="48" t="s">
        <v>819</v>
      </c>
      <c r="G39" s="50" t="s">
        <v>301</v>
      </c>
      <c r="H39" s="50" t="s">
        <v>819</v>
      </c>
      <c r="I39" s="3"/>
      <c r="J39" s="3"/>
      <c r="K39" s="3"/>
      <c r="L39" s="3"/>
      <c r="M39" s="13"/>
      <c r="N39" s="42"/>
      <c r="P39" s="2">
        <v>497</v>
      </c>
      <c r="Q39" s="2">
        <v>498</v>
      </c>
      <c r="R39" s="2">
        <v>499</v>
      </c>
      <c r="S39" s="2">
        <v>500</v>
      </c>
      <c r="T39" s="23"/>
      <c r="U39" s="23"/>
    </row>
    <row r="40" spans="1:21" ht="15.9" customHeight="1" x14ac:dyDescent="0.25">
      <c r="A40" s="116"/>
      <c r="B40" s="108"/>
      <c r="C40" s="25" t="s">
        <v>846</v>
      </c>
      <c r="D40" s="3">
        <v>3</v>
      </c>
      <c r="E40" s="48" t="s">
        <v>301</v>
      </c>
      <c r="F40" s="48" t="s">
        <v>819</v>
      </c>
      <c r="G40" s="50" t="s">
        <v>301</v>
      </c>
      <c r="H40" s="50" t="s">
        <v>819</v>
      </c>
      <c r="I40" s="3"/>
      <c r="J40" s="3"/>
      <c r="K40" s="3"/>
      <c r="L40" s="3"/>
      <c r="M40" s="13"/>
      <c r="N40" s="42"/>
      <c r="P40" s="2">
        <v>497</v>
      </c>
      <c r="Q40" s="2">
        <v>498</v>
      </c>
      <c r="R40" s="2">
        <v>499</v>
      </c>
      <c r="S40" s="2">
        <v>500</v>
      </c>
      <c r="T40" s="23"/>
      <c r="U40" s="23"/>
    </row>
    <row r="41" spans="1:21" ht="15.9" customHeight="1" x14ac:dyDescent="0.25">
      <c r="A41" s="116"/>
      <c r="B41" s="108"/>
      <c r="C41" s="25" t="s">
        <v>846</v>
      </c>
      <c r="D41" s="3">
        <v>4</v>
      </c>
      <c r="E41" s="49" t="s">
        <v>838</v>
      </c>
      <c r="F41" s="49" t="s">
        <v>839</v>
      </c>
      <c r="G41" s="48" t="s">
        <v>840</v>
      </c>
      <c r="H41" s="48" t="s">
        <v>841</v>
      </c>
      <c r="I41" s="3"/>
      <c r="J41" s="3"/>
      <c r="K41" s="3"/>
      <c r="L41" s="3"/>
      <c r="M41" s="13"/>
      <c r="N41" s="42"/>
      <c r="P41" s="2">
        <v>497</v>
      </c>
      <c r="Q41" s="2">
        <v>498</v>
      </c>
      <c r="R41" s="2">
        <v>499</v>
      </c>
      <c r="S41" s="2">
        <v>500</v>
      </c>
      <c r="T41" s="23"/>
      <c r="U41" s="23"/>
    </row>
    <row r="42" spans="1:21" ht="15.9" customHeight="1" x14ac:dyDescent="0.25">
      <c r="A42" s="116"/>
      <c r="B42" s="108"/>
      <c r="C42" s="25" t="s">
        <v>846</v>
      </c>
      <c r="D42" s="3">
        <v>5</v>
      </c>
      <c r="E42" s="49" t="s">
        <v>838</v>
      </c>
      <c r="F42" s="49" t="s">
        <v>839</v>
      </c>
      <c r="G42" s="48" t="s">
        <v>840</v>
      </c>
      <c r="H42" s="48" t="s">
        <v>841</v>
      </c>
      <c r="I42" s="3"/>
      <c r="J42" s="3"/>
      <c r="K42" s="3"/>
      <c r="L42" s="3"/>
      <c r="M42" s="13"/>
      <c r="N42" s="42"/>
      <c r="P42" s="2">
        <v>497</v>
      </c>
      <c r="Q42" s="2">
        <v>498</v>
      </c>
      <c r="R42" s="2">
        <v>499</v>
      </c>
      <c r="S42" s="2">
        <v>500</v>
      </c>
      <c r="T42" s="23"/>
      <c r="U42" s="23"/>
    </row>
    <row r="43" spans="1:21" ht="15.9" customHeight="1" x14ac:dyDescent="0.25">
      <c r="A43" s="116"/>
      <c r="B43" s="108"/>
      <c r="C43" s="3" t="s">
        <v>545</v>
      </c>
      <c r="D43" s="3">
        <v>120</v>
      </c>
      <c r="E43" s="48">
        <v>3</v>
      </c>
      <c r="F43" s="50" t="s">
        <v>49</v>
      </c>
      <c r="G43" s="3"/>
      <c r="H43" s="3"/>
      <c r="I43" s="3"/>
      <c r="J43" s="3"/>
      <c r="K43" s="3"/>
      <c r="L43" s="3"/>
      <c r="M43" s="13"/>
      <c r="N43" s="42" t="s">
        <v>854</v>
      </c>
      <c r="P43" s="2">
        <v>501</v>
      </c>
      <c r="Q43" s="2">
        <v>502</v>
      </c>
      <c r="R43" s="23"/>
      <c r="S43" s="23"/>
      <c r="T43" s="23"/>
      <c r="U43" s="23"/>
    </row>
    <row r="44" spans="1:21" ht="15.9" customHeight="1" x14ac:dyDescent="0.25">
      <c r="A44" s="116"/>
      <c r="B44" s="108"/>
      <c r="C44" s="3" t="s">
        <v>545</v>
      </c>
      <c r="D44" s="3">
        <v>34</v>
      </c>
      <c r="E44" s="48">
        <v>3</v>
      </c>
      <c r="F44" s="50" t="s">
        <v>49</v>
      </c>
      <c r="G44" s="3"/>
      <c r="H44" s="3"/>
      <c r="I44" s="3"/>
      <c r="J44" s="3"/>
      <c r="K44" s="3"/>
      <c r="L44" s="3"/>
      <c r="M44" s="13"/>
      <c r="N44" s="42" t="s">
        <v>821</v>
      </c>
      <c r="P44" s="2">
        <v>501</v>
      </c>
      <c r="Q44" s="2">
        <v>502</v>
      </c>
      <c r="R44" s="23"/>
      <c r="S44" s="23"/>
      <c r="T44" s="23"/>
      <c r="U44" s="23"/>
    </row>
    <row r="45" spans="1:21" ht="15.9" customHeight="1" x14ac:dyDescent="0.25">
      <c r="A45" s="116"/>
      <c r="B45" s="108"/>
      <c r="C45" s="3" t="s">
        <v>545</v>
      </c>
      <c r="D45" s="3">
        <v>5</v>
      </c>
      <c r="E45" s="48">
        <v>4</v>
      </c>
      <c r="F45" s="50" t="s">
        <v>769</v>
      </c>
      <c r="G45" s="3"/>
      <c r="H45" s="3"/>
      <c r="I45" s="3"/>
      <c r="J45" s="3"/>
      <c r="K45" s="3"/>
      <c r="L45" s="3"/>
      <c r="M45" s="13"/>
      <c r="N45" s="42" t="s">
        <v>821</v>
      </c>
      <c r="P45" s="2">
        <v>501</v>
      </c>
      <c r="Q45" s="2">
        <v>502</v>
      </c>
      <c r="R45" s="23"/>
      <c r="S45" s="23"/>
      <c r="T45" s="23"/>
      <c r="U45" s="23"/>
    </row>
    <row r="46" spans="1:21" ht="15.9" customHeight="1" x14ac:dyDescent="0.25">
      <c r="A46" s="116"/>
      <c r="B46" s="108"/>
      <c r="C46" s="3" t="s">
        <v>847</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16"/>
      <c r="B47" s="108"/>
      <c r="C47" s="3" t="s">
        <v>847</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651</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652</v>
      </c>
      <c r="P49" s="2">
        <v>302</v>
      </c>
      <c r="R49" s="2">
        <v>303</v>
      </c>
    </row>
    <row r="50" spans="1:22" ht="15.9" customHeight="1" x14ac:dyDescent="0.25">
      <c r="A50" s="116"/>
      <c r="B50" s="111" t="s">
        <v>12</v>
      </c>
      <c r="C50" s="26" t="s">
        <v>843</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16"/>
      <c r="B51" s="112"/>
      <c r="C51" s="26" t="s">
        <v>843</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16"/>
      <c r="B52" s="112"/>
      <c r="C52" s="26" t="s">
        <v>844</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16"/>
      <c r="B53" s="112"/>
      <c r="C53" s="26" t="s">
        <v>843</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16"/>
      <c r="B54" s="112"/>
      <c r="C54" s="26" t="s">
        <v>844</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871</v>
      </c>
      <c r="D56" s="3"/>
      <c r="E56" s="57" t="s">
        <v>866</v>
      </c>
      <c r="F56" s="57" t="s">
        <v>867</v>
      </c>
      <c r="G56" s="57" t="s">
        <v>868</v>
      </c>
      <c r="H56" s="57" t="s">
        <v>869</v>
      </c>
      <c r="I56" s="3"/>
      <c r="J56" s="3"/>
      <c r="K56" s="3"/>
      <c r="L56" s="3"/>
      <c r="M56" s="43"/>
      <c r="N56" s="19" t="s">
        <v>864</v>
      </c>
      <c r="P56" s="2">
        <v>311</v>
      </c>
      <c r="Q56" s="2">
        <v>312</v>
      </c>
      <c r="R56" s="2">
        <v>405</v>
      </c>
      <c r="S56" s="2">
        <v>406</v>
      </c>
      <c r="T56" s="2"/>
    </row>
    <row r="57" spans="1:22" ht="15.9" customHeight="1" x14ac:dyDescent="0.25">
      <c r="A57" s="116"/>
      <c r="B57" s="112"/>
      <c r="C57" s="3" t="s">
        <v>870</v>
      </c>
      <c r="D57" s="3"/>
      <c r="E57" s="54" t="s">
        <v>866</v>
      </c>
      <c r="F57" s="54" t="s">
        <v>867</v>
      </c>
      <c r="G57" s="54" t="s">
        <v>868</v>
      </c>
      <c r="H57" s="54" t="s">
        <v>869</v>
      </c>
      <c r="I57" s="3"/>
      <c r="J57" s="3"/>
      <c r="K57" s="3"/>
      <c r="L57" s="3"/>
      <c r="M57" s="43"/>
      <c r="N57" s="19" t="s">
        <v>864</v>
      </c>
      <c r="P57" s="2">
        <v>313</v>
      </c>
      <c r="Q57" s="2">
        <v>314</v>
      </c>
      <c r="R57" s="2">
        <v>407</v>
      </c>
      <c r="S57" s="2">
        <v>408</v>
      </c>
      <c r="T57" s="2"/>
    </row>
    <row r="58" spans="1:22" ht="15.9" customHeight="1" x14ac:dyDescent="0.25">
      <c r="A58" s="116"/>
      <c r="B58" s="112"/>
      <c r="C58" s="3" t="s">
        <v>113</v>
      </c>
      <c r="D58" s="3"/>
      <c r="E58" s="48" t="s">
        <v>885</v>
      </c>
      <c r="F58" s="48" t="s">
        <v>886</v>
      </c>
      <c r="G58" s="3"/>
      <c r="H58" s="3"/>
      <c r="I58" s="3"/>
      <c r="J58" s="3"/>
      <c r="K58" s="3"/>
      <c r="L58" s="3"/>
      <c r="M58" s="10"/>
      <c r="N58" s="19" t="s">
        <v>655</v>
      </c>
      <c r="P58" s="2">
        <v>70</v>
      </c>
      <c r="Q58" s="2">
        <v>71</v>
      </c>
      <c r="R58" s="2"/>
      <c r="S58" s="2"/>
    </row>
    <row r="59" spans="1:22" ht="15.9" customHeight="1" x14ac:dyDescent="0.25">
      <c r="A59" s="11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1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1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16"/>
      <c r="B62" s="112"/>
      <c r="C62" s="26" t="s">
        <v>361</v>
      </c>
      <c r="D62" s="3"/>
      <c r="E62" s="57" t="s">
        <v>45</v>
      </c>
      <c r="F62" s="54" t="s">
        <v>46</v>
      </c>
      <c r="G62" s="57" t="s">
        <v>20</v>
      </c>
      <c r="H62" s="47"/>
      <c r="I62" s="3"/>
      <c r="J62" s="3"/>
      <c r="K62" s="3"/>
      <c r="L62" s="3"/>
      <c r="M62" s="43"/>
      <c r="N62" s="19" t="s">
        <v>894</v>
      </c>
      <c r="P62" s="2">
        <v>371</v>
      </c>
      <c r="Q62" s="2">
        <v>372</v>
      </c>
      <c r="R62" s="2">
        <v>373</v>
      </c>
      <c r="S62" s="2"/>
    </row>
    <row r="63" spans="1:22" ht="15.9" customHeight="1" x14ac:dyDescent="0.25">
      <c r="A63" s="116"/>
      <c r="B63" s="111" t="s">
        <v>414</v>
      </c>
      <c r="C63" s="26" t="s">
        <v>770</v>
      </c>
      <c r="D63" s="3"/>
      <c r="E63" s="57" t="s">
        <v>45</v>
      </c>
      <c r="F63" s="54" t="s">
        <v>46</v>
      </c>
      <c r="G63" s="57" t="s">
        <v>20</v>
      </c>
      <c r="H63" s="3"/>
      <c r="I63" s="3"/>
      <c r="J63" s="3"/>
      <c r="K63" s="3"/>
      <c r="L63" s="3"/>
      <c r="M63" s="4"/>
      <c r="N63" s="19" t="s">
        <v>891</v>
      </c>
      <c r="P63" s="2">
        <v>368</v>
      </c>
      <c r="Q63" s="2">
        <v>369</v>
      </c>
      <c r="R63" s="2">
        <v>370</v>
      </c>
      <c r="S63" s="2"/>
      <c r="T63" s="2"/>
      <c r="U63" s="2"/>
    </row>
    <row r="64" spans="1:22" ht="15.9" customHeight="1" x14ac:dyDescent="0.25">
      <c r="A64" s="116"/>
      <c r="B64" s="112"/>
      <c r="C64" s="26" t="s">
        <v>771</v>
      </c>
      <c r="D64" s="3"/>
      <c r="E64" s="55" t="s">
        <v>45</v>
      </c>
      <c r="F64" s="56" t="s">
        <v>46</v>
      </c>
      <c r="G64" s="57" t="s">
        <v>20</v>
      </c>
      <c r="H64" s="3"/>
      <c r="I64" s="3"/>
      <c r="J64" s="3"/>
      <c r="K64" s="3"/>
      <c r="L64" s="3"/>
      <c r="M64" s="4"/>
      <c r="N64" s="19" t="s">
        <v>892</v>
      </c>
      <c r="P64" s="2">
        <v>365</v>
      </c>
      <c r="Q64" s="2">
        <v>366</v>
      </c>
      <c r="R64" s="2">
        <v>367</v>
      </c>
    </row>
    <row r="65" spans="1:24" ht="15.9" customHeight="1" x14ac:dyDescent="0.25">
      <c r="A65" s="116"/>
      <c r="B65" s="112"/>
      <c r="C65" s="26" t="s">
        <v>772</v>
      </c>
      <c r="D65" s="3"/>
      <c r="E65" s="55" t="s">
        <v>45</v>
      </c>
      <c r="F65" s="56" t="s">
        <v>46</v>
      </c>
      <c r="G65" s="57" t="s">
        <v>20</v>
      </c>
      <c r="H65" s="3"/>
      <c r="I65" s="3"/>
      <c r="J65" s="3"/>
      <c r="K65" s="3"/>
      <c r="L65" s="3"/>
      <c r="M65" s="4"/>
      <c r="N65" s="19" t="s">
        <v>893</v>
      </c>
      <c r="P65" s="2">
        <v>360</v>
      </c>
      <c r="Q65" s="2">
        <v>361</v>
      </c>
      <c r="R65" s="2">
        <v>362</v>
      </c>
    </row>
    <row r="66" spans="1:24" ht="15.9" customHeight="1" x14ac:dyDescent="0.25">
      <c r="A66" s="11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1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16"/>
      <c r="B69" s="108"/>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16"/>
      <c r="B70" s="108"/>
      <c r="C70" s="26" t="s">
        <v>467</v>
      </c>
      <c r="D70" s="3"/>
      <c r="E70" s="53" t="s">
        <v>547</v>
      </c>
      <c r="F70" s="3"/>
      <c r="G70" s="3"/>
      <c r="H70" s="3"/>
      <c r="I70" s="3"/>
      <c r="J70" s="3"/>
      <c r="K70" s="3"/>
      <c r="L70" s="3"/>
      <c r="M70" s="13"/>
      <c r="N70" s="19"/>
      <c r="P70" s="22">
        <v>11</v>
      </c>
      <c r="Q70" s="2"/>
      <c r="R70" s="2"/>
      <c r="S70" s="2"/>
      <c r="T70" s="22"/>
    </row>
    <row r="71" spans="1:24" ht="15.9" customHeight="1" x14ac:dyDescent="0.25">
      <c r="A71" s="116"/>
      <c r="B71" s="108"/>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16"/>
      <c r="B72" s="108"/>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16"/>
      <c r="B73" s="108"/>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758</v>
      </c>
      <c r="D74" s="3"/>
      <c r="E74" s="50" t="s">
        <v>278</v>
      </c>
      <c r="F74" s="48" t="s">
        <v>555</v>
      </c>
      <c r="G74" s="48" t="s">
        <v>754</v>
      </c>
      <c r="H74" s="49" t="s">
        <v>556</v>
      </c>
      <c r="I74" s="3"/>
      <c r="J74" s="3"/>
      <c r="K74" s="3"/>
      <c r="L74" s="3"/>
      <c r="M74" s="4"/>
      <c r="N74" s="19"/>
      <c r="P74" s="2">
        <v>446</v>
      </c>
      <c r="Q74" s="2">
        <v>447</v>
      </c>
      <c r="R74" s="2">
        <v>448</v>
      </c>
      <c r="S74" s="2">
        <v>449</v>
      </c>
      <c r="U74" s="2"/>
      <c r="V74" s="2"/>
      <c r="W74" s="2"/>
      <c r="X74" s="2"/>
    </row>
    <row r="75" spans="1:24" ht="15.9" customHeight="1" x14ac:dyDescent="0.25">
      <c r="A75" s="116"/>
      <c r="B75" s="108"/>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16"/>
      <c r="B76" s="108"/>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574</v>
      </c>
      <c r="F77" s="49" t="s">
        <v>575</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16"/>
      <c r="B79" s="108"/>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16"/>
      <c r="B80" s="108"/>
      <c r="C80" s="3" t="s">
        <v>322</v>
      </c>
      <c r="D80" s="3"/>
      <c r="E80" s="18" t="s">
        <v>115</v>
      </c>
      <c r="F80" s="18" t="s">
        <v>58</v>
      </c>
      <c r="G80" s="3"/>
      <c r="H80" s="3"/>
      <c r="I80" s="3"/>
      <c r="J80" s="3"/>
      <c r="K80" s="3"/>
      <c r="L80" s="3"/>
      <c r="M80" s="4"/>
      <c r="N80" s="19" t="s">
        <v>674</v>
      </c>
      <c r="P80" s="2">
        <v>194</v>
      </c>
      <c r="Q80" s="2">
        <v>195</v>
      </c>
      <c r="R80" s="2"/>
    </row>
    <row r="81" spans="1:22" x14ac:dyDescent="0.25">
      <c r="A81" s="116"/>
      <c r="B81" s="108"/>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16"/>
      <c r="B82" s="108"/>
      <c r="C82" s="3" t="s">
        <v>298</v>
      </c>
      <c r="D82" s="3"/>
      <c r="E82" s="51" t="s">
        <v>320</v>
      </c>
      <c r="F82" s="3"/>
      <c r="G82" s="3"/>
      <c r="H82" s="3"/>
      <c r="I82" s="3"/>
      <c r="J82" s="3"/>
      <c r="K82" s="3"/>
      <c r="L82" s="3"/>
      <c r="M82" s="10"/>
      <c r="N82" s="19"/>
      <c r="P82" s="2">
        <v>310</v>
      </c>
      <c r="Q82" s="2"/>
      <c r="R82" s="2"/>
      <c r="S82" s="2"/>
    </row>
    <row r="83" spans="1:22" ht="15.9" customHeight="1" x14ac:dyDescent="0.25">
      <c r="A83" s="116"/>
      <c r="B83" s="108"/>
      <c r="C83" s="3" t="s">
        <v>778</v>
      </c>
      <c r="D83" s="3"/>
      <c r="E83" s="59" t="s">
        <v>670</v>
      </c>
      <c r="G83" s="3"/>
      <c r="H83" s="3"/>
      <c r="I83" s="3"/>
      <c r="J83" s="3"/>
      <c r="K83" s="3"/>
      <c r="L83" s="3"/>
      <c r="M83" s="10"/>
      <c r="N83" s="19"/>
      <c r="P83" s="22">
        <v>375</v>
      </c>
      <c r="S83" s="2"/>
    </row>
    <row r="84" spans="1:22" ht="15.9" customHeight="1" x14ac:dyDescent="0.25">
      <c r="A84" s="116"/>
      <c r="B84" s="108"/>
      <c r="C84" s="3" t="s">
        <v>775</v>
      </c>
      <c r="D84" s="3"/>
      <c r="E84" s="54" t="s">
        <v>777</v>
      </c>
      <c r="F84" s="56" t="s">
        <v>776</v>
      </c>
      <c r="G84" s="3"/>
      <c r="H84" s="3"/>
      <c r="I84" s="3"/>
      <c r="J84" s="3"/>
      <c r="K84" s="3"/>
      <c r="L84" s="3"/>
      <c r="M84" s="10"/>
      <c r="N84" s="19"/>
      <c r="P84" s="22">
        <v>383</v>
      </c>
      <c r="Q84" s="2">
        <v>433</v>
      </c>
      <c r="R84" s="2"/>
      <c r="S84" s="2"/>
    </row>
    <row r="85" spans="1:22" x14ac:dyDescent="0.25">
      <c r="A85" s="116"/>
      <c r="B85" s="108"/>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16"/>
      <c r="B86" s="108"/>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16"/>
      <c r="B87" s="108"/>
      <c r="C87" s="3" t="s">
        <v>593</v>
      </c>
      <c r="D87" s="3"/>
      <c r="E87" s="57" t="s">
        <v>595</v>
      </c>
      <c r="F87" s="64" t="s">
        <v>594</v>
      </c>
      <c r="G87" s="65" t="s">
        <v>596</v>
      </c>
      <c r="H87" s="3"/>
      <c r="I87" s="3"/>
      <c r="J87" s="3"/>
      <c r="K87" s="3"/>
      <c r="L87" s="3"/>
      <c r="M87" s="4"/>
      <c r="N87" s="19"/>
      <c r="P87" s="2">
        <v>418</v>
      </c>
      <c r="Q87" s="23">
        <v>99</v>
      </c>
      <c r="R87" s="23">
        <v>321</v>
      </c>
    </row>
    <row r="88" spans="1:22" x14ac:dyDescent="0.25">
      <c r="A88" s="116"/>
      <c r="B88" s="108"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16"/>
      <c r="B89" s="108"/>
      <c r="C89" s="26" t="s">
        <v>64</v>
      </c>
      <c r="D89" s="3"/>
      <c r="E89" s="18" t="s">
        <v>392</v>
      </c>
      <c r="F89" s="18" t="s">
        <v>393</v>
      </c>
      <c r="G89" s="3"/>
      <c r="H89" s="3"/>
      <c r="I89" s="3"/>
      <c r="J89" s="3"/>
      <c r="K89" s="3"/>
      <c r="L89" s="3"/>
      <c r="M89" s="4"/>
      <c r="N89" s="19" t="s">
        <v>674</v>
      </c>
      <c r="P89" s="2">
        <v>14</v>
      </c>
      <c r="Q89" s="2">
        <v>34</v>
      </c>
    </row>
    <row r="90" spans="1:22" x14ac:dyDescent="0.25">
      <c r="A90" s="116"/>
      <c r="B90" s="108"/>
      <c r="C90" s="26" t="s">
        <v>65</v>
      </c>
      <c r="D90" s="3"/>
      <c r="E90" s="18" t="s">
        <v>391</v>
      </c>
      <c r="F90" s="18" t="s">
        <v>880</v>
      </c>
      <c r="G90" s="3"/>
      <c r="H90" s="3"/>
      <c r="I90" s="3"/>
      <c r="J90" s="3"/>
      <c r="K90" s="3"/>
      <c r="L90" s="3"/>
      <c r="M90" s="43"/>
      <c r="N90" s="19" t="s">
        <v>674</v>
      </c>
      <c r="P90" s="2">
        <v>51</v>
      </c>
      <c r="Q90" s="2">
        <v>13</v>
      </c>
    </row>
    <row r="91" spans="1:22" x14ac:dyDescent="0.25">
      <c r="A91" s="116"/>
      <c r="B91" s="108"/>
      <c r="C91" s="3" t="s">
        <v>415</v>
      </c>
      <c r="D91" s="3"/>
      <c r="E91" s="57" t="s">
        <v>422</v>
      </c>
      <c r="F91" s="57" t="s">
        <v>421</v>
      </c>
      <c r="G91" s="3"/>
      <c r="H91" s="3"/>
      <c r="I91" s="3"/>
      <c r="J91" s="3"/>
      <c r="K91" s="3"/>
      <c r="L91" s="3"/>
      <c r="M91" s="43"/>
      <c r="N91" s="19"/>
      <c r="P91" s="2">
        <v>52</v>
      </c>
      <c r="Q91" s="2">
        <v>87</v>
      </c>
    </row>
    <row r="92" spans="1:22" x14ac:dyDescent="0.25">
      <c r="A92" s="116"/>
      <c r="B92" s="108"/>
      <c r="C92" s="26" t="s">
        <v>66</v>
      </c>
      <c r="D92" s="3"/>
      <c r="E92" s="56" t="s">
        <v>389</v>
      </c>
      <c r="F92" s="3"/>
      <c r="G92" s="3"/>
      <c r="H92" s="3"/>
      <c r="I92" s="3"/>
      <c r="J92" s="3"/>
      <c r="K92" s="3"/>
      <c r="L92" s="3"/>
      <c r="M92" s="13"/>
      <c r="N92" s="19" t="s">
        <v>674</v>
      </c>
      <c r="P92" s="23">
        <v>50</v>
      </c>
      <c r="Q92" s="2"/>
      <c r="R92" s="23"/>
    </row>
    <row r="93" spans="1:22" ht="13.2" customHeight="1" x14ac:dyDescent="0.25">
      <c r="A93" s="117" t="s">
        <v>56</v>
      </c>
      <c r="B93" s="108" t="s">
        <v>53</v>
      </c>
      <c r="C93" s="26" t="s">
        <v>686</v>
      </c>
      <c r="D93" s="3"/>
      <c r="E93" s="54" t="s">
        <v>683</v>
      </c>
      <c r="F93" s="48" t="s">
        <v>114</v>
      </c>
      <c r="G93" s="3"/>
      <c r="H93" s="3"/>
      <c r="I93" s="3"/>
      <c r="J93" s="3"/>
      <c r="K93" s="3"/>
      <c r="L93" s="3"/>
      <c r="M93" s="10"/>
      <c r="N93" s="19"/>
      <c r="P93" s="2">
        <v>74</v>
      </c>
      <c r="Q93" s="2">
        <v>200</v>
      </c>
    </row>
    <row r="94" spans="1:22" x14ac:dyDescent="0.25">
      <c r="A94" s="118"/>
      <c r="B94" s="108"/>
      <c r="C94" s="3" t="s">
        <v>687</v>
      </c>
      <c r="D94" s="3"/>
      <c r="E94" s="48" t="s">
        <v>375</v>
      </c>
      <c r="F94" s="48" t="s">
        <v>374</v>
      </c>
      <c r="G94" s="3"/>
      <c r="H94" s="3"/>
      <c r="I94" s="3"/>
      <c r="J94" s="3"/>
      <c r="K94" s="3"/>
      <c r="L94" s="3"/>
      <c r="M94" s="13"/>
      <c r="N94" s="19"/>
      <c r="P94" s="2">
        <v>349</v>
      </c>
      <c r="Q94" s="2">
        <v>350</v>
      </c>
    </row>
    <row r="95" spans="1:22" x14ac:dyDescent="0.25">
      <c r="A95" s="118"/>
      <c r="B95" s="108"/>
      <c r="C95" s="26" t="s">
        <v>684</v>
      </c>
      <c r="D95" s="3"/>
      <c r="E95" s="48" t="s">
        <v>372</v>
      </c>
      <c r="F95" s="3"/>
      <c r="G95" s="3"/>
      <c r="H95" s="3"/>
      <c r="I95" s="3"/>
      <c r="J95" s="3"/>
      <c r="K95" s="3"/>
      <c r="L95" s="3"/>
      <c r="M95" s="13"/>
      <c r="N95" s="19" t="s">
        <v>685</v>
      </c>
      <c r="P95" s="2">
        <v>199</v>
      </c>
      <c r="Q95" s="2"/>
    </row>
    <row r="96" spans="1:22" x14ac:dyDescent="0.25">
      <c r="A96" s="118"/>
      <c r="B96" s="108"/>
      <c r="C96" s="29" t="s">
        <v>874</v>
      </c>
      <c r="D96" s="3">
        <v>10</v>
      </c>
      <c r="E96" s="57" t="s">
        <v>873</v>
      </c>
      <c r="F96" s="3"/>
      <c r="G96" s="3"/>
      <c r="H96" s="3"/>
      <c r="I96" s="3"/>
      <c r="J96" s="3"/>
      <c r="K96" s="3"/>
      <c r="L96" s="3"/>
      <c r="M96" s="4"/>
      <c r="N96" s="19" t="s">
        <v>878</v>
      </c>
      <c r="P96" s="2">
        <v>201</v>
      </c>
    </row>
    <row r="97" spans="1:23" x14ac:dyDescent="0.25">
      <c r="A97" s="118"/>
      <c r="B97" s="108"/>
      <c r="C97" s="29" t="s">
        <v>875</v>
      </c>
      <c r="D97" s="3">
        <v>10</v>
      </c>
      <c r="E97" s="57" t="s">
        <v>707</v>
      </c>
      <c r="F97" s="3"/>
      <c r="G97" s="3"/>
      <c r="H97" s="3"/>
      <c r="I97" s="3"/>
      <c r="J97" s="3"/>
      <c r="K97" s="3"/>
      <c r="L97" s="3"/>
      <c r="M97" s="4"/>
      <c r="N97" s="19" t="s">
        <v>879</v>
      </c>
      <c r="P97" s="2">
        <v>202</v>
      </c>
    </row>
    <row r="98" spans="1:23" x14ac:dyDescent="0.25">
      <c r="A98" s="118"/>
      <c r="B98" s="108"/>
      <c r="C98" s="26" t="s">
        <v>784</v>
      </c>
      <c r="D98" s="3"/>
      <c r="E98" s="56" t="s">
        <v>84</v>
      </c>
      <c r="F98" s="56" t="s">
        <v>85</v>
      </c>
      <c r="G98" s="3"/>
      <c r="H98" s="3"/>
      <c r="I98" s="3"/>
      <c r="J98" s="3"/>
      <c r="K98" s="3"/>
      <c r="L98" s="3"/>
      <c r="M98" s="43"/>
      <c r="N98" s="19" t="s">
        <v>688</v>
      </c>
      <c r="P98" s="2">
        <v>152</v>
      </c>
      <c r="Q98" s="2">
        <v>153</v>
      </c>
    </row>
    <row r="99" spans="1:23" x14ac:dyDescent="0.25">
      <c r="A99" s="118"/>
      <c r="B99" s="108"/>
      <c r="C99" s="26" t="s">
        <v>785</v>
      </c>
      <c r="D99" s="3"/>
      <c r="E99" s="56" t="s">
        <v>84</v>
      </c>
      <c r="F99" s="56" t="s">
        <v>85</v>
      </c>
      <c r="G99" s="3"/>
      <c r="H99" s="3"/>
      <c r="I99" s="3"/>
      <c r="J99" s="3"/>
      <c r="K99" s="3"/>
      <c r="L99" s="3"/>
      <c r="M99" s="10"/>
      <c r="N99" s="19" t="s">
        <v>689</v>
      </c>
      <c r="P99" s="2">
        <v>158</v>
      </c>
      <c r="Q99" s="2">
        <v>159</v>
      </c>
    </row>
    <row r="100" spans="1:23" x14ac:dyDescent="0.25">
      <c r="A100" s="118"/>
      <c r="B100" s="108"/>
      <c r="C100" s="26" t="s">
        <v>786</v>
      </c>
      <c r="D100" s="3"/>
      <c r="E100" s="56" t="s">
        <v>84</v>
      </c>
      <c r="F100" s="56" t="s">
        <v>85</v>
      </c>
      <c r="G100" s="3"/>
      <c r="H100" s="3"/>
      <c r="I100" s="3"/>
      <c r="J100" s="3"/>
      <c r="K100" s="3"/>
      <c r="L100" s="3"/>
      <c r="M100" s="13"/>
      <c r="N100" s="19" t="s">
        <v>690</v>
      </c>
      <c r="P100" s="2">
        <v>164</v>
      </c>
      <c r="Q100" s="2">
        <v>165</v>
      </c>
    </row>
    <row r="101" spans="1:23" x14ac:dyDescent="0.25">
      <c r="A101" s="118"/>
      <c r="B101" s="108"/>
      <c r="C101" s="26" t="s">
        <v>787</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788</v>
      </c>
      <c r="D102" s="3"/>
      <c r="E102" s="54" t="s">
        <v>86</v>
      </c>
      <c r="F102" s="56" t="s">
        <v>87</v>
      </c>
      <c r="G102" s="56" t="s">
        <v>88</v>
      </c>
      <c r="H102" s="56" t="s">
        <v>89</v>
      </c>
      <c r="I102" s="30" t="s">
        <v>852</v>
      </c>
      <c r="J102" s="3"/>
      <c r="K102" s="3"/>
      <c r="L102" s="3"/>
      <c r="M102" s="13"/>
      <c r="N102" s="19"/>
      <c r="P102" s="23">
        <v>154</v>
      </c>
      <c r="Q102" s="23">
        <v>155</v>
      </c>
      <c r="R102" s="23">
        <v>156</v>
      </c>
      <c r="S102" s="23">
        <v>157</v>
      </c>
      <c r="T102" s="23">
        <v>432</v>
      </c>
      <c r="U102" s="23"/>
    </row>
    <row r="103" spans="1:23" x14ac:dyDescent="0.25">
      <c r="A103" s="118"/>
      <c r="B103" s="108"/>
      <c r="C103" s="26" t="s">
        <v>789</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790</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791</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18"/>
      <c r="B107" s="108"/>
      <c r="C107" s="3" t="s">
        <v>812</v>
      </c>
      <c r="D107" s="3"/>
      <c r="E107" s="57" t="s">
        <v>4</v>
      </c>
      <c r="G107" s="3"/>
      <c r="H107" s="3"/>
      <c r="I107" s="3"/>
      <c r="J107" s="3"/>
      <c r="K107" s="3"/>
      <c r="L107" s="3"/>
      <c r="M107" s="43"/>
      <c r="N107" s="42" t="s">
        <v>432</v>
      </c>
      <c r="P107" s="22">
        <v>325</v>
      </c>
      <c r="R107" s="22"/>
      <c r="S107" s="22"/>
      <c r="T107" s="22"/>
      <c r="U107" s="22"/>
    </row>
    <row r="108" spans="1:23" x14ac:dyDescent="0.25">
      <c r="A108" s="118"/>
      <c r="B108" s="108"/>
      <c r="C108" s="3" t="s">
        <v>813</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18"/>
      <c r="B109" s="108"/>
      <c r="C109" s="3" t="s">
        <v>848</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803</v>
      </c>
      <c r="D110" s="3"/>
      <c r="E110" s="56" t="s">
        <v>60</v>
      </c>
      <c r="F110" s="54" t="s">
        <v>321</v>
      </c>
      <c r="G110" s="54" t="s">
        <v>328</v>
      </c>
      <c r="I110" s="3"/>
      <c r="J110" s="3"/>
      <c r="K110" s="3"/>
      <c r="L110" s="3"/>
      <c r="M110" s="10"/>
      <c r="N110" s="19"/>
      <c r="P110" s="2">
        <v>84</v>
      </c>
      <c r="Q110" s="2">
        <v>85</v>
      </c>
      <c r="R110" s="2">
        <v>330</v>
      </c>
      <c r="T110" s="2"/>
      <c r="V110" s="2"/>
    </row>
    <row r="111" spans="1:23" x14ac:dyDescent="0.25">
      <c r="A111" s="118"/>
      <c r="B111" s="108"/>
      <c r="C111" s="26" t="s">
        <v>802</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18"/>
      <c r="B112" s="108"/>
      <c r="C112" s="28" t="s">
        <v>800</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18"/>
      <c r="B113" s="108"/>
      <c r="C113" s="28" t="s">
        <v>800</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18"/>
      <c r="B114" s="108"/>
      <c r="C114" s="26" t="s">
        <v>801</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18"/>
      <c r="B115" s="108"/>
      <c r="C115" s="26" t="s">
        <v>801</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18"/>
      <c r="B116" s="108"/>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18"/>
      <c r="B117" s="108"/>
      <c r="C117" s="26" t="s">
        <v>807</v>
      </c>
      <c r="D117" s="3"/>
      <c r="E117" s="4" t="s">
        <v>804</v>
      </c>
      <c r="F117" s="4" t="s">
        <v>805</v>
      </c>
      <c r="G117" s="55" t="s">
        <v>806</v>
      </c>
      <c r="H117" s="55" t="s">
        <v>136</v>
      </c>
      <c r="I117" s="3"/>
      <c r="J117" s="3"/>
      <c r="K117" s="3"/>
      <c r="L117" s="3"/>
      <c r="M117" s="4"/>
      <c r="N117" s="19"/>
      <c r="P117" s="2">
        <v>208</v>
      </c>
      <c r="Q117" s="2">
        <v>212</v>
      </c>
      <c r="R117" s="2">
        <v>210</v>
      </c>
      <c r="S117" s="2">
        <v>214</v>
      </c>
      <c r="T117" s="2"/>
      <c r="U117" s="2"/>
    </row>
    <row r="118" spans="1:23" x14ac:dyDescent="0.25">
      <c r="A118" s="118"/>
      <c r="B118" s="108"/>
      <c r="C118" s="26" t="s">
        <v>808</v>
      </c>
      <c r="D118" s="3"/>
      <c r="E118" s="4" t="s">
        <v>804</v>
      </c>
      <c r="F118" s="4" t="s">
        <v>805</v>
      </c>
      <c r="G118" s="55" t="s">
        <v>806</v>
      </c>
      <c r="H118" s="55" t="s">
        <v>136</v>
      </c>
      <c r="I118" s="3"/>
      <c r="J118" s="3"/>
      <c r="K118" s="3"/>
      <c r="L118" s="3"/>
      <c r="M118" s="43"/>
      <c r="N118" s="19"/>
      <c r="P118" s="2">
        <v>209</v>
      </c>
      <c r="Q118" s="2">
        <v>213</v>
      </c>
      <c r="R118" s="2">
        <v>211</v>
      </c>
      <c r="S118" s="2">
        <v>215</v>
      </c>
      <c r="T118" s="2"/>
      <c r="U118" s="2"/>
      <c r="V118" s="2"/>
    </row>
    <row r="119" spans="1:23" x14ac:dyDescent="0.25">
      <c r="A119" s="118"/>
      <c r="B119" s="108"/>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18"/>
      <c r="B120" s="108"/>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18"/>
      <c r="B121" s="108"/>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18"/>
      <c r="B122" s="108"/>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18"/>
      <c r="B123" s="108"/>
      <c r="C123" s="26" t="s">
        <v>484</v>
      </c>
      <c r="D123" s="3"/>
      <c r="E123" s="18" t="s">
        <v>99</v>
      </c>
      <c r="F123" s="56" t="s">
        <v>136</v>
      </c>
      <c r="G123" s="18" t="s">
        <v>215</v>
      </c>
      <c r="I123" s="3"/>
      <c r="J123" s="3"/>
      <c r="K123" s="3"/>
      <c r="L123" s="3"/>
      <c r="M123" s="43"/>
      <c r="N123" s="19"/>
      <c r="P123" s="2">
        <v>169</v>
      </c>
      <c r="Q123" s="2">
        <v>187</v>
      </c>
      <c r="R123" s="2">
        <v>276</v>
      </c>
    </row>
    <row r="124" spans="1:23" x14ac:dyDescent="0.25">
      <c r="A124" s="118"/>
      <c r="B124" s="108"/>
      <c r="C124" s="3" t="s">
        <v>552</v>
      </c>
      <c r="D124" s="3"/>
      <c r="E124" s="45">
        <v>3</v>
      </c>
      <c r="F124" s="48" t="s">
        <v>809</v>
      </c>
      <c r="G124" s="3"/>
      <c r="H124" s="3"/>
      <c r="I124" s="3"/>
      <c r="J124" s="3"/>
      <c r="K124" s="3"/>
      <c r="L124" s="3"/>
      <c r="M124" s="10"/>
      <c r="N124" s="19" t="s">
        <v>810</v>
      </c>
      <c r="P124" s="2">
        <v>89</v>
      </c>
      <c r="Q124" s="2">
        <v>96</v>
      </c>
    </row>
    <row r="125" spans="1:23" x14ac:dyDescent="0.25">
      <c r="A125" s="118"/>
      <c r="B125" s="108"/>
      <c r="C125" s="3" t="s">
        <v>553</v>
      </c>
      <c r="D125" s="3"/>
      <c r="E125" s="45">
        <v>3</v>
      </c>
      <c r="F125" s="48" t="s">
        <v>809</v>
      </c>
      <c r="G125" s="3"/>
      <c r="H125" s="3"/>
      <c r="I125" s="3"/>
      <c r="J125" s="3"/>
      <c r="K125" s="3"/>
      <c r="L125" s="3"/>
      <c r="M125" s="10"/>
      <c r="N125" s="19" t="s">
        <v>811</v>
      </c>
      <c r="P125" s="2">
        <v>389</v>
      </c>
      <c r="Q125" s="2">
        <v>390</v>
      </c>
      <c r="R125" s="2"/>
      <c r="S125" s="2"/>
    </row>
    <row r="126" spans="1:23" x14ac:dyDescent="0.25">
      <c r="A126" s="118"/>
      <c r="B126" s="108"/>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18"/>
      <c r="B127" s="108"/>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18"/>
      <c r="B128" s="108"/>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18"/>
      <c r="B129" s="108"/>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18"/>
      <c r="B130" s="108"/>
      <c r="C130" s="26" t="s">
        <v>309</v>
      </c>
      <c r="D130" s="3"/>
      <c r="E130" s="59" t="s">
        <v>398</v>
      </c>
      <c r="F130" s="59" t="s">
        <v>833</v>
      </c>
      <c r="G130" s="59" t="s">
        <v>707</v>
      </c>
      <c r="H130" s="101" t="s">
        <v>379</v>
      </c>
      <c r="I130" s="18" t="s">
        <v>323</v>
      </c>
      <c r="J130" s="54" t="s">
        <v>347</v>
      </c>
      <c r="K130" s="59" t="s">
        <v>901</v>
      </c>
      <c r="L130" s="3"/>
      <c r="M130" s="10"/>
      <c r="N130" s="19"/>
      <c r="P130" s="2">
        <v>47</v>
      </c>
      <c r="Q130" s="2">
        <v>75</v>
      </c>
      <c r="R130" s="2">
        <v>317</v>
      </c>
      <c r="S130" s="22">
        <v>318</v>
      </c>
      <c r="T130" s="22">
        <v>322</v>
      </c>
      <c r="U130" s="22">
        <v>335</v>
      </c>
      <c r="V130" s="22">
        <v>9</v>
      </c>
    </row>
    <row r="131" spans="1:23" x14ac:dyDescent="0.25">
      <c r="A131" s="118"/>
      <c r="B131" s="108"/>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18"/>
      <c r="B132" s="108"/>
      <c r="C132" s="3" t="s">
        <v>104</v>
      </c>
      <c r="D132" s="3"/>
      <c r="E132" s="44" t="s">
        <v>141</v>
      </c>
      <c r="F132" s="56" t="s">
        <v>92</v>
      </c>
      <c r="G132" s="3"/>
      <c r="H132" s="3"/>
      <c r="I132" s="3"/>
      <c r="J132" s="3"/>
      <c r="K132" s="3"/>
      <c r="L132" s="3"/>
      <c r="M132" s="13"/>
      <c r="N132" s="19"/>
      <c r="P132" s="2">
        <v>225</v>
      </c>
      <c r="Q132" s="2">
        <v>30</v>
      </c>
      <c r="R132" s="2"/>
    </row>
    <row r="133" spans="1:23" x14ac:dyDescent="0.25">
      <c r="A133" s="118"/>
      <c r="B133" s="108"/>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18"/>
      <c r="B134" s="108"/>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18"/>
      <c r="B135" s="108"/>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18"/>
      <c r="B136" s="108"/>
      <c r="C136" s="26" t="s">
        <v>492</v>
      </c>
      <c r="D136" s="3"/>
      <c r="E136" s="57" t="s">
        <v>549</v>
      </c>
      <c r="F136" s="3"/>
      <c r="G136" s="3"/>
      <c r="H136" s="3"/>
      <c r="I136" s="3"/>
      <c r="J136" s="3"/>
      <c r="K136" s="3"/>
      <c r="L136" s="3"/>
      <c r="M136" s="10"/>
      <c r="N136" s="19"/>
      <c r="P136" s="2">
        <v>24</v>
      </c>
    </row>
    <row r="137" spans="1:23" x14ac:dyDescent="0.25">
      <c r="A137" s="118"/>
      <c r="B137" s="108"/>
      <c r="C137" s="3" t="s">
        <v>78</v>
      </c>
      <c r="D137" s="3"/>
      <c r="E137" s="45" t="s">
        <v>103</v>
      </c>
      <c r="F137" s="45" t="s">
        <v>102</v>
      </c>
      <c r="G137" s="24"/>
      <c r="H137" s="24"/>
      <c r="I137" s="24"/>
      <c r="J137" s="3"/>
      <c r="K137" s="3"/>
      <c r="L137" s="3"/>
      <c r="M137" s="13"/>
      <c r="N137" s="19" t="s">
        <v>716</v>
      </c>
      <c r="P137" s="2">
        <v>35</v>
      </c>
      <c r="Q137" s="2">
        <v>46</v>
      </c>
    </row>
    <row r="138" spans="1:23" x14ac:dyDescent="0.25">
      <c r="A138" s="11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1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18"/>
      <c r="B140" s="112"/>
      <c r="C140" s="3" t="s">
        <v>231</v>
      </c>
      <c r="D140" s="3"/>
      <c r="E140" s="4" t="s">
        <v>232</v>
      </c>
      <c r="F140" s="4" t="s">
        <v>187</v>
      </c>
      <c r="G140" s="54" t="s">
        <v>327</v>
      </c>
      <c r="H140" s="54" t="s">
        <v>188</v>
      </c>
      <c r="I140" s="48" t="s">
        <v>233</v>
      </c>
      <c r="J140" s="86" t="s">
        <v>834</v>
      </c>
      <c r="K140" s="54" t="s">
        <v>835</v>
      </c>
      <c r="L140" s="3"/>
      <c r="M140" s="10"/>
      <c r="N140" s="19"/>
      <c r="P140" s="2">
        <v>258</v>
      </c>
      <c r="Q140" s="2">
        <v>280</v>
      </c>
      <c r="R140" s="2">
        <v>328</v>
      </c>
      <c r="S140" s="2">
        <v>281</v>
      </c>
      <c r="T140" s="22">
        <v>260</v>
      </c>
      <c r="U140" s="22">
        <v>3</v>
      </c>
      <c r="V140" s="22">
        <v>97</v>
      </c>
    </row>
    <row r="141" spans="1:23" x14ac:dyDescent="0.25">
      <c r="A141" s="11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1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1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1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1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18"/>
      <c r="B146" s="108" t="s">
        <v>157</v>
      </c>
      <c r="C146" s="105" t="s">
        <v>862</v>
      </c>
      <c r="E146" s="54" t="s">
        <v>168</v>
      </c>
      <c r="F146" s="54" t="s">
        <v>172</v>
      </c>
      <c r="G146" s="54" t="s">
        <v>171</v>
      </c>
      <c r="H146" s="3"/>
      <c r="I146" s="3"/>
      <c r="J146" s="3"/>
      <c r="K146" s="3"/>
      <c r="L146" s="3"/>
      <c r="P146" s="22">
        <v>237</v>
      </c>
      <c r="Q146" s="22">
        <v>254</v>
      </c>
      <c r="R146" s="22">
        <v>197</v>
      </c>
    </row>
    <row r="147" spans="1:23" x14ac:dyDescent="0.25">
      <c r="A147" s="118"/>
      <c r="B147" s="108"/>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18"/>
      <c r="B148" s="108"/>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18"/>
      <c r="B149" s="108"/>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18"/>
      <c r="B150" s="108"/>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18"/>
      <c r="B151" s="108"/>
      <c r="C151" s="3" t="s">
        <v>402</v>
      </c>
      <c r="D151" s="3"/>
      <c r="E151" s="54" t="s">
        <v>48</v>
      </c>
      <c r="F151" s="3"/>
      <c r="G151" s="3"/>
      <c r="H151" s="3"/>
      <c r="I151" s="3"/>
      <c r="J151" s="3"/>
      <c r="K151" s="3"/>
      <c r="L151" s="3"/>
      <c r="M151" s="13"/>
      <c r="N151" s="19"/>
      <c r="P151" s="2">
        <v>41</v>
      </c>
      <c r="Q151" s="2"/>
      <c r="R151" s="2"/>
      <c r="S151" s="22"/>
      <c r="T151" s="22"/>
    </row>
    <row r="152" spans="1:23" x14ac:dyDescent="0.25">
      <c r="A152" s="118"/>
      <c r="B152" s="108"/>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18"/>
      <c r="B153" s="108"/>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18"/>
      <c r="B154" s="108"/>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19"/>
      <c r="B155" s="108"/>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815</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814</v>
      </c>
      <c r="F187" s="48" t="s">
        <v>816</v>
      </c>
      <c r="G187" s="49" t="s">
        <v>271</v>
      </c>
      <c r="H187" s="49" t="s">
        <v>273</v>
      </c>
      <c r="I187" s="3"/>
      <c r="J187" s="3"/>
      <c r="K187" s="3"/>
      <c r="L187" s="3"/>
      <c r="M187" s="43"/>
      <c r="N187" s="19"/>
      <c r="P187" s="2">
        <v>202</v>
      </c>
      <c r="Q187" s="2">
        <v>203</v>
      </c>
      <c r="R187" s="2">
        <v>313</v>
      </c>
      <c r="S187" s="2">
        <v>314</v>
      </c>
    </row>
    <row r="188" spans="2:19" ht="15.9" customHeight="1" x14ac:dyDescent="0.25">
      <c r="C188" s="28" t="s">
        <v>799</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A2:A77"/>
    <mergeCell ref="A78:A92"/>
    <mergeCell ref="A93:A155"/>
    <mergeCell ref="B146:B155"/>
    <mergeCell ref="B93:B105"/>
    <mergeCell ref="B88:B92"/>
    <mergeCell ref="B106:B137"/>
    <mergeCell ref="B138:B145"/>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A2" sqref="A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842</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834</v>
      </c>
      <c r="J4" s="34">
        <f>VLOOKUP($A4, Stat!$A$1:$C$1000, 2,0)</f>
        <v>0</v>
      </c>
      <c r="K4" s="34">
        <f>VLOOKUP($A4, Stat!$A$1:$C$1000, 3,0)</f>
        <v>0</v>
      </c>
      <c r="L4" s="84"/>
      <c r="S4" s="38">
        <v>0</v>
      </c>
      <c r="T4" s="38">
        <v>0</v>
      </c>
      <c r="W4" s="38" t="s">
        <v>849</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880</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558</v>
      </c>
      <c r="D24" s="38" t="s">
        <v>899</v>
      </c>
      <c r="E24" s="41" t="s">
        <v>3</v>
      </c>
      <c r="F24" s="34">
        <v>5</v>
      </c>
      <c r="G24" s="36"/>
      <c r="H24" s="36"/>
      <c r="I24" s="36"/>
      <c r="J24" s="81"/>
      <c r="K24" s="81"/>
      <c r="L24" s="34">
        <v>1</v>
      </c>
      <c r="P24" s="36"/>
      <c r="Q24" s="36"/>
      <c r="R24" s="36"/>
      <c r="S24" s="38">
        <v>60</v>
      </c>
      <c r="T24" s="38">
        <v>0</v>
      </c>
      <c r="V24" s="38" t="s">
        <v>636</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853</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885</v>
      </c>
      <c r="F65" s="34">
        <v>9</v>
      </c>
      <c r="I65" s="87" t="s">
        <v>511</v>
      </c>
      <c r="S65" s="38">
        <v>60</v>
      </c>
      <c r="T65" s="38">
        <v>0</v>
      </c>
      <c r="V65" s="38" t="s">
        <v>655</v>
      </c>
      <c r="W65" s="38" t="s">
        <v>887</v>
      </c>
    </row>
    <row r="66" spans="1:24" ht="13.2" customHeight="1" x14ac:dyDescent="0.25">
      <c r="A66" s="38">
        <v>71</v>
      </c>
      <c r="B66" s="38" t="s">
        <v>35</v>
      </c>
      <c r="C66" s="38" t="s">
        <v>12</v>
      </c>
      <c r="D66" s="38" t="s">
        <v>113</v>
      </c>
      <c r="E66" s="38" t="s">
        <v>886</v>
      </c>
      <c r="F66" s="34">
        <v>9</v>
      </c>
      <c r="I66" s="87" t="s">
        <v>511</v>
      </c>
      <c r="S66" s="38">
        <v>60</v>
      </c>
      <c r="T66" s="38">
        <v>0</v>
      </c>
      <c r="V66" s="38" t="s">
        <v>655</v>
      </c>
      <c r="W66" s="38" t="s">
        <v>887</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833</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803</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803</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848</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810</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809</v>
      </c>
      <c r="F88" s="95" t="s">
        <v>456</v>
      </c>
      <c r="G88" s="35" t="s">
        <v>196</v>
      </c>
      <c r="H88" s="36"/>
      <c r="I88" s="35" t="s">
        <v>552</v>
      </c>
      <c r="J88" s="81">
        <f>VLOOKUP($A88, Stat!$A$1:$C$1000, 2,0)</f>
        <v>4</v>
      </c>
      <c r="K88" s="81">
        <f>VLOOKUP($A88, Stat!$A$1:$C$1000, 3,0)</f>
        <v>0</v>
      </c>
      <c r="L88" s="84"/>
      <c r="P88" s="36"/>
      <c r="Q88" s="36"/>
      <c r="R88" s="36"/>
      <c r="S88" s="38">
        <v>60</v>
      </c>
      <c r="T88" s="38">
        <v>0</v>
      </c>
      <c r="V88" s="38" t="s">
        <v>810</v>
      </c>
      <c r="X88" s="38">
        <v>1</v>
      </c>
    </row>
    <row r="89" spans="1:24" ht="13.2" customHeight="1" x14ac:dyDescent="0.25">
      <c r="A89" s="38">
        <v>97</v>
      </c>
      <c r="B89" s="38" t="s">
        <v>56</v>
      </c>
      <c r="C89" s="38" t="s">
        <v>185</v>
      </c>
      <c r="D89" s="38" t="s">
        <v>231</v>
      </c>
      <c r="E89" s="38" t="s">
        <v>835</v>
      </c>
      <c r="J89" s="81">
        <f>VLOOKUP($A89, Stat!$A$1:$C$1000, 2,0)</f>
        <v>3</v>
      </c>
      <c r="K89" s="81">
        <f>VLOOKUP($A89, Stat!$A$1:$C$1000, 3,0)</f>
        <v>0</v>
      </c>
      <c r="L89" s="83"/>
      <c r="S89" s="38">
        <v>60</v>
      </c>
      <c r="T89" s="38">
        <v>0</v>
      </c>
      <c r="W89" s="38" t="s">
        <v>836</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798</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798</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798</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798</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-1</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0</v>
      </c>
      <c r="T97" s="38">
        <v>-1</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0</v>
      </c>
      <c r="T98" s="38">
        <v>-1</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797</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797</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797</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797</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862</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874</v>
      </c>
      <c r="E188" s="41" t="s">
        <v>873</v>
      </c>
      <c r="F188" s="95" t="s">
        <v>225</v>
      </c>
      <c r="G188" s="35"/>
      <c r="H188" s="35"/>
      <c r="I188" s="35" t="s">
        <v>876</v>
      </c>
      <c r="J188" s="81">
        <f>VLOOKUP($A188, Stat!$A$1:$C$1000, 2,0)</f>
        <v>9</v>
      </c>
      <c r="K188" s="81">
        <f>VLOOKUP($A188, Stat!$A$1:$C$1000, 3,0)</f>
        <v>2</v>
      </c>
      <c r="L188" s="84"/>
      <c r="P188" s="36"/>
      <c r="Q188" s="36"/>
      <c r="R188" s="36"/>
      <c r="S188" s="38">
        <v>0</v>
      </c>
      <c r="T188" s="38">
        <v>0</v>
      </c>
      <c r="U188" s="38">
        <v>10</v>
      </c>
      <c r="V188" s="38" t="s">
        <v>878</v>
      </c>
      <c r="X188" s="38">
        <v>1</v>
      </c>
    </row>
    <row r="189" spans="1:24" ht="13.2" customHeight="1" x14ac:dyDescent="0.25">
      <c r="A189" s="38">
        <v>202</v>
      </c>
      <c r="B189" s="38" t="s">
        <v>56</v>
      </c>
      <c r="C189" s="38" t="s">
        <v>53</v>
      </c>
      <c r="D189" s="38" t="s">
        <v>875</v>
      </c>
      <c r="E189" s="38" t="s">
        <v>707</v>
      </c>
      <c r="F189" s="34">
        <v>8</v>
      </c>
      <c r="I189" s="87" t="s">
        <v>877</v>
      </c>
      <c r="S189" s="38">
        <v>0</v>
      </c>
      <c r="T189" s="38">
        <v>0</v>
      </c>
      <c r="U189" s="38">
        <v>10</v>
      </c>
      <c r="V189" s="38" t="s">
        <v>879</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807</v>
      </c>
      <c r="E194" s="41" t="s">
        <v>804</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881</v>
      </c>
      <c r="X194" s="38">
        <v>1</v>
      </c>
    </row>
    <row r="195" spans="1:24" ht="13.2" customHeight="1" x14ac:dyDescent="0.25">
      <c r="A195" s="38">
        <v>209</v>
      </c>
      <c r="B195" s="38" t="s">
        <v>56</v>
      </c>
      <c r="C195" s="38" t="s">
        <v>56</v>
      </c>
      <c r="D195" s="38" t="s">
        <v>808</v>
      </c>
      <c r="E195" s="41" t="s">
        <v>804</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882</v>
      </c>
      <c r="X195" s="38">
        <v>1</v>
      </c>
    </row>
    <row r="196" spans="1:24" ht="13.2" customHeight="1" x14ac:dyDescent="0.25">
      <c r="A196" s="38">
        <v>210</v>
      </c>
      <c r="B196" s="38" t="s">
        <v>56</v>
      </c>
      <c r="C196" s="38" t="s">
        <v>56</v>
      </c>
      <c r="D196" s="38" t="s">
        <v>807</v>
      </c>
      <c r="E196" s="41" t="s">
        <v>806</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858</v>
      </c>
      <c r="X196" s="38">
        <v>1</v>
      </c>
    </row>
    <row r="197" spans="1:24" ht="13.2" customHeight="1" x14ac:dyDescent="0.25">
      <c r="A197" s="38">
        <v>211</v>
      </c>
      <c r="B197" s="38" t="s">
        <v>56</v>
      </c>
      <c r="C197" s="38" t="s">
        <v>56</v>
      </c>
      <c r="D197" s="38" t="s">
        <v>808</v>
      </c>
      <c r="E197" s="41" t="s">
        <v>806</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859</v>
      </c>
      <c r="X197" s="38">
        <v>1</v>
      </c>
    </row>
    <row r="198" spans="1:24" ht="13.2" customHeight="1" x14ac:dyDescent="0.25">
      <c r="A198" s="38">
        <v>212</v>
      </c>
      <c r="B198" s="38" t="s">
        <v>56</v>
      </c>
      <c r="C198" s="38" t="s">
        <v>56</v>
      </c>
      <c r="D198" s="38" t="s">
        <v>807</v>
      </c>
      <c r="E198" s="41" t="s">
        <v>805</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883</v>
      </c>
      <c r="X198" s="38">
        <v>1</v>
      </c>
    </row>
    <row r="199" spans="1:24" ht="13.2" customHeight="1" x14ac:dyDescent="0.25">
      <c r="A199" s="38">
        <v>213</v>
      </c>
      <c r="B199" s="38" t="s">
        <v>56</v>
      </c>
      <c r="C199" s="38" t="s">
        <v>56</v>
      </c>
      <c r="D199" s="38" t="s">
        <v>808</v>
      </c>
      <c r="E199" s="41" t="s">
        <v>805</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884</v>
      </c>
      <c r="X199" s="38">
        <v>1</v>
      </c>
    </row>
    <row r="200" spans="1:24" ht="13.2" customHeight="1" x14ac:dyDescent="0.25">
      <c r="A200" s="38">
        <v>214</v>
      </c>
      <c r="B200" s="38" t="s">
        <v>56</v>
      </c>
      <c r="C200" s="38" t="s">
        <v>56</v>
      </c>
      <c r="D200" s="38" t="s">
        <v>807</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860</v>
      </c>
      <c r="X200" s="38">
        <v>1</v>
      </c>
    </row>
    <row r="201" spans="1:24" ht="13.2" customHeight="1" x14ac:dyDescent="0.25">
      <c r="A201" s="38">
        <v>215</v>
      </c>
      <c r="B201" s="38" t="s">
        <v>56</v>
      </c>
      <c r="C201" s="38" t="s">
        <v>56</v>
      </c>
      <c r="D201" s="38" t="s">
        <v>808</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861</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889</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888</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862</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800</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800</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800</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862</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863</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871</v>
      </c>
      <c r="E294" s="38" t="s">
        <v>866</v>
      </c>
      <c r="F294" s="34">
        <v>3</v>
      </c>
      <c r="S294" s="38">
        <v>0</v>
      </c>
      <c r="T294" s="38">
        <v>0</v>
      </c>
      <c r="V294" s="38" t="s">
        <v>864</v>
      </c>
    </row>
    <row r="295" spans="1:24" ht="13.2" customHeight="1" x14ac:dyDescent="0.25">
      <c r="A295" s="38">
        <v>312</v>
      </c>
      <c r="B295" s="38" t="s">
        <v>35</v>
      </c>
      <c r="C295" s="38" t="s">
        <v>12</v>
      </c>
      <c r="D295" s="38" t="s">
        <v>871</v>
      </c>
      <c r="E295" s="38" t="s">
        <v>867</v>
      </c>
      <c r="F295" s="34">
        <v>3</v>
      </c>
      <c r="S295" s="38">
        <v>0</v>
      </c>
      <c r="T295" s="38">
        <v>0</v>
      </c>
      <c r="V295" s="38" t="s">
        <v>864</v>
      </c>
    </row>
    <row r="296" spans="1:24" ht="13.2" customHeight="1" x14ac:dyDescent="0.25">
      <c r="A296" s="38">
        <v>313</v>
      </c>
      <c r="B296" s="38" t="s">
        <v>35</v>
      </c>
      <c r="C296" s="38" t="s">
        <v>12</v>
      </c>
      <c r="D296" s="38" t="s">
        <v>870</v>
      </c>
      <c r="E296" s="38" t="s">
        <v>866</v>
      </c>
      <c r="F296" s="34">
        <v>3</v>
      </c>
      <c r="P296" s="34">
        <v>311.40499999999997</v>
      </c>
      <c r="S296" s="38">
        <v>60</v>
      </c>
      <c r="T296" s="38">
        <v>0</v>
      </c>
      <c r="V296" s="38" t="s">
        <v>864</v>
      </c>
    </row>
    <row r="297" spans="1:24" ht="13.2" customHeight="1" x14ac:dyDescent="0.25">
      <c r="A297" s="38">
        <v>314</v>
      </c>
      <c r="B297" s="38" t="s">
        <v>35</v>
      </c>
      <c r="C297" s="38" t="s">
        <v>12</v>
      </c>
      <c r="D297" s="38" t="s">
        <v>870</v>
      </c>
      <c r="E297" s="38" t="s">
        <v>867</v>
      </c>
      <c r="F297" s="34">
        <v>3</v>
      </c>
      <c r="P297" s="34">
        <v>312.40600000000001</v>
      </c>
      <c r="S297" s="38">
        <v>60</v>
      </c>
      <c r="T297" s="38">
        <v>0</v>
      </c>
      <c r="V297" s="38" t="s">
        <v>864</v>
      </c>
    </row>
    <row r="298" spans="1:24" x14ac:dyDescent="0.25">
      <c r="A298" s="38">
        <v>315</v>
      </c>
      <c r="B298" s="38" t="s">
        <v>56</v>
      </c>
      <c r="C298" s="38" t="s">
        <v>56</v>
      </c>
      <c r="D298" s="38" t="s">
        <v>800</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800</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890</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812</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813</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803</v>
      </c>
      <c r="E311" s="38" t="s">
        <v>328</v>
      </c>
      <c r="F311" s="34">
        <v>7</v>
      </c>
      <c r="G311" s="34">
        <v>1</v>
      </c>
      <c r="H311" s="34">
        <v>1</v>
      </c>
      <c r="J311" s="81">
        <f>VLOOKUP($A311, Stat!$A$1:$C$1000, 2,0)</f>
        <v>5</v>
      </c>
      <c r="K311" s="81">
        <f>VLOOKUP($A311, Stat!$A$1:$C$1000, 3,0)</f>
        <v>3</v>
      </c>
      <c r="L311" s="34">
        <v>1</v>
      </c>
      <c r="P311" s="34">
        <v>249</v>
      </c>
      <c r="S311" s="38">
        <v>60</v>
      </c>
      <c r="T311" s="38">
        <v>0</v>
      </c>
      <c r="W311" s="38" t="s">
        <v>872</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800</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893</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893</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893</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892</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892</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892</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891</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891</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891</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894</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894</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894</v>
      </c>
      <c r="X351" s="38">
        <v>1</v>
      </c>
    </row>
    <row r="352" spans="1:24" x14ac:dyDescent="0.25">
      <c r="A352" s="38">
        <v>374</v>
      </c>
      <c r="B352" s="38" t="s">
        <v>56</v>
      </c>
      <c r="C352" s="38" t="s">
        <v>56</v>
      </c>
      <c r="D352" s="38" t="s">
        <v>800</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800</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850</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800</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811</v>
      </c>
      <c r="X367" s="38">
        <v>1</v>
      </c>
    </row>
    <row r="368" spans="1:24" x14ac:dyDescent="0.25">
      <c r="A368" s="38">
        <v>390</v>
      </c>
      <c r="B368" s="38" t="s">
        <v>56</v>
      </c>
      <c r="C368" s="38" t="s">
        <v>56</v>
      </c>
      <c r="D368" s="38" t="s">
        <v>553</v>
      </c>
      <c r="E368" s="38" t="s">
        <v>809</v>
      </c>
      <c r="F368" s="34">
        <v>9</v>
      </c>
      <c r="G368" s="34">
        <v>1</v>
      </c>
      <c r="I368" s="34" t="s">
        <v>553</v>
      </c>
      <c r="J368" s="34">
        <f>VLOOKUP($A368, Stat!$A$1:$C$1000, 2,0)</f>
        <v>6</v>
      </c>
      <c r="K368" s="34">
        <f>VLOOKUP($A368, Stat!$A$1:$C$1000, 3,0)</f>
        <v>0</v>
      </c>
      <c r="L368" s="84"/>
      <c r="S368" s="38">
        <v>60</v>
      </c>
      <c r="T368" s="38">
        <v>0</v>
      </c>
      <c r="V368" s="38" t="s">
        <v>811</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843</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843</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843</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871</v>
      </c>
      <c r="E380" s="38" t="s">
        <v>868</v>
      </c>
      <c r="F380" s="34">
        <v>3</v>
      </c>
      <c r="S380" s="38">
        <v>0</v>
      </c>
      <c r="T380" s="38">
        <v>0</v>
      </c>
      <c r="V380" s="38" t="s">
        <v>864</v>
      </c>
      <c r="W380" s="38" t="s">
        <v>865</v>
      </c>
    </row>
    <row r="381" spans="1:24" x14ac:dyDescent="0.25">
      <c r="A381" s="38">
        <v>406</v>
      </c>
      <c r="B381" s="38" t="s">
        <v>35</v>
      </c>
      <c r="C381" s="38" t="s">
        <v>12</v>
      </c>
      <c r="D381" s="38" t="s">
        <v>871</v>
      </c>
      <c r="E381" s="38" t="s">
        <v>869</v>
      </c>
      <c r="F381" s="34">
        <v>3</v>
      </c>
      <c r="S381" s="38">
        <v>0</v>
      </c>
      <c r="T381" s="38">
        <v>0</v>
      </c>
      <c r="V381" s="38" t="s">
        <v>864</v>
      </c>
      <c r="W381" s="38" t="s">
        <v>865</v>
      </c>
    </row>
    <row r="382" spans="1:24" x14ac:dyDescent="0.25">
      <c r="A382" s="38">
        <v>407</v>
      </c>
      <c r="B382" s="38" t="s">
        <v>35</v>
      </c>
      <c r="C382" s="38" t="s">
        <v>12</v>
      </c>
      <c r="D382" s="38" t="s">
        <v>870</v>
      </c>
      <c r="E382" s="38" t="s">
        <v>868</v>
      </c>
      <c r="F382" s="34">
        <v>3</v>
      </c>
      <c r="P382" s="34">
        <v>311.40499999999997</v>
      </c>
      <c r="S382" s="38">
        <v>60</v>
      </c>
      <c r="T382" s="38">
        <v>0</v>
      </c>
      <c r="V382" s="38" t="s">
        <v>864</v>
      </c>
      <c r="W382" s="38" t="s">
        <v>865</v>
      </c>
    </row>
    <row r="383" spans="1:24" x14ac:dyDescent="0.25">
      <c r="A383" s="38">
        <v>408</v>
      </c>
      <c r="B383" s="38" t="s">
        <v>35</v>
      </c>
      <c r="C383" s="38" t="s">
        <v>12</v>
      </c>
      <c r="D383" s="38" t="s">
        <v>870</v>
      </c>
      <c r="E383" s="38" t="s">
        <v>869</v>
      </c>
      <c r="F383" s="34">
        <v>3</v>
      </c>
      <c r="P383" s="34">
        <v>312.40600000000001</v>
      </c>
      <c r="S383" s="38">
        <v>60</v>
      </c>
      <c r="T383" s="38">
        <v>0</v>
      </c>
      <c r="V383" s="38" t="s">
        <v>864</v>
      </c>
      <c r="W383" s="38" t="s">
        <v>865</v>
      </c>
    </row>
    <row r="384" spans="1:24" x14ac:dyDescent="0.25">
      <c r="A384" s="38">
        <v>411</v>
      </c>
      <c r="B384" s="38" t="s">
        <v>35</v>
      </c>
      <c r="C384" s="38" t="s">
        <v>12</v>
      </c>
      <c r="D384" s="38" t="s">
        <v>844</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844</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844</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792</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792</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792</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792</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852</v>
      </c>
      <c r="F405" s="34">
        <v>8</v>
      </c>
      <c r="I405" s="34" t="s">
        <v>538</v>
      </c>
      <c r="J405" s="34">
        <f>VLOOKUP($A405, Stat!$A$1:$C$1000, 2,0)</f>
        <v>2</v>
      </c>
      <c r="K405" s="34">
        <f>VLOOKUP($A405, Stat!$A$1:$C$1000, 3,0)</f>
        <v>0</v>
      </c>
      <c r="L405" s="34">
        <v>1</v>
      </c>
      <c r="P405" s="34">
        <v>157</v>
      </c>
      <c r="S405" s="38">
        <v>0</v>
      </c>
      <c r="T405" s="38">
        <v>1</v>
      </c>
      <c r="W405" s="38" t="s">
        <v>851</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895</v>
      </c>
      <c r="E433" s="38" t="s">
        <v>2</v>
      </c>
      <c r="F433" s="34">
        <v>5</v>
      </c>
      <c r="J433" s="34">
        <f>VLOOKUP($A433, Stat!$A$1:$C$1000, 2,0)</f>
        <v>0</v>
      </c>
      <c r="K433" s="34">
        <f>VLOOKUP($A433, Stat!$A$1:$C$1000, 3,0)</f>
        <v>0</v>
      </c>
      <c r="L433" s="34">
        <v>1</v>
      </c>
      <c r="P433" s="35" t="s">
        <v>577</v>
      </c>
      <c r="S433" s="38">
        <v>60</v>
      </c>
      <c r="T433" s="38">
        <v>0</v>
      </c>
      <c r="V433" s="38" t="s">
        <v>793</v>
      </c>
      <c r="X433" s="38">
        <v>1</v>
      </c>
    </row>
    <row r="434" spans="1:24" x14ac:dyDescent="0.25">
      <c r="A434" s="38">
        <v>461</v>
      </c>
      <c r="B434" s="38" t="s">
        <v>35</v>
      </c>
      <c r="C434" s="38" t="s">
        <v>558</v>
      </c>
      <c r="D434" s="38" t="s">
        <v>895</v>
      </c>
      <c r="E434" s="38" t="s">
        <v>3</v>
      </c>
      <c r="F434" s="34">
        <v>5</v>
      </c>
      <c r="J434" s="34">
        <f>VLOOKUP($A434, Stat!$A$1:$C$1000, 2,0)</f>
        <v>0</v>
      </c>
      <c r="K434" s="34">
        <f>VLOOKUP($A434, Stat!$A$1:$C$1000, 3,0)</f>
        <v>0</v>
      </c>
      <c r="L434" s="34">
        <v>1</v>
      </c>
      <c r="P434" s="35" t="s">
        <v>581</v>
      </c>
      <c r="S434" s="38">
        <v>60</v>
      </c>
      <c r="T434" s="38">
        <v>0</v>
      </c>
      <c r="V434" s="38" t="s">
        <v>793</v>
      </c>
      <c r="X434" s="38">
        <v>1</v>
      </c>
    </row>
    <row r="435" spans="1:24" x14ac:dyDescent="0.25">
      <c r="A435" s="38">
        <v>462</v>
      </c>
      <c r="B435" s="38" t="s">
        <v>35</v>
      </c>
      <c r="C435" s="38" t="s">
        <v>558</v>
      </c>
      <c r="D435" s="38" t="s">
        <v>895</v>
      </c>
      <c r="E435" s="38" t="s">
        <v>4</v>
      </c>
      <c r="F435" s="34">
        <v>5</v>
      </c>
      <c r="J435" s="34">
        <f>VLOOKUP($A435, Stat!$A$1:$C$1000, 2,0)</f>
        <v>0</v>
      </c>
      <c r="K435" s="34">
        <f>VLOOKUP($A435, Stat!$A$1:$C$1000, 3,0)</f>
        <v>0</v>
      </c>
      <c r="L435" s="34">
        <v>1</v>
      </c>
      <c r="P435" s="35" t="s">
        <v>582</v>
      </c>
      <c r="S435" s="38">
        <v>100</v>
      </c>
      <c r="T435" s="38">
        <v>0</v>
      </c>
      <c r="V435" s="38" t="s">
        <v>793</v>
      </c>
      <c r="X435" s="38">
        <v>1</v>
      </c>
    </row>
    <row r="436" spans="1:24" x14ac:dyDescent="0.25">
      <c r="A436" s="38">
        <v>463</v>
      </c>
      <c r="B436" s="38" t="s">
        <v>35</v>
      </c>
      <c r="C436" s="38" t="s">
        <v>558</v>
      </c>
      <c r="D436" s="38" t="s">
        <v>895</v>
      </c>
      <c r="E436" s="38" t="s">
        <v>47</v>
      </c>
      <c r="F436" s="34">
        <v>5</v>
      </c>
      <c r="J436" s="34">
        <f>VLOOKUP($A436, Stat!$A$1:$C$1000, 2,0)</f>
        <v>1</v>
      </c>
      <c r="K436" s="34">
        <f>VLOOKUP($A436, Stat!$A$1:$C$1000, 3,0)</f>
        <v>1</v>
      </c>
      <c r="L436" s="34">
        <v>1</v>
      </c>
      <c r="P436" s="35" t="s">
        <v>583</v>
      </c>
      <c r="S436" s="38">
        <v>100</v>
      </c>
      <c r="T436" s="38">
        <v>0</v>
      </c>
      <c r="V436" s="38" t="s">
        <v>793</v>
      </c>
      <c r="X436" s="38">
        <v>1</v>
      </c>
    </row>
    <row r="437" spans="1:24" x14ac:dyDescent="0.25">
      <c r="A437" s="38">
        <v>464</v>
      </c>
      <c r="B437" s="38" t="s">
        <v>35</v>
      </c>
      <c r="C437" s="38" t="s">
        <v>558</v>
      </c>
      <c r="D437" s="38" t="s">
        <v>896</v>
      </c>
      <c r="E437" s="38" t="s">
        <v>2</v>
      </c>
      <c r="F437" s="34">
        <v>5</v>
      </c>
      <c r="J437" s="34">
        <f>VLOOKUP($A437, Stat!$A$1:$C$1000, 2,0)</f>
        <v>1</v>
      </c>
      <c r="K437" s="34">
        <f>VLOOKUP($A437, Stat!$A$1:$C$1000, 3,0)</f>
        <v>1</v>
      </c>
      <c r="L437" s="34">
        <v>1</v>
      </c>
      <c r="P437" s="35" t="s">
        <v>829</v>
      </c>
      <c r="S437" s="38">
        <v>60</v>
      </c>
      <c r="T437" s="38">
        <v>0</v>
      </c>
      <c r="V437" s="38" t="s">
        <v>794</v>
      </c>
      <c r="X437" s="38">
        <v>1</v>
      </c>
    </row>
    <row r="438" spans="1:24" x14ac:dyDescent="0.25">
      <c r="A438" s="38">
        <v>465</v>
      </c>
      <c r="B438" s="38" t="s">
        <v>35</v>
      </c>
      <c r="C438" s="38" t="s">
        <v>558</v>
      </c>
      <c r="D438" s="38" t="s">
        <v>896</v>
      </c>
      <c r="E438" s="38" t="s">
        <v>3</v>
      </c>
      <c r="F438" s="34">
        <v>5</v>
      </c>
      <c r="J438" s="34">
        <f>VLOOKUP($A438, Stat!$A$1:$C$1000, 2,0)</f>
        <v>1</v>
      </c>
      <c r="K438" s="34">
        <f>VLOOKUP($A438, Stat!$A$1:$C$1000, 3,0)</f>
        <v>0</v>
      </c>
      <c r="L438" s="34">
        <v>1</v>
      </c>
      <c r="P438" s="35" t="s">
        <v>830</v>
      </c>
      <c r="S438" s="38">
        <v>60</v>
      </c>
      <c r="T438" s="38">
        <v>0</v>
      </c>
      <c r="V438" s="38" t="s">
        <v>794</v>
      </c>
      <c r="X438" s="38">
        <v>1</v>
      </c>
    </row>
    <row r="439" spans="1:24" x14ac:dyDescent="0.25">
      <c r="A439" s="38">
        <v>466</v>
      </c>
      <c r="B439" s="38" t="s">
        <v>35</v>
      </c>
      <c r="C439" s="38" t="s">
        <v>558</v>
      </c>
      <c r="D439" s="38" t="s">
        <v>896</v>
      </c>
      <c r="E439" s="38" t="s">
        <v>4</v>
      </c>
      <c r="F439" s="34">
        <v>5</v>
      </c>
      <c r="J439" s="34">
        <f>VLOOKUP($A439, Stat!$A$1:$C$1000, 2,0)</f>
        <v>0</v>
      </c>
      <c r="K439" s="34">
        <f>VLOOKUP($A439, Stat!$A$1:$C$1000, 3,0)</f>
        <v>0</v>
      </c>
      <c r="L439" s="34">
        <v>1</v>
      </c>
      <c r="P439" s="35" t="s">
        <v>831</v>
      </c>
      <c r="S439" s="38">
        <v>100</v>
      </c>
      <c r="T439" s="38">
        <v>0</v>
      </c>
      <c r="V439" s="38" t="s">
        <v>794</v>
      </c>
      <c r="X439" s="38">
        <v>1</v>
      </c>
    </row>
    <row r="440" spans="1:24" x14ac:dyDescent="0.25">
      <c r="A440" s="38">
        <v>467</v>
      </c>
      <c r="B440" s="38" t="s">
        <v>35</v>
      </c>
      <c r="C440" s="38" t="s">
        <v>558</v>
      </c>
      <c r="D440" s="38" t="s">
        <v>896</v>
      </c>
      <c r="E440" s="38" t="s">
        <v>47</v>
      </c>
      <c r="F440" s="34">
        <v>5</v>
      </c>
      <c r="J440" s="34">
        <f>VLOOKUP($A440, Stat!$A$1:$C$1000, 2,0)</f>
        <v>0</v>
      </c>
      <c r="K440" s="34">
        <f>VLOOKUP($A440, Stat!$A$1:$C$1000, 3,0)</f>
        <v>0</v>
      </c>
      <c r="L440" s="34">
        <v>1</v>
      </c>
      <c r="P440" s="35" t="s">
        <v>832</v>
      </c>
      <c r="S440" s="38">
        <v>100</v>
      </c>
      <c r="T440" s="38">
        <v>0</v>
      </c>
      <c r="V440" s="38" t="s">
        <v>794</v>
      </c>
      <c r="X440" s="38">
        <v>1</v>
      </c>
    </row>
    <row r="441" spans="1:24" x14ac:dyDescent="0.25">
      <c r="A441" s="38">
        <v>468</v>
      </c>
      <c r="B441" s="38" t="s">
        <v>35</v>
      </c>
      <c r="C441" s="38" t="s">
        <v>558</v>
      </c>
      <c r="D441" s="38" t="s">
        <v>897</v>
      </c>
      <c r="E441" s="38" t="s">
        <v>2</v>
      </c>
      <c r="F441" s="34">
        <v>5</v>
      </c>
      <c r="J441" s="34">
        <f>VLOOKUP($A441, Stat!$A$1:$C$1000, 2,0)</f>
        <v>6</v>
      </c>
      <c r="K441" s="34">
        <f>VLOOKUP($A441, Stat!$A$1:$C$1000, 3,0)</f>
        <v>3</v>
      </c>
      <c r="L441" s="34">
        <v>1</v>
      </c>
      <c r="P441" s="36">
        <v>132</v>
      </c>
      <c r="S441" s="38">
        <v>60</v>
      </c>
      <c r="T441" s="38">
        <v>0</v>
      </c>
      <c r="V441" s="38" t="s">
        <v>795</v>
      </c>
      <c r="X441" s="38">
        <v>1</v>
      </c>
    </row>
    <row r="442" spans="1:24" x14ac:dyDescent="0.25">
      <c r="A442" s="38">
        <v>469</v>
      </c>
      <c r="B442" s="38" t="s">
        <v>35</v>
      </c>
      <c r="C442" s="38" t="s">
        <v>558</v>
      </c>
      <c r="D442" s="38" t="s">
        <v>897</v>
      </c>
      <c r="E442" s="38" t="s">
        <v>3</v>
      </c>
      <c r="F442" s="34">
        <v>5</v>
      </c>
      <c r="J442" s="34">
        <f>VLOOKUP($A442, Stat!$A$1:$C$1000, 2,0)</f>
        <v>0</v>
      </c>
      <c r="K442" s="34">
        <f>VLOOKUP($A442, Stat!$A$1:$C$1000, 3,0)</f>
        <v>0</v>
      </c>
      <c r="L442" s="34">
        <v>1</v>
      </c>
      <c r="P442" s="36">
        <v>133</v>
      </c>
      <c r="S442" s="38">
        <v>60</v>
      </c>
      <c r="T442" s="38">
        <v>0</v>
      </c>
      <c r="V442" s="38" t="s">
        <v>795</v>
      </c>
      <c r="X442" s="38">
        <v>1</v>
      </c>
    </row>
    <row r="443" spans="1:24" x14ac:dyDescent="0.25">
      <c r="A443" s="38">
        <v>470</v>
      </c>
      <c r="B443" s="38" t="s">
        <v>35</v>
      </c>
      <c r="C443" s="38" t="s">
        <v>558</v>
      </c>
      <c r="D443" s="38" t="s">
        <v>897</v>
      </c>
      <c r="E443" s="38" t="s">
        <v>4</v>
      </c>
      <c r="F443" s="34">
        <v>5</v>
      </c>
      <c r="J443" s="34">
        <f>VLOOKUP($A443, Stat!$A$1:$C$1000, 2,0)</f>
        <v>1</v>
      </c>
      <c r="K443" s="34">
        <f>VLOOKUP($A443, Stat!$A$1:$C$1000, 3,0)</f>
        <v>1</v>
      </c>
      <c r="L443" s="34">
        <v>1</v>
      </c>
      <c r="P443" s="36">
        <v>134</v>
      </c>
      <c r="S443" s="38">
        <v>100</v>
      </c>
      <c r="T443" s="38">
        <v>0</v>
      </c>
      <c r="V443" s="38" t="s">
        <v>795</v>
      </c>
      <c r="X443" s="38">
        <v>1</v>
      </c>
    </row>
    <row r="444" spans="1:24" x14ac:dyDescent="0.25">
      <c r="A444" s="38">
        <v>471</v>
      </c>
      <c r="B444" s="38" t="s">
        <v>35</v>
      </c>
      <c r="C444" s="38" t="s">
        <v>558</v>
      </c>
      <c r="D444" s="38" t="s">
        <v>897</v>
      </c>
      <c r="E444" s="38" t="s">
        <v>47</v>
      </c>
      <c r="F444" s="34">
        <v>5</v>
      </c>
      <c r="J444" s="34">
        <f>VLOOKUP($A444, Stat!$A$1:$C$1000, 2,0)</f>
        <v>0</v>
      </c>
      <c r="K444" s="34">
        <f>VLOOKUP($A444, Stat!$A$1:$C$1000, 3,0)</f>
        <v>0</v>
      </c>
      <c r="L444" s="34">
        <v>1</v>
      </c>
      <c r="P444" s="36">
        <v>135</v>
      </c>
      <c r="S444" s="38">
        <v>100</v>
      </c>
      <c r="T444" s="38">
        <v>0</v>
      </c>
      <c r="V444" s="38" t="s">
        <v>795</v>
      </c>
      <c r="X444" s="38">
        <v>1</v>
      </c>
    </row>
    <row r="445" spans="1:24" x14ac:dyDescent="0.25">
      <c r="A445" s="38">
        <v>472</v>
      </c>
      <c r="B445" s="38" t="s">
        <v>35</v>
      </c>
      <c r="C445" s="38" t="s">
        <v>558</v>
      </c>
      <c r="D445" s="38" t="s">
        <v>898</v>
      </c>
      <c r="E445" s="38" t="s">
        <v>2</v>
      </c>
      <c r="F445" s="34">
        <v>5</v>
      </c>
      <c r="J445" s="34">
        <f>VLOOKUP($A445, Stat!$A$1:$C$1000, 2,0)</f>
        <v>1</v>
      </c>
      <c r="K445" s="34">
        <f>VLOOKUP($A445, Stat!$A$1:$C$1000, 3,0)</f>
        <v>0</v>
      </c>
      <c r="L445" s="34">
        <v>1</v>
      </c>
      <c r="P445" s="35" t="s">
        <v>828</v>
      </c>
      <c r="S445" s="38">
        <v>60</v>
      </c>
      <c r="T445" s="38">
        <v>0</v>
      </c>
      <c r="V445" s="38" t="s">
        <v>796</v>
      </c>
      <c r="X445" s="38">
        <v>1</v>
      </c>
    </row>
    <row r="446" spans="1:24" x14ac:dyDescent="0.25">
      <c r="A446" s="38">
        <v>473</v>
      </c>
      <c r="B446" s="38" t="s">
        <v>35</v>
      </c>
      <c r="C446" s="38" t="s">
        <v>558</v>
      </c>
      <c r="D446" s="38" t="s">
        <v>898</v>
      </c>
      <c r="E446" s="38" t="s">
        <v>3</v>
      </c>
      <c r="F446" s="34">
        <v>5</v>
      </c>
      <c r="J446" s="34">
        <f>VLOOKUP($A446, Stat!$A$1:$C$1000, 2,0)</f>
        <v>0</v>
      </c>
      <c r="K446" s="34">
        <f>VLOOKUP($A446, Stat!$A$1:$C$1000, 3,0)</f>
        <v>0</v>
      </c>
      <c r="L446" s="34">
        <v>1</v>
      </c>
      <c r="P446" s="35" t="s">
        <v>855</v>
      </c>
      <c r="S446" s="38">
        <v>60</v>
      </c>
      <c r="T446" s="38">
        <v>0</v>
      </c>
      <c r="V446" s="38" t="s">
        <v>796</v>
      </c>
      <c r="X446" s="38">
        <v>1</v>
      </c>
    </row>
    <row r="447" spans="1:24" x14ac:dyDescent="0.25">
      <c r="A447" s="38">
        <v>474</v>
      </c>
      <c r="B447" s="38" t="s">
        <v>35</v>
      </c>
      <c r="C447" s="38" t="s">
        <v>558</v>
      </c>
      <c r="D447" s="38" t="s">
        <v>898</v>
      </c>
      <c r="E447" s="38" t="s">
        <v>4</v>
      </c>
      <c r="F447" s="34">
        <v>5</v>
      </c>
      <c r="J447" s="34">
        <f>VLOOKUP($A447, Stat!$A$1:$C$1000, 2,0)</f>
        <v>0</v>
      </c>
      <c r="K447" s="34">
        <f>VLOOKUP($A447, Stat!$A$1:$C$1000, 3,0)</f>
        <v>0</v>
      </c>
      <c r="L447" s="34">
        <v>1</v>
      </c>
      <c r="P447" s="35" t="s">
        <v>856</v>
      </c>
      <c r="S447" s="38">
        <v>100</v>
      </c>
      <c r="T447" s="38">
        <v>0</v>
      </c>
      <c r="V447" s="38" t="s">
        <v>796</v>
      </c>
      <c r="X447" s="38">
        <v>1</v>
      </c>
    </row>
    <row r="448" spans="1:24" x14ac:dyDescent="0.25">
      <c r="A448" s="38">
        <v>475</v>
      </c>
      <c r="B448" s="38" t="s">
        <v>35</v>
      </c>
      <c r="C448" s="38" t="s">
        <v>558</v>
      </c>
      <c r="D448" s="38" t="s">
        <v>898</v>
      </c>
      <c r="E448" s="38" t="s">
        <v>47</v>
      </c>
      <c r="F448" s="34">
        <v>5</v>
      </c>
      <c r="J448" s="34">
        <f>VLOOKUP($A448, Stat!$A$1:$C$1000, 2,0)</f>
        <v>0</v>
      </c>
      <c r="K448" s="34">
        <f>VLOOKUP($A448, Stat!$A$1:$C$1000, 3,0)</f>
        <v>0</v>
      </c>
      <c r="L448" s="34">
        <v>1</v>
      </c>
      <c r="P448" s="35" t="s">
        <v>857</v>
      </c>
      <c r="S448" s="38">
        <v>100</v>
      </c>
      <c r="T448" s="38">
        <v>0</v>
      </c>
      <c r="V448" s="38" t="s">
        <v>796</v>
      </c>
      <c r="X448" s="38">
        <v>1</v>
      </c>
    </row>
    <row r="449" spans="1:24" x14ac:dyDescent="0.25">
      <c r="A449" s="38">
        <v>481</v>
      </c>
      <c r="B449" s="38" t="s">
        <v>56</v>
      </c>
      <c r="C449" s="38" t="s">
        <v>56</v>
      </c>
      <c r="D449" s="38" t="s">
        <v>802</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802</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801</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801</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801</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801</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801</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801</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801</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801</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801</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845</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845</v>
      </c>
      <c r="E461" s="38" t="s">
        <v>837</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845</v>
      </c>
      <c r="E462" s="38" t="s">
        <v>301</v>
      </c>
      <c r="F462" s="95" t="s">
        <v>455</v>
      </c>
      <c r="G462" s="36"/>
      <c r="H462" s="36"/>
      <c r="I462" s="35" t="s">
        <v>538</v>
      </c>
      <c r="J462" s="81">
        <f>VLOOKUP($A462, Stat!$A$1:$C$1000, 2,0)</f>
        <v>0</v>
      </c>
      <c r="K462" s="81">
        <f>VLOOKUP($A462, Stat!$A$1:$C$1000, 3,0)</f>
        <v>0</v>
      </c>
      <c r="L462" s="84"/>
      <c r="O462" s="34">
        <v>1</v>
      </c>
      <c r="P462" s="35" t="s">
        <v>822</v>
      </c>
      <c r="S462" s="38">
        <v>60</v>
      </c>
      <c r="T462" s="38">
        <v>0</v>
      </c>
      <c r="U462" s="38">
        <v>5</v>
      </c>
      <c r="X462" s="38">
        <v>1</v>
      </c>
    </row>
    <row r="463" spans="1:24" x14ac:dyDescent="0.25">
      <c r="A463" s="38">
        <v>496</v>
      </c>
      <c r="B463" s="38" t="s">
        <v>35</v>
      </c>
      <c r="C463" s="38" t="s">
        <v>6</v>
      </c>
      <c r="D463" s="38" t="s">
        <v>845</v>
      </c>
      <c r="E463" s="38" t="s">
        <v>817</v>
      </c>
      <c r="F463" s="95" t="s">
        <v>455</v>
      </c>
      <c r="G463" s="36"/>
      <c r="H463" s="36"/>
      <c r="I463" s="35" t="s">
        <v>460</v>
      </c>
      <c r="J463" s="81">
        <f>VLOOKUP($A463, Stat!$A$1:$C$1000, 2,0)</f>
        <v>0</v>
      </c>
      <c r="K463" s="81">
        <f>VLOOKUP($A463, Stat!$A$1:$C$1000, 3,0)</f>
        <v>0</v>
      </c>
      <c r="L463" s="84"/>
      <c r="O463" s="34">
        <v>1</v>
      </c>
      <c r="P463" s="35" t="s">
        <v>823</v>
      </c>
      <c r="S463" s="38">
        <v>60</v>
      </c>
      <c r="T463" s="38">
        <v>0</v>
      </c>
      <c r="U463" s="38">
        <v>5</v>
      </c>
      <c r="W463" s="38" t="s">
        <v>174</v>
      </c>
      <c r="X463" s="38">
        <v>1</v>
      </c>
    </row>
    <row r="464" spans="1:24" x14ac:dyDescent="0.25">
      <c r="A464" s="38">
        <v>497</v>
      </c>
      <c r="B464" s="38" t="s">
        <v>35</v>
      </c>
      <c r="C464" s="38" t="s">
        <v>6</v>
      </c>
      <c r="D464" s="38" t="s">
        <v>846</v>
      </c>
      <c r="E464" s="38" t="s">
        <v>838</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846</v>
      </c>
      <c r="E465" s="38" t="s">
        <v>839</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846</v>
      </c>
      <c r="E466" s="38" t="s">
        <v>840</v>
      </c>
      <c r="F466" s="95" t="s">
        <v>455</v>
      </c>
      <c r="G466" s="36"/>
      <c r="H466" s="36"/>
      <c r="I466" s="35" t="s">
        <v>538</v>
      </c>
      <c r="J466" s="34">
        <f>VLOOKUP($A466, Stat!$A$1:$C$1000, 2,0)</f>
        <v>0</v>
      </c>
      <c r="K466" s="34">
        <f>VLOOKUP($A466, Stat!$A$1:$C$1000, 3,0)</f>
        <v>0</v>
      </c>
      <c r="L466" s="84"/>
      <c r="O466" s="34">
        <v>1</v>
      </c>
      <c r="P466" s="35" t="s">
        <v>824</v>
      </c>
      <c r="S466" s="38">
        <v>60</v>
      </c>
      <c r="T466" s="38">
        <v>0</v>
      </c>
      <c r="U466" s="38">
        <v>5</v>
      </c>
      <c r="X466" s="38">
        <v>1</v>
      </c>
    </row>
    <row r="467" spans="1:24" x14ac:dyDescent="0.25">
      <c r="A467" s="38">
        <v>500</v>
      </c>
      <c r="B467" s="38" t="s">
        <v>35</v>
      </c>
      <c r="C467" s="38" t="s">
        <v>6</v>
      </c>
      <c r="D467" s="38" t="s">
        <v>846</v>
      </c>
      <c r="E467" s="38" t="s">
        <v>841</v>
      </c>
      <c r="F467" s="95" t="s">
        <v>455</v>
      </c>
      <c r="G467" s="36"/>
      <c r="H467" s="36"/>
      <c r="I467" s="35" t="s">
        <v>460</v>
      </c>
      <c r="J467" s="34">
        <f>VLOOKUP($A467, Stat!$A$1:$C$1000, 2,0)</f>
        <v>0</v>
      </c>
      <c r="K467" s="34">
        <f>VLOOKUP($A467, Stat!$A$1:$C$1000, 3,0)</f>
        <v>0</v>
      </c>
      <c r="L467" s="84"/>
      <c r="O467" s="34">
        <v>1</v>
      </c>
      <c r="P467" s="35" t="s">
        <v>825</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821</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821</v>
      </c>
      <c r="X469" s="38">
        <v>1</v>
      </c>
    </row>
    <row r="470" spans="1:24" x14ac:dyDescent="0.25">
      <c r="A470" s="38">
        <v>503</v>
      </c>
      <c r="B470" s="38" t="s">
        <v>35</v>
      </c>
      <c r="C470" s="38" t="s">
        <v>6</v>
      </c>
      <c r="D470" s="38" t="s">
        <v>847</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847</v>
      </c>
      <c r="E471" s="38" t="s">
        <v>767</v>
      </c>
      <c r="F471" s="95" t="s">
        <v>455</v>
      </c>
      <c r="G471" s="36"/>
      <c r="H471" s="36"/>
      <c r="I471" s="35" t="s">
        <v>551</v>
      </c>
      <c r="J471" s="81">
        <f>VLOOKUP($A471, Stat!$A$1:$C$1000, 2,0)</f>
        <v>10</v>
      </c>
      <c r="K471" s="81">
        <f>VLOOKUP($A471, Stat!$A$1:$C$1000, 3,0)</f>
        <v>0</v>
      </c>
      <c r="L471" s="34">
        <v>1</v>
      </c>
      <c r="P471" s="35" t="s">
        <v>826</v>
      </c>
      <c r="S471" s="38">
        <v>100</v>
      </c>
      <c r="T471" s="38">
        <v>0</v>
      </c>
      <c r="U471" s="38">
        <v>45</v>
      </c>
      <c r="X471" s="38">
        <v>1</v>
      </c>
    </row>
    <row r="472" spans="1:24" x14ac:dyDescent="0.25">
      <c r="A472" s="38">
        <v>505</v>
      </c>
      <c r="B472" s="38" t="s">
        <v>35</v>
      </c>
      <c r="C472" s="38" t="s">
        <v>6</v>
      </c>
      <c r="D472" s="38" t="s">
        <v>847</v>
      </c>
      <c r="E472" s="38" t="s">
        <v>768</v>
      </c>
      <c r="F472" s="95" t="s">
        <v>455</v>
      </c>
      <c r="I472" s="87" t="s">
        <v>827</v>
      </c>
      <c r="J472" s="81">
        <f>VLOOKUP($A472, Stat!$A$1:$C$1000, 2,0)</f>
        <v>64</v>
      </c>
      <c r="K472" s="81">
        <f>VLOOKUP($A472, Stat!$A$1:$C$1000, 3,0)</f>
        <v>34</v>
      </c>
      <c r="L472" s="34">
        <v>1</v>
      </c>
      <c r="P472" s="35"/>
      <c r="S472" s="38">
        <v>100</v>
      </c>
      <c r="T472" s="38">
        <v>0</v>
      </c>
      <c r="U472" s="38">
        <v>45</v>
      </c>
      <c r="W472" s="38" t="s">
        <v>820</v>
      </c>
      <c r="X472" s="38">
        <v>1</v>
      </c>
    </row>
    <row r="473" spans="1:24" x14ac:dyDescent="0.25">
      <c r="A473" s="38">
        <v>6</v>
      </c>
      <c r="B473" s="38" t="s">
        <v>35</v>
      </c>
      <c r="C473" s="38" t="s">
        <v>12</v>
      </c>
      <c r="D473" s="38" t="s">
        <v>51</v>
      </c>
      <c r="E473" s="38" t="s">
        <v>77</v>
      </c>
      <c r="O473" s="34">
        <v>1</v>
      </c>
      <c r="S473" s="38">
        <v>0</v>
      </c>
      <c r="T473" s="38">
        <v>-1</v>
      </c>
      <c r="W473" s="38" t="s">
        <v>175</v>
      </c>
    </row>
    <row r="474" spans="1:24" x14ac:dyDescent="0.25">
      <c r="A474" s="38">
        <v>25</v>
      </c>
      <c r="B474" s="38" t="s">
        <v>35</v>
      </c>
      <c r="C474" s="38" t="s">
        <v>558</v>
      </c>
      <c r="D474" s="38" t="s">
        <v>899</v>
      </c>
      <c r="E474" s="38" t="s">
        <v>2</v>
      </c>
      <c r="F474" s="34">
        <v>5</v>
      </c>
      <c r="L474" s="34">
        <v>1</v>
      </c>
      <c r="S474" s="38">
        <v>60</v>
      </c>
      <c r="T474" s="38">
        <v>0</v>
      </c>
      <c r="V474" s="38" t="s">
        <v>636</v>
      </c>
    </row>
    <row r="475" spans="1:24" x14ac:dyDescent="0.25">
      <c r="A475" s="38">
        <v>27</v>
      </c>
      <c r="B475" s="38" t="s">
        <v>35</v>
      </c>
      <c r="C475" s="38" t="s">
        <v>558</v>
      </c>
      <c r="D475" s="38" t="s">
        <v>899</v>
      </c>
      <c r="E475" s="38" t="s">
        <v>4</v>
      </c>
      <c r="F475" s="34">
        <v>5</v>
      </c>
      <c r="L475" s="34">
        <v>1</v>
      </c>
      <c r="S475" s="38">
        <v>100</v>
      </c>
      <c r="T475" s="38">
        <v>0</v>
      </c>
      <c r="V475" s="38" t="s">
        <v>636</v>
      </c>
    </row>
    <row r="476" spans="1:24" x14ac:dyDescent="0.25">
      <c r="A476" s="38">
        <v>28</v>
      </c>
      <c r="B476" s="38" t="s">
        <v>35</v>
      </c>
      <c r="C476" s="38" t="s">
        <v>558</v>
      </c>
      <c r="D476" s="38" t="s">
        <v>899</v>
      </c>
      <c r="E476" s="38" t="s">
        <v>47</v>
      </c>
      <c r="F476" s="34">
        <v>5</v>
      </c>
      <c r="L476" s="34">
        <v>1</v>
      </c>
      <c r="S476" s="38">
        <v>100</v>
      </c>
      <c r="T476" s="38">
        <v>0</v>
      </c>
      <c r="V476" s="38" t="s">
        <v>636</v>
      </c>
    </row>
    <row r="477" spans="1:24" x14ac:dyDescent="0.25">
      <c r="A477" s="38">
        <v>476</v>
      </c>
      <c r="B477" s="38" t="s">
        <v>35</v>
      </c>
      <c r="C477" s="38" t="s">
        <v>558</v>
      </c>
      <c r="D477" s="38" t="s">
        <v>900</v>
      </c>
      <c r="E477" s="38" t="s">
        <v>2</v>
      </c>
      <c r="F477" s="34">
        <v>5</v>
      </c>
      <c r="L477" s="34">
        <v>1</v>
      </c>
      <c r="S477" s="38">
        <v>60</v>
      </c>
      <c r="T477" s="38">
        <v>0</v>
      </c>
      <c r="V477" s="38" t="s">
        <v>635</v>
      </c>
    </row>
    <row r="478" spans="1:24" x14ac:dyDescent="0.25">
      <c r="A478" s="38">
        <v>477</v>
      </c>
      <c r="B478" s="38" t="s">
        <v>35</v>
      </c>
      <c r="C478" s="38" t="s">
        <v>558</v>
      </c>
      <c r="D478" s="38" t="s">
        <v>900</v>
      </c>
      <c r="E478" s="38" t="s">
        <v>3</v>
      </c>
      <c r="F478" s="34">
        <v>5</v>
      </c>
      <c r="L478" s="34">
        <v>1</v>
      </c>
      <c r="S478" s="38">
        <v>60</v>
      </c>
      <c r="T478" s="38">
        <v>0</v>
      </c>
      <c r="V478" s="38" t="s">
        <v>635</v>
      </c>
    </row>
    <row r="479" spans="1:24" x14ac:dyDescent="0.25">
      <c r="A479" s="38">
        <v>478</v>
      </c>
      <c r="B479" s="38" t="s">
        <v>35</v>
      </c>
      <c r="C479" s="38" t="s">
        <v>558</v>
      </c>
      <c r="D479" s="38" t="s">
        <v>900</v>
      </c>
      <c r="E479" s="38" t="s">
        <v>4</v>
      </c>
      <c r="F479" s="34">
        <v>5</v>
      </c>
      <c r="L479" s="34">
        <v>1</v>
      </c>
      <c r="S479" s="38">
        <v>100</v>
      </c>
      <c r="T479" s="38">
        <v>0</v>
      </c>
      <c r="V479" s="38" t="s">
        <v>635</v>
      </c>
    </row>
    <row r="480" spans="1:24" x14ac:dyDescent="0.25">
      <c r="A480" s="38">
        <v>479</v>
      </c>
      <c r="B480" s="38" t="s">
        <v>35</v>
      </c>
      <c r="C480" s="38" t="s">
        <v>558</v>
      </c>
      <c r="D480" s="38" t="s">
        <v>900</v>
      </c>
      <c r="E480" s="38" t="s">
        <v>47</v>
      </c>
      <c r="F480" s="34">
        <v>5</v>
      </c>
      <c r="L480" s="34">
        <v>1</v>
      </c>
      <c r="S480" s="38">
        <v>100</v>
      </c>
      <c r="T480" s="38">
        <v>0</v>
      </c>
      <c r="V480" s="38" t="s">
        <v>635</v>
      </c>
    </row>
    <row r="481" spans="1:23" x14ac:dyDescent="0.25">
      <c r="A481" s="38">
        <v>9</v>
      </c>
      <c r="B481" s="38" t="s">
        <v>56</v>
      </c>
      <c r="C481" s="38" t="s">
        <v>56</v>
      </c>
      <c r="D481" s="38" t="s">
        <v>309</v>
      </c>
      <c r="E481" s="38" t="s">
        <v>901</v>
      </c>
      <c r="S481" s="38">
        <v>30</v>
      </c>
      <c r="T481" s="38">
        <v>0</v>
      </c>
      <c r="W481" s="38" t="s">
        <v>902</v>
      </c>
    </row>
  </sheetData>
  <autoFilter ref="A1:X480">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815</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814</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816</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799</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799</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2018-05-29T19:22:20Z</dcterms:modified>
</cp:coreProperties>
</file>