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<sst xmlns="http://schemas.openxmlformats.org/spreadsheetml/2006/main" count="2437" uniqueCount="595">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</sst>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5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20" activePane="bottomLeft" state="frozen"/>
      <selection activeCell="C37" sqref="C37"/>
      <selection pane="bottomLeft" activeCell="E44" sqref="E4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4" t="s">
        <v>63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9" t="s">
        <v>40</v>
      </c>
      <c r="E2" s="120"/>
      <c r="F2" s="120"/>
      <c r="G2" s="120"/>
      <c r="H2" s="120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8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8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8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8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8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8"/>
      <c r="B8" s="113"/>
      <c r="C8" s="30" t="s">
        <v>395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8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8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8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8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8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8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8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8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8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8"/>
      <c r="B18" s="113"/>
      <c r="C18" s="34" t="s">
        <v>257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8"/>
      <c r="B19" s="113"/>
      <c r="C19" s="34" t="s">
        <v>277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8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8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8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8"/>
      <c r="B23" s="113"/>
      <c r="C23" s="30" t="s">
        <v>167</v>
      </c>
      <c r="D23" s="68" t="s">
        <v>409</v>
      </c>
      <c r="E23" s="68" t="s">
        <v>411</v>
      </c>
      <c r="F23" s="69" t="s">
        <v>394</v>
      </c>
      <c r="G23" s="69" t="s">
        <v>367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8"/>
      <c r="B24" s="113"/>
      <c r="C24" s="30" t="s">
        <v>168</v>
      </c>
      <c r="D24" s="68" t="s">
        <v>410</v>
      </c>
      <c r="E24" s="68" t="s">
        <v>412</v>
      </c>
      <c r="F24" s="69" t="s">
        <v>366</v>
      </c>
      <c r="G24" s="69" t="s">
        <v>368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8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8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8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8"/>
      <c r="B28" s="115" t="s">
        <v>14</v>
      </c>
      <c r="C28" s="34" t="s">
        <v>384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8"/>
      <c r="B29" s="117"/>
      <c r="C29" s="34" t="s">
        <v>407</v>
      </c>
      <c r="D29" s="121" t="s">
        <v>385</v>
      </c>
      <c r="E29" s="122"/>
      <c r="F29" s="121" t="s">
        <v>389</v>
      </c>
      <c r="G29" s="122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8"/>
      <c r="B30" s="113" t="s">
        <v>15</v>
      </c>
      <c r="C30" s="34" t="s">
        <v>427</v>
      </c>
      <c r="D30" s="4" t="s">
        <v>429</v>
      </c>
      <c r="E30" s="78" t="s">
        <v>428</v>
      </c>
      <c r="F30" s="75" t="s">
        <v>430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8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391</v>
      </c>
      <c r="I31" s="83" t="s">
        <v>390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8"/>
      <c r="B32" s="113"/>
      <c r="C32" s="3" t="s">
        <v>24</v>
      </c>
      <c r="D32" s="71" t="s">
        <v>379</v>
      </c>
      <c r="E32" s="68" t="s">
        <v>380</v>
      </c>
      <c r="F32" s="68" t="s">
        <v>381</v>
      </c>
      <c r="G32" s="68" t="s">
        <v>382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8"/>
      <c r="B33" s="113"/>
      <c r="C33" s="3" t="s">
        <v>146</v>
      </c>
      <c r="D33" s="71" t="s">
        <v>371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8"/>
      <c r="B34" s="113"/>
      <c r="C34" s="36" t="s">
        <v>166</v>
      </c>
      <c r="D34" s="19" t="s">
        <v>375</v>
      </c>
      <c r="E34" s="68" t="s">
        <v>374</v>
      </c>
      <c r="F34" s="71" t="s">
        <v>512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8"/>
      <c r="B35" s="113"/>
      <c r="C35" s="30" t="s">
        <v>501</v>
      </c>
      <c r="D35" s="69" t="s">
        <v>502</v>
      </c>
      <c r="E35" s="99" t="s">
        <v>503</v>
      </c>
      <c r="F35" s="69" t="s">
        <v>504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8"/>
      <c r="B36" s="115" t="s">
        <v>567</v>
      </c>
      <c r="C36" s="34" t="s">
        <v>566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563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8"/>
      <c r="B37" s="116"/>
      <c r="C37" s="34" t="s">
        <v>498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8"/>
      <c r="B38" s="115" t="s">
        <v>568</v>
      </c>
      <c r="C38" s="34" t="s">
        <v>566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563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8"/>
      <c r="B39" s="116"/>
      <c r="C39" s="34" t="s">
        <v>561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563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8"/>
      <c r="B40" s="116"/>
      <c r="C40" s="34" t="s">
        <v>562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564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8"/>
      <c r="B41" s="116"/>
      <c r="C41" s="34" t="s">
        <v>498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560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8"/>
      <c r="B42" s="117"/>
      <c r="C42" s="34" t="s">
        <v>499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565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8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8"/>
      <c r="B44" s="113"/>
      <c r="C44" s="34" t="s">
        <v>17</v>
      </c>
      <c r="D44" s="72" t="s">
        <v>151</v>
      </c>
      <c r="E44" s="73" t="s">
        <v>594</v>
      </c>
      <c r="F44" s="73" t="s">
        <v>386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8"/>
      <c r="B45" s="113"/>
      <c r="C45" s="3" t="s">
        <v>520</v>
      </c>
      <c r="D45" s="69" t="s">
        <v>376</v>
      </c>
      <c r="E45" s="99" t="s">
        <v>473</v>
      </c>
      <c r="F45" s="69" t="s">
        <v>521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8"/>
      <c r="B46" s="113"/>
      <c r="C46" s="34" t="s">
        <v>156</v>
      </c>
      <c r="D46" s="69" t="s">
        <v>376</v>
      </c>
      <c r="E46" s="99" t="s">
        <v>509</v>
      </c>
      <c r="F46" s="69" t="s">
        <v>387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8"/>
      <c r="B47" s="113"/>
      <c r="C47" s="34" t="s">
        <v>362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8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8"/>
      <c r="B49" s="113"/>
      <c r="C49" s="34" t="s">
        <v>20</v>
      </c>
      <c r="D49" s="74" t="s">
        <v>419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8"/>
      <c r="B50" s="113"/>
      <c r="C50" s="3" t="s">
        <v>447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401</v>
      </c>
      <c r="O50" s="2">
        <v>194</v>
      </c>
      <c r="P50" s="2">
        <v>195</v>
      </c>
      <c r="Q50" s="2"/>
    </row>
    <row r="51" spans="1:21" x14ac:dyDescent="0.25">
      <c r="A51" s="118"/>
      <c r="B51" s="113"/>
      <c r="C51" s="34" t="s">
        <v>400</v>
      </c>
      <c r="D51" s="4" t="s">
        <v>547</v>
      </c>
      <c r="E51" s="7" t="s">
        <v>465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8"/>
      <c r="B52" s="113"/>
      <c r="C52" s="3" t="s">
        <v>405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8"/>
      <c r="B53" s="113"/>
      <c r="C53" s="3" t="s">
        <v>402</v>
      </c>
      <c r="D53" s="102" t="s">
        <v>529</v>
      </c>
      <c r="E53" s="103" t="s">
        <v>466</v>
      </c>
      <c r="F53" s="103" t="s">
        <v>467</v>
      </c>
      <c r="G53" s="80" t="s">
        <v>578</v>
      </c>
      <c r="H53" s="80" t="s">
        <v>105</v>
      </c>
      <c r="I53" s="80" t="s">
        <v>106</v>
      </c>
      <c r="J53" s="80" t="s">
        <v>592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8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433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8"/>
      <c r="B55" s="113" t="s">
        <v>571</v>
      </c>
      <c r="C55" s="34" t="s">
        <v>531</v>
      </c>
      <c r="D55" s="4" t="s">
        <v>530</v>
      </c>
      <c r="E55" s="75" t="s">
        <v>533</v>
      </c>
      <c r="F55" s="77" t="s">
        <v>295</v>
      </c>
      <c r="G55" s="3"/>
      <c r="H55" s="3"/>
      <c r="I55" s="3"/>
      <c r="J55" s="3"/>
      <c r="K55" s="3"/>
      <c r="L55" s="11"/>
      <c r="M55" s="22" t="s">
        <v>555</v>
      </c>
      <c r="O55" s="2">
        <v>49</v>
      </c>
      <c r="P55" s="2">
        <v>90</v>
      </c>
      <c r="Q55" s="2">
        <v>33</v>
      </c>
    </row>
    <row r="56" spans="1:21" x14ac:dyDescent="0.25">
      <c r="A56" s="118"/>
      <c r="B56" s="113"/>
      <c r="C56" s="34" t="s">
        <v>73</v>
      </c>
      <c r="D56" s="19" t="s">
        <v>536</v>
      </c>
      <c r="E56" s="19" t="s">
        <v>537</v>
      </c>
      <c r="F56" s="3"/>
      <c r="G56" s="3"/>
      <c r="H56" s="3"/>
      <c r="I56" s="3"/>
      <c r="J56" s="3"/>
      <c r="K56" s="3"/>
      <c r="L56" s="4"/>
      <c r="M56" s="22" t="s">
        <v>555</v>
      </c>
      <c r="O56" s="2">
        <v>14</v>
      </c>
      <c r="P56" s="2">
        <v>34</v>
      </c>
    </row>
    <row r="57" spans="1:21" x14ac:dyDescent="0.25">
      <c r="A57" s="118"/>
      <c r="B57" s="113"/>
      <c r="C57" s="34" t="s">
        <v>74</v>
      </c>
      <c r="D57" s="21" t="s">
        <v>535</v>
      </c>
      <c r="E57" s="80" t="s">
        <v>534</v>
      </c>
      <c r="F57" s="3"/>
      <c r="G57" s="3"/>
      <c r="H57" s="3"/>
      <c r="I57" s="3"/>
      <c r="J57" s="3"/>
      <c r="K57" s="3"/>
      <c r="L57" s="58"/>
      <c r="M57" s="22" t="s">
        <v>555</v>
      </c>
      <c r="O57" s="2">
        <v>51</v>
      </c>
      <c r="P57" s="2">
        <v>13</v>
      </c>
    </row>
    <row r="58" spans="1:21" x14ac:dyDescent="0.25">
      <c r="A58" s="118"/>
      <c r="B58" s="113"/>
      <c r="C58" s="3" t="s">
        <v>570</v>
      </c>
      <c r="D58" s="78" t="s">
        <v>577</v>
      </c>
      <c r="E58" s="78" t="s">
        <v>576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8"/>
      <c r="B59" s="113"/>
      <c r="C59" s="34" t="s">
        <v>75</v>
      </c>
      <c r="D59" s="77" t="s">
        <v>532</v>
      </c>
      <c r="E59" s="3"/>
      <c r="F59" s="3"/>
      <c r="G59" s="3"/>
      <c r="H59" s="3"/>
      <c r="I59" s="3"/>
      <c r="J59" s="3"/>
      <c r="K59" s="3"/>
      <c r="L59" s="14"/>
      <c r="M59" s="22" t="s">
        <v>555</v>
      </c>
      <c r="O59" s="26">
        <v>50</v>
      </c>
      <c r="P59" s="2"/>
      <c r="Q59" s="26"/>
    </row>
    <row r="60" spans="1:21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3"/>
      <c r="C61" s="3" t="s">
        <v>515</v>
      </c>
      <c r="D61" s="68" t="s">
        <v>517</v>
      </c>
      <c r="E61" s="68" t="s">
        <v>516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3"/>
      <c r="C62" s="34" t="s">
        <v>159</v>
      </c>
      <c r="D62" s="68" t="s">
        <v>514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583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454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586</v>
      </c>
      <c r="D69" s="78" t="s">
        <v>456</v>
      </c>
      <c r="E69" s="78" t="s">
        <v>455</v>
      </c>
      <c r="F69" s="3"/>
      <c r="G69" s="3"/>
      <c r="H69" s="3"/>
      <c r="I69" s="3"/>
      <c r="J69" s="3"/>
      <c r="K69" s="3"/>
      <c r="L69" s="58"/>
      <c r="M69" s="57" t="s">
        <v>589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458</v>
      </c>
      <c r="E70" s="75" t="s">
        <v>69</v>
      </c>
      <c r="F70" s="75" t="s">
        <v>446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4" t="s">
        <v>582</v>
      </c>
      <c r="F71" s="80" t="s">
        <v>507</v>
      </c>
      <c r="G71" s="4" t="s">
        <v>574</v>
      </c>
      <c r="H71" s="75" t="s">
        <v>421</v>
      </c>
      <c r="I71" s="75" t="s">
        <v>65</v>
      </c>
      <c r="J71" s="4" t="s">
        <v>130</v>
      </c>
      <c r="K71" s="75" t="s">
        <v>213</v>
      </c>
      <c r="L71" s="14"/>
      <c r="M71" s="22" t="s">
        <v>453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3"/>
      <c r="C72" s="3" t="s">
        <v>590</v>
      </c>
      <c r="D72" s="78" t="s">
        <v>197</v>
      </c>
      <c r="E72" s="78" t="s">
        <v>199</v>
      </c>
      <c r="F72" s="78" t="s">
        <v>591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3"/>
      <c r="C73" s="34" t="s">
        <v>173</v>
      </c>
      <c r="D73" s="4" t="s">
        <v>175</v>
      </c>
      <c r="E73" s="8" t="s">
        <v>176</v>
      </c>
      <c r="F73" s="76">
        <v>5</v>
      </c>
      <c r="G73" s="10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3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3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3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337</v>
      </c>
      <c r="I76" s="75" t="s">
        <v>335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3"/>
      <c r="C77" s="34" t="s">
        <v>332</v>
      </c>
      <c r="D77" s="40" t="s">
        <v>527</v>
      </c>
      <c r="E77" s="40" t="s">
        <v>528</v>
      </c>
      <c r="F77" s="40" t="s">
        <v>350</v>
      </c>
      <c r="G77" s="40" t="s">
        <v>351</v>
      </c>
      <c r="H77" s="75" t="s">
        <v>349</v>
      </c>
      <c r="I77" s="77" t="s">
        <v>348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3"/>
      <c r="C78" s="34" t="s">
        <v>68</v>
      </c>
      <c r="D78" s="77" t="s">
        <v>556</v>
      </c>
      <c r="E78" s="77" t="s">
        <v>65</v>
      </c>
      <c r="F78" s="75" t="s">
        <v>471</v>
      </c>
      <c r="G78" s="77" t="s">
        <v>339</v>
      </c>
      <c r="H78" s="40" t="s">
        <v>461</v>
      </c>
      <c r="I78" s="3"/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224</v>
      </c>
      <c r="S78" s="2">
        <v>331</v>
      </c>
    </row>
    <row r="79" spans="1:22" x14ac:dyDescent="0.25">
      <c r="A79" s="27"/>
      <c r="B79" s="113"/>
      <c r="C79" s="34" t="s">
        <v>129</v>
      </c>
      <c r="D79" s="19" t="s">
        <v>130</v>
      </c>
      <c r="E79" s="75" t="s">
        <v>180</v>
      </c>
      <c r="F79" s="75" t="s">
        <v>299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3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3"/>
      <c r="C81" s="34" t="s">
        <v>523</v>
      </c>
      <c r="D81" s="19" t="s">
        <v>538</v>
      </c>
      <c r="E81" s="19" t="s">
        <v>539</v>
      </c>
      <c r="F81" s="80" t="s">
        <v>540</v>
      </c>
      <c r="G81" s="76" t="s">
        <v>541</v>
      </c>
      <c r="H81" s="77" t="s">
        <v>295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3"/>
      <c r="C82" s="34" t="s">
        <v>524</v>
      </c>
      <c r="D82" s="19" t="s">
        <v>538</v>
      </c>
      <c r="E82" s="19" t="s">
        <v>539</v>
      </c>
      <c r="F82" s="7" t="s">
        <v>540</v>
      </c>
      <c r="G82" s="76" t="s">
        <v>541</v>
      </c>
      <c r="H82" s="77" t="s">
        <v>295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3"/>
      <c r="C83" s="34" t="s">
        <v>296</v>
      </c>
      <c r="D83" s="78" t="s">
        <v>298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3"/>
      <c r="C84" s="34" t="s">
        <v>76</v>
      </c>
      <c r="D84" s="75" t="s">
        <v>305</v>
      </c>
      <c r="E84" s="75" t="s">
        <v>303</v>
      </c>
      <c r="F84" s="75" t="s">
        <v>304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3"/>
      <c r="C85" s="34" t="s">
        <v>426</v>
      </c>
      <c r="D85" s="80" t="s">
        <v>543</v>
      </c>
      <c r="E85" s="80" t="s">
        <v>542</v>
      </c>
      <c r="F85" s="80" t="s">
        <v>425</v>
      </c>
      <c r="G85" s="80" t="s">
        <v>522</v>
      </c>
      <c r="H85" s="80" t="s">
        <v>448</v>
      </c>
      <c r="I85" s="80" t="s">
        <v>481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3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3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3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3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3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5" t="s">
        <v>249</v>
      </c>
      <c r="C91" s="3" t="s">
        <v>250</v>
      </c>
      <c r="D91" s="4" t="s">
        <v>319</v>
      </c>
      <c r="E91" s="10" t="s">
        <v>251</v>
      </c>
      <c r="F91" s="75" t="s">
        <v>457</v>
      </c>
      <c r="G91" s="75" t="s">
        <v>252</v>
      </c>
      <c r="H91" s="8" t="s">
        <v>253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6"/>
      <c r="C92" s="3" t="s">
        <v>250</v>
      </c>
      <c r="D92" s="8" t="s">
        <v>439</v>
      </c>
      <c r="E92" s="75" t="s">
        <v>254</v>
      </c>
      <c r="F92" s="10" t="s">
        <v>255</v>
      </c>
      <c r="G92" s="8" t="s">
        <v>256</v>
      </c>
      <c r="H92" s="8" t="s">
        <v>314</v>
      </c>
      <c r="I92" s="8" t="s">
        <v>313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6"/>
      <c r="C93" s="3" t="s">
        <v>317</v>
      </c>
      <c r="D93" s="4" t="s">
        <v>319</v>
      </c>
      <c r="E93" s="10" t="s">
        <v>251</v>
      </c>
      <c r="F93" s="75" t="s">
        <v>457</v>
      </c>
      <c r="G93" s="75" t="s">
        <v>252</v>
      </c>
      <c r="H93" s="68" t="s">
        <v>321</v>
      </c>
      <c r="I93" s="76" t="s">
        <v>496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6"/>
      <c r="C94" s="3" t="s">
        <v>330</v>
      </c>
      <c r="D94" s="4" t="s">
        <v>331</v>
      </c>
      <c r="E94" s="76" t="s">
        <v>353</v>
      </c>
      <c r="F94" s="76" t="s">
        <v>69</v>
      </c>
      <c r="G94" s="3"/>
      <c r="H94" s="3"/>
      <c r="I94" s="3"/>
      <c r="J94" s="3"/>
      <c r="K94" s="3"/>
      <c r="L94" s="14"/>
      <c r="M94" s="22" t="s">
        <v>369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6"/>
      <c r="C95" s="34" t="s">
        <v>338</v>
      </c>
      <c r="D95" s="4" t="s">
        <v>319</v>
      </c>
      <c r="E95" s="76" t="s">
        <v>347</v>
      </c>
      <c r="F95" s="8" t="s">
        <v>345</v>
      </c>
      <c r="G95" s="76" t="s">
        <v>346</v>
      </c>
      <c r="H95" s="75" t="s">
        <v>77</v>
      </c>
      <c r="I95" s="75" t="s">
        <v>474</v>
      </c>
      <c r="J95" s="75" t="s">
        <v>477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17"/>
      <c r="C96" s="44" t="s">
        <v>322</v>
      </c>
      <c r="D96" s="88" t="s">
        <v>319</v>
      </c>
      <c r="E96" s="89" t="s">
        <v>130</v>
      </c>
      <c r="F96" s="89" t="s">
        <v>324</v>
      </c>
      <c r="G96" s="89" t="s">
        <v>323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3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3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3"/>
      <c r="C99" s="34" t="s">
        <v>217</v>
      </c>
      <c r="D99" s="4" t="s">
        <v>204</v>
      </c>
      <c r="E99" s="4" t="s">
        <v>307</v>
      </c>
      <c r="F99" s="4" t="s">
        <v>308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3"/>
      <c r="C100" s="3" t="s">
        <v>483</v>
      </c>
      <c r="D100" s="68" t="s">
        <v>486</v>
      </c>
      <c r="E100" s="68" t="s">
        <v>484</v>
      </c>
      <c r="F100" s="68" t="s">
        <v>546</v>
      </c>
      <c r="G100" s="68" t="s">
        <v>485</v>
      </c>
      <c r="H100" s="68" t="s">
        <v>487</v>
      </c>
      <c r="I100" s="3"/>
      <c r="J100" s="3"/>
      <c r="K100" s="3"/>
      <c r="L100" s="14"/>
      <c r="M100" s="22" t="s">
        <v>488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3"/>
      <c r="C101" s="3" t="s">
        <v>549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3"/>
      <c r="C102" s="34" t="s">
        <v>75</v>
      </c>
      <c r="D102" s="78" t="s">
        <v>294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3"/>
      <c r="C103" s="34" t="s">
        <v>372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474</v>
      </c>
      <c r="J103" s="75" t="s">
        <v>478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3"/>
      <c r="C104" s="3" t="s">
        <v>194</v>
      </c>
      <c r="D104" s="69" t="s">
        <v>363</v>
      </c>
      <c r="E104" s="78" t="s">
        <v>373</v>
      </c>
      <c r="F104" s="69" t="s">
        <v>494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3"/>
      <c r="C105" s="34" t="s">
        <v>193</v>
      </c>
      <c r="D105" s="4" t="s">
        <v>377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472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7:B105"/>
    <mergeCell ref="B60:B67"/>
    <mergeCell ref="B55:B59"/>
    <mergeCell ref="B68:B90"/>
    <mergeCell ref="B1:M1"/>
    <mergeCell ref="B91:B96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4"/>
  <sheetViews>
    <sheetView zoomScale="130" zoomScaleNormal="130" workbookViewId="0">
      <pane ySplit="1" topLeftCell="A365" activePane="bottomLeft" state="frozen"/>
      <selection pane="bottomLeft" activeCell="F379" sqref="F37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449</v>
      </c>
      <c r="G1" s="47" t="s">
        <v>554</v>
      </c>
      <c r="H1" s="47" t="s">
        <v>555</v>
      </c>
      <c r="I1" s="47" t="s">
        <v>288</v>
      </c>
      <c r="J1" s="47" t="s">
        <v>287</v>
      </c>
      <c r="K1" s="47" t="s">
        <v>289</v>
      </c>
      <c r="L1" s="47" t="s">
        <v>290</v>
      </c>
      <c r="M1" s="47" t="s">
        <v>269</v>
      </c>
      <c r="N1" s="47" t="s">
        <v>291</v>
      </c>
      <c r="O1" s="47" t="s">
        <v>292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567</v>
      </c>
      <c r="D3" s="52" t="s">
        <v>566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563</v>
      </c>
      <c r="S3" s="52" t="s">
        <v>435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409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417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384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463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384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464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86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472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427</v>
      </c>
      <c r="E10" s="56" t="s">
        <v>430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432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375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390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271</v>
      </c>
      <c r="N13" s="50"/>
      <c r="O13" s="50"/>
      <c r="P13" s="52">
        <v>100</v>
      </c>
      <c r="Q13" s="52">
        <v>0</v>
      </c>
      <c r="S13" s="52" t="s">
        <v>392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571</v>
      </c>
      <c r="D14" s="52" t="s">
        <v>74</v>
      </c>
      <c r="E14" s="56" t="s">
        <v>534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555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571</v>
      </c>
      <c r="D15" s="52" t="s">
        <v>73</v>
      </c>
      <c r="E15" s="56" t="s">
        <v>536</v>
      </c>
      <c r="F15" s="50"/>
      <c r="G15" s="106">
        <f>VLOOKUP($A15, Stat!$A$1:$C$501, 2,0)</f>
        <v>176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555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362</v>
      </c>
      <c r="E16" s="56" t="s">
        <v>158</v>
      </c>
      <c r="F16" s="49"/>
      <c r="G16" s="106">
        <f>VLOOKUP($A16, Stat!$A$1:$C$501, 2,0)</f>
        <v>97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505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362</v>
      </c>
      <c r="E17" s="56" t="s">
        <v>157</v>
      </c>
      <c r="F17" s="49"/>
      <c r="G17" s="106">
        <f>VLOOKUP($A17, Stat!$A$1:$C$501, 2,0)</f>
        <v>45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505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270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268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568</v>
      </c>
      <c r="D19" s="52" t="s">
        <v>498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560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568</v>
      </c>
      <c r="D20" s="52" t="s">
        <v>498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560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419</v>
      </c>
      <c r="F21" s="49" t="s">
        <v>270</v>
      </c>
      <c r="G21" s="106">
        <f>VLOOKUP($A21, Stat!$A$1:$C$501, 2,0)</f>
        <v>115</v>
      </c>
      <c r="H21" s="106">
        <f>VLOOKUP($A21, Stat!$A$1:$C$501, 3,0)</f>
        <v>1</v>
      </c>
      <c r="J21" s="48">
        <v>1</v>
      </c>
      <c r="M21" s="49"/>
      <c r="N21" s="50"/>
      <c r="O21" s="49" t="s">
        <v>268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193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383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270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268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411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418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12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583</v>
      </c>
      <c r="E30" s="56" t="s">
        <v>16</v>
      </c>
      <c r="F30" s="50"/>
      <c r="G30" s="106">
        <f>VLOOKUP($A30, Stat!$A$1:$C$501, 2,0)</f>
        <v>321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567</v>
      </c>
      <c r="D32" s="52" t="s">
        <v>566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312</v>
      </c>
      <c r="N32" s="50"/>
      <c r="O32" s="50"/>
      <c r="P32" s="52">
        <v>60</v>
      </c>
      <c r="Q32" s="52">
        <v>0</v>
      </c>
      <c r="R32" s="52" t="s">
        <v>563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567</v>
      </c>
      <c r="D33" s="52" t="s">
        <v>566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563</v>
      </c>
      <c r="S33" s="52" t="s">
        <v>569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571</v>
      </c>
      <c r="D34" s="52" t="s">
        <v>531</v>
      </c>
      <c r="E34" s="56" t="s">
        <v>295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555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571</v>
      </c>
      <c r="D35" s="52" t="s">
        <v>73</v>
      </c>
      <c r="E35" s="56" t="s">
        <v>537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555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163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380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386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162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420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374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400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548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549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550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191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76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66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426</v>
      </c>
      <c r="E48" s="56" t="s">
        <v>543</v>
      </c>
      <c r="F48" s="50"/>
      <c r="G48" s="106">
        <f>VLOOKUP($A48, Stat!$A$1:$C$501, 2,0)</f>
        <v>98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402</v>
      </c>
      <c r="E49" s="56" t="s">
        <v>529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268</v>
      </c>
      <c r="P49" s="52">
        <v>30</v>
      </c>
      <c r="Q49" s="52">
        <v>0</v>
      </c>
      <c r="S49" s="52" t="s">
        <v>544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571</v>
      </c>
      <c r="D50" s="52" t="s">
        <v>531</v>
      </c>
      <c r="E50" s="56" t="s">
        <v>530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555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571</v>
      </c>
      <c r="D51" s="52" t="s">
        <v>75</v>
      </c>
      <c r="E51" s="56" t="s">
        <v>532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555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571</v>
      </c>
      <c r="D52" s="52" t="s">
        <v>74</v>
      </c>
      <c r="E52" s="56" t="s">
        <v>535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555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26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42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24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312</v>
      </c>
      <c r="F57" s="49" t="s">
        <v>270</v>
      </c>
      <c r="G57" s="106">
        <f>VLOOKUP($A57, Stat!$A$1:$C$501, 2,0)</f>
        <v>512</v>
      </c>
      <c r="H57" s="106">
        <f>VLOOKUP($A57, Stat!$A$1:$C$501, 3,0)</f>
        <v>1</v>
      </c>
      <c r="I57" s="109"/>
      <c r="M57" s="49"/>
      <c r="N57" s="50"/>
      <c r="O57" s="49" t="s">
        <v>268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166</v>
      </c>
      <c r="H58" s="106">
        <f>VLOOKUP($A58, Stat!$A$1:$C$501, 3,0)</f>
        <v>32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195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57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257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279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257</v>
      </c>
      <c r="E64" s="56" t="s">
        <v>4</v>
      </c>
      <c r="F64" s="50"/>
      <c r="G64" s="106">
        <f>VLOOKUP($A64, Stat!$A$1:$C$501, 2,0)</f>
        <v>6</v>
      </c>
      <c r="H64" s="106">
        <f>VLOOKUP($A64, Stat!$A$1:$C$501, 3,0)</f>
        <v>2</v>
      </c>
      <c r="I64" s="48">
        <v>1</v>
      </c>
      <c r="M64" s="49" t="s">
        <v>280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257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281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257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282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270</v>
      </c>
      <c r="F67" s="50"/>
      <c r="G67" s="106">
        <f>VLOOKUP($A67, Stat!$A$1:$C$501, 2,0)</f>
        <v>171</v>
      </c>
      <c r="H67" s="106">
        <f>VLOOKUP($A67, Stat!$A$1:$C$501, 3,0)</f>
        <v>43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70</v>
      </c>
      <c r="H69" s="106">
        <f>VLOOKUP($A69, Stat!$A$1:$C$501, 3,0)</f>
        <v>24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309</v>
      </c>
      <c r="F70" s="50"/>
      <c r="G70" s="106">
        <f>VLOOKUP($A70, Stat!$A$1:$C$501, 2,0)</f>
        <v>38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266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381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382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426</v>
      </c>
      <c r="E75" s="56" t="s">
        <v>542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545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379</v>
      </c>
      <c r="F76" s="50"/>
      <c r="G76" s="106">
        <f>VLOOKUP($A76, Stat!$A$1:$C$501, 2,0)</f>
        <v>46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270</v>
      </c>
      <c r="F77" s="49" t="s">
        <v>270</v>
      </c>
      <c r="G77" s="106">
        <f>VLOOKUP($A77, Stat!$A$1:$C$501, 2,0)</f>
        <v>572</v>
      </c>
      <c r="H77" s="106">
        <f>VLOOKUP($A77, Stat!$A$1:$C$501, 3,0)</f>
        <v>0</v>
      </c>
      <c r="I77" s="109"/>
      <c r="M77" s="49"/>
      <c r="N77" s="50"/>
      <c r="O77" s="49" t="s">
        <v>268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67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383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89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383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323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62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267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188</v>
      </c>
      <c r="H83" s="106">
        <f>VLOOKUP($A83, Stat!$A$1:$C$501, 3,0)</f>
        <v>5</v>
      </c>
      <c r="I83" s="109"/>
      <c r="M83" s="49" t="s">
        <v>334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104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446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158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247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309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571</v>
      </c>
      <c r="D89" s="52" t="s">
        <v>531</v>
      </c>
      <c r="E89" s="56" t="s">
        <v>533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555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305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306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270</v>
      </c>
      <c r="G91" s="106">
        <f>VLOOKUP($A91, Stat!$A$1:$C$501, 2,0)</f>
        <v>101</v>
      </c>
      <c r="H91" s="106">
        <f>VLOOKUP($A91, Stat!$A$1:$C$501, 3,0)</f>
        <v>1</v>
      </c>
      <c r="M91" s="49"/>
      <c r="N91" s="50"/>
      <c r="O91" s="49" t="s">
        <v>268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270</v>
      </c>
      <c r="F92" s="50"/>
      <c r="G92" s="106">
        <f>VLOOKUP($A92, Stat!$A$1:$C$501, 2,0)</f>
        <v>37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312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276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275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249</v>
      </c>
      <c r="D96" s="52" t="s">
        <v>317</v>
      </c>
      <c r="E96" s="52" t="s">
        <v>496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497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509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270</v>
      </c>
      <c r="G98" s="106">
        <f>VLOOKUP($A98, Stat!$A$1:$C$501, 2,0)</f>
        <v>149</v>
      </c>
      <c r="H98" s="106">
        <f>VLOOKUP($A98, Stat!$A$1:$C$501, 3,0)</f>
        <v>4</v>
      </c>
      <c r="I98" s="109"/>
      <c r="M98" s="49"/>
      <c r="N98" s="50"/>
      <c r="O98" s="49" t="s">
        <v>268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81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67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69</v>
      </c>
      <c r="H107" s="106">
        <f>VLOOKUP($A107, Stat!$A$1:$C$501, 3,0)</f>
        <v>0</v>
      </c>
      <c r="I107" s="109"/>
      <c r="M107" s="49" t="s">
        <v>262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263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264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265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143</v>
      </c>
      <c r="H111" s="106">
        <f>VLOOKUP($A111, Stat!$A$1:$C$501, 3,0)</f>
        <v>0</v>
      </c>
      <c r="I111" s="109"/>
      <c r="M111" s="49" t="s">
        <v>396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22</v>
      </c>
      <c r="H112" s="106">
        <f>VLOOKUP($A112, Stat!$A$1:$C$501, 3,0)</f>
        <v>0</v>
      </c>
      <c r="I112" s="108"/>
      <c r="M112" s="49" t="s">
        <v>397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398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399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44</v>
      </c>
      <c r="H115" s="106">
        <f>VLOOKUP($A115, Stat!$A$1:$C$501, 3,0)</f>
        <v>0</v>
      </c>
      <c r="I115" s="108"/>
      <c r="M115" s="49" t="s">
        <v>396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397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31</v>
      </c>
      <c r="H117" s="106">
        <f>VLOOKUP($A117, Stat!$A$1:$C$501, 3,0)</f>
        <v>0</v>
      </c>
      <c r="I117" s="108"/>
      <c r="M117" s="49" t="s">
        <v>398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399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85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52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559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396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53</v>
      </c>
      <c r="H124" s="106">
        <f>VLOOKUP($A124, Stat!$A$1:$C$501, 3,0)</f>
        <v>1</v>
      </c>
      <c r="M124" s="49" t="s">
        <v>397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96</v>
      </c>
      <c r="H125" s="106">
        <f>VLOOKUP($A125, Stat!$A$1:$C$501, 3,0)</f>
        <v>1</v>
      </c>
      <c r="M125" s="49" t="s">
        <v>398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106</v>
      </c>
      <c r="H126" s="106">
        <f>VLOOKUP($A126, Stat!$A$1:$C$501, 3,0)</f>
        <v>1</v>
      </c>
      <c r="M126" s="49" t="s">
        <v>399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144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64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172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63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13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332</v>
      </c>
      <c r="E135" s="52" t="s">
        <v>528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526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332</v>
      </c>
      <c r="E136" s="52" t="s">
        <v>350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332</v>
      </c>
      <c r="E137" s="52" t="s">
        <v>351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363</v>
      </c>
      <c r="G138" s="106">
        <f>VLOOKUP($A138, Stat!$A$1:$C$501, 2,0)</f>
        <v>10</v>
      </c>
      <c r="H138" s="106">
        <f>VLOOKUP($A138, Stat!$A$1:$C$501, 3,0)</f>
        <v>8</v>
      </c>
      <c r="I138" s="48">
        <v>1</v>
      </c>
      <c r="P138" s="52">
        <v>0</v>
      </c>
      <c r="Q138" s="52">
        <v>0</v>
      </c>
      <c r="S138" s="52" t="s">
        <v>470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69</v>
      </c>
      <c r="H139" s="106">
        <f>VLOOKUP($A139, Stat!$A$1:$C$501, 3,0)</f>
        <v>1</v>
      </c>
      <c r="I139" s="109"/>
      <c r="M139" s="49" t="s">
        <v>258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28</v>
      </c>
      <c r="H140" s="106">
        <f>VLOOKUP($A140, Stat!$A$1:$C$501, 3,0)</f>
        <v>1</v>
      </c>
      <c r="I140" s="109"/>
      <c r="M140" s="49" t="s">
        <v>259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260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261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395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395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395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395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277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283</v>
      </c>
      <c r="N147" s="50"/>
      <c r="O147" s="50"/>
      <c r="P147" s="52">
        <v>0</v>
      </c>
      <c r="Q147" s="52">
        <v>0</v>
      </c>
      <c r="R147" s="52" t="s">
        <v>278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277</v>
      </c>
      <c r="E148" s="56" t="s">
        <v>4</v>
      </c>
      <c r="F148" s="50"/>
      <c r="G148" s="106">
        <f>VLOOKUP($A148, Stat!$A$1:$C$501, 2,0)</f>
        <v>7</v>
      </c>
      <c r="H148" s="106">
        <f>VLOOKUP($A148, Stat!$A$1:$C$501, 3,0)</f>
        <v>3</v>
      </c>
      <c r="I148" s="48">
        <v>1</v>
      </c>
      <c r="M148" s="49" t="s">
        <v>284</v>
      </c>
      <c r="N148" s="50"/>
      <c r="O148" s="50"/>
      <c r="P148" s="52">
        <v>0</v>
      </c>
      <c r="Q148" s="52">
        <v>0</v>
      </c>
      <c r="R148" s="52" t="s">
        <v>278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277</v>
      </c>
      <c r="E149" s="56" t="s">
        <v>5</v>
      </c>
      <c r="F149" s="50"/>
      <c r="G149" s="106">
        <f>VLOOKUP($A149, Stat!$A$1:$C$501, 2,0)</f>
        <v>13</v>
      </c>
      <c r="H149" s="106">
        <f>VLOOKUP($A149, Stat!$A$1:$C$501, 3,0)</f>
        <v>7</v>
      </c>
      <c r="I149" s="48">
        <v>1</v>
      </c>
      <c r="M149" s="49" t="s">
        <v>285</v>
      </c>
      <c r="N149" s="50"/>
      <c r="O149" s="50"/>
      <c r="P149" s="52">
        <v>60</v>
      </c>
      <c r="Q149" s="52">
        <v>0</v>
      </c>
      <c r="R149" s="52" t="s">
        <v>278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277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286</v>
      </c>
      <c r="N150" s="50"/>
      <c r="O150" s="50"/>
      <c r="P150" s="52">
        <v>100</v>
      </c>
      <c r="Q150" s="52">
        <v>0</v>
      </c>
      <c r="R150" s="52" t="s">
        <v>278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583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583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583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583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583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749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7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7</v>
      </c>
      <c r="H176" s="106">
        <f>VLOOKUP($A176, Stat!$A$1:$C$501, 3,0)</f>
        <v>4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33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51</v>
      </c>
      <c r="H180" s="106">
        <f>VLOOKUP($A180, Stat!$A$1:$C$501, 3,0)</f>
        <v>8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32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132</v>
      </c>
      <c r="H186" s="106">
        <f>VLOOKUP($A186, Stat!$A$1:$C$501, 3,0)</f>
        <v>8</v>
      </c>
      <c r="I186" s="109"/>
      <c r="M186" s="49" t="s">
        <v>333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270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312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274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273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178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383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149</v>
      </c>
      <c r="F193" s="49" t="s">
        <v>270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401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270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401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371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244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387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514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410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415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412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416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71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33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27</v>
      </c>
      <c r="H208" s="106">
        <f>VLOOKUP($A208, Stat!$A$1:$C$501, 3,0)</f>
        <v>3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310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311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310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311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510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5</v>
      </c>
      <c r="H216" s="106">
        <f>VLOOKUP($A216, Stat!$A$1:$C$501, 3,0)</f>
        <v>3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511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300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471</v>
      </c>
      <c r="F222" s="50"/>
      <c r="G222" s="106">
        <f>VLOOKUP($A222, Stat!$A$1:$C$501, 2,0)</f>
        <v>11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240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339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340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401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246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241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242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248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307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293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372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372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372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372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310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500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36</v>
      </c>
      <c r="H246" s="106">
        <f>VLOOKUP($A246, Stat!$A$1:$C$501, 3,0)</f>
        <v>15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245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24</v>
      </c>
      <c r="H247" s="106">
        <f>VLOOKUP($A247, Stat!$A$1:$C$501, 3,0)</f>
        <v>3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131</v>
      </c>
      <c r="H248" s="106">
        <f>VLOOKUP($A248, Stat!$A$1:$C$501, 3,0)</f>
        <v>25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15</v>
      </c>
      <c r="I249" s="48">
        <v>1</v>
      </c>
      <c r="M249" s="49" t="s">
        <v>272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372</v>
      </c>
      <c r="E250" s="56" t="s">
        <v>218</v>
      </c>
      <c r="F250" s="50"/>
      <c r="G250" s="106">
        <f>VLOOKUP($A250, Stat!$A$1:$C$501, 2,0)</f>
        <v>4</v>
      </c>
      <c r="H250" s="106">
        <f>VLOOKUP($A250, Stat!$A$1:$C$501, 3,0)</f>
        <v>4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243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249</v>
      </c>
      <c r="D255" s="52" t="s">
        <v>250</v>
      </c>
      <c r="E255" s="52" t="s">
        <v>319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320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249</v>
      </c>
      <c r="D256" s="52" t="s">
        <v>250</v>
      </c>
      <c r="E256" s="56" t="s">
        <v>251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270</v>
      </c>
      <c r="O256" s="50"/>
      <c r="P256" s="52">
        <v>60</v>
      </c>
      <c r="Q256" s="52">
        <v>1</v>
      </c>
      <c r="S256" s="52" t="s">
        <v>318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249</v>
      </c>
      <c r="D257" s="52" t="s">
        <v>317</v>
      </c>
      <c r="E257" s="52" t="s">
        <v>319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326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249</v>
      </c>
      <c r="D258" s="52" t="s">
        <v>250</v>
      </c>
      <c r="E258" s="56" t="s">
        <v>252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270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249</v>
      </c>
      <c r="D259" s="52" t="s">
        <v>317</v>
      </c>
      <c r="E259" s="56" t="s">
        <v>321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270</v>
      </c>
      <c r="O259" s="50"/>
      <c r="P259" s="52">
        <v>60</v>
      </c>
      <c r="Q259" s="52">
        <v>0</v>
      </c>
      <c r="S259" s="52" t="s">
        <v>357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249</v>
      </c>
      <c r="D260" s="52" t="s">
        <v>250</v>
      </c>
      <c r="E260" s="56" t="s">
        <v>253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270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249</v>
      </c>
      <c r="D261" s="52" t="s">
        <v>322</v>
      </c>
      <c r="E261" s="56" t="s">
        <v>319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325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249</v>
      </c>
      <c r="D262" s="52" t="s">
        <v>250</v>
      </c>
      <c r="E262" s="56" t="s">
        <v>254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270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249</v>
      </c>
      <c r="D263" s="52" t="s">
        <v>250</v>
      </c>
      <c r="E263" s="56" t="s">
        <v>255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270</v>
      </c>
      <c r="O263" s="50"/>
      <c r="P263" s="52">
        <v>60</v>
      </c>
      <c r="Q263" s="52">
        <v>1</v>
      </c>
      <c r="S263" s="52" t="s">
        <v>315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249</v>
      </c>
      <c r="D264" s="52" t="s">
        <v>250</v>
      </c>
      <c r="E264" s="56" t="s">
        <v>256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270</v>
      </c>
      <c r="O264" s="50"/>
      <c r="P264" s="52">
        <v>40</v>
      </c>
      <c r="Q264" s="52">
        <v>1</v>
      </c>
      <c r="S264" s="52" t="s">
        <v>316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249</v>
      </c>
      <c r="D265" s="52" t="s">
        <v>250</v>
      </c>
      <c r="E265" s="56" t="s">
        <v>314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270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294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523</v>
      </c>
      <c r="E267" s="56" t="s">
        <v>538</v>
      </c>
      <c r="G267" s="106">
        <f>VLOOKUP($A267, Stat!$A$1:$C$501, 2,0)</f>
        <v>305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523</v>
      </c>
      <c r="E268" s="56" t="s">
        <v>539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523</v>
      </c>
      <c r="E269" s="56" t="s">
        <v>540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523</v>
      </c>
      <c r="E270" s="56" t="s">
        <v>541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523</v>
      </c>
      <c r="E271" s="56" t="s">
        <v>295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296</v>
      </c>
      <c r="E272" s="56" t="s">
        <v>298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297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372</v>
      </c>
      <c r="E273" s="56" t="s">
        <v>474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475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303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302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299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301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304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370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308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249</v>
      </c>
      <c r="D278" s="52" t="s">
        <v>250</v>
      </c>
      <c r="E278" s="52" t="s">
        <v>313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249</v>
      </c>
      <c r="D279" s="52" t="s">
        <v>317</v>
      </c>
      <c r="E279" s="52" t="s">
        <v>251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249</v>
      </c>
      <c r="D280" s="52" t="s">
        <v>317</v>
      </c>
      <c r="E280" s="52" t="s">
        <v>252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249</v>
      </c>
      <c r="D281" s="52" t="s">
        <v>330</v>
      </c>
      <c r="E281" s="52" t="s">
        <v>331</v>
      </c>
      <c r="G281" s="106">
        <f>VLOOKUP($A281, Stat!$A$1:$C$501, 2,0)</f>
        <v>46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369</v>
      </c>
      <c r="S281" s="52" t="s">
        <v>354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249</v>
      </c>
      <c r="D282" s="52" t="s">
        <v>322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327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249</v>
      </c>
      <c r="D283" s="52" t="s">
        <v>322</v>
      </c>
      <c r="E283" s="52" t="s">
        <v>324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328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249</v>
      </c>
      <c r="D284" s="52" t="s">
        <v>322</v>
      </c>
      <c r="E284" s="52" t="s">
        <v>323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329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335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336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249</v>
      </c>
      <c r="D286" s="52" t="s">
        <v>338</v>
      </c>
      <c r="E286" s="52" t="s">
        <v>319</v>
      </c>
      <c r="G286" s="106">
        <f>VLOOKUP($A286, Stat!$A$1:$C$501, 2,0)</f>
        <v>59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358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249</v>
      </c>
      <c r="D287" s="52" t="s">
        <v>338</v>
      </c>
      <c r="E287" s="52" t="s">
        <v>346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359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249</v>
      </c>
      <c r="D288" s="52" t="s">
        <v>338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341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249</v>
      </c>
      <c r="D289" s="52" t="s">
        <v>338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342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337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343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332</v>
      </c>
      <c r="E291" s="52" t="s">
        <v>349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344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249</v>
      </c>
      <c r="D292" s="52" t="s">
        <v>338</v>
      </c>
      <c r="E292" s="52" t="s">
        <v>345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360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249</v>
      </c>
      <c r="D293" s="52" t="s">
        <v>338</v>
      </c>
      <c r="E293" s="52" t="s">
        <v>347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361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332</v>
      </c>
      <c r="E294" s="52" t="s">
        <v>348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352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332</v>
      </c>
      <c r="E295" s="52" t="s">
        <v>527</v>
      </c>
      <c r="G295" s="106">
        <f>VLOOKUP($A295, Stat!$A$1:$C$501, 2,0)</f>
        <v>13</v>
      </c>
      <c r="H295" s="106">
        <f>VLOOKUP($A295, Stat!$A$1:$C$501, 3,0)</f>
        <v>7</v>
      </c>
      <c r="I295" s="48">
        <v>1</v>
      </c>
      <c r="P295" s="52">
        <v>0</v>
      </c>
      <c r="Q295" s="52">
        <v>1</v>
      </c>
      <c r="S295" s="52" t="s">
        <v>525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249</v>
      </c>
      <c r="D296" s="52" t="s">
        <v>330</v>
      </c>
      <c r="E296" s="52" t="s">
        <v>353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369</v>
      </c>
      <c r="S296" s="52" t="s">
        <v>355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249</v>
      </c>
      <c r="D297" s="52" t="s">
        <v>330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369</v>
      </c>
      <c r="S297" s="52" t="s">
        <v>356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373</v>
      </c>
      <c r="G298" s="106">
        <f>VLOOKUP($A298, Stat!$A$1:$C$501, 2,0)</f>
        <v>7</v>
      </c>
      <c r="H298" s="106">
        <f>VLOOKUP($A298, Stat!$A$1:$C$501, 3,0)</f>
        <v>5</v>
      </c>
      <c r="I298" s="48">
        <v>1</v>
      </c>
      <c r="P298" s="52">
        <v>0</v>
      </c>
      <c r="Q298" s="52">
        <v>0</v>
      </c>
      <c r="S298" s="52" t="s">
        <v>408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376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377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378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407</v>
      </c>
      <c r="E301" s="52" t="s">
        <v>385</v>
      </c>
      <c r="G301" s="106">
        <f>VLOOKUP($A301, Stat!$A$1:$C$501, 2,0)</f>
        <v>13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364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407</v>
      </c>
      <c r="E302" s="52" t="s">
        <v>389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365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388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391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393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400</v>
      </c>
      <c r="E305" s="52" t="s">
        <v>547</v>
      </c>
      <c r="F305" s="48">
        <v>1</v>
      </c>
      <c r="G305" s="106">
        <f>VLOOKUP($A305, Stat!$A$1:$C$501, 2,0)</f>
        <v>86</v>
      </c>
      <c r="H305" s="106">
        <f>VLOOKUP($A305, Stat!$A$1:$C$501, 3,0)</f>
        <v>11</v>
      </c>
      <c r="P305" s="52">
        <v>0</v>
      </c>
      <c r="Q305" s="52">
        <v>1</v>
      </c>
      <c r="S305" s="52" t="s">
        <v>403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400</v>
      </c>
      <c r="E306" s="52" t="s">
        <v>77</v>
      </c>
      <c r="F306" s="48">
        <v>1</v>
      </c>
      <c r="G306" s="106">
        <f>VLOOKUP($A306, Stat!$A$1:$C$501, 2,0)</f>
        <v>133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404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402</v>
      </c>
      <c r="E307" s="52" t="s">
        <v>466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468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402</v>
      </c>
      <c r="E308" s="52" t="s">
        <v>467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469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405</v>
      </c>
      <c r="E309" s="52" t="s">
        <v>444</v>
      </c>
      <c r="F309" s="48">
        <v>1</v>
      </c>
      <c r="G309" s="106">
        <f>VLOOKUP($A309, Stat!$A$1:$C$501, 2,0)</f>
        <v>15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406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394</v>
      </c>
      <c r="G310" s="106">
        <f>VLOOKUP($A310, Stat!$A$1:$C$501, 2,0)</f>
        <v>6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413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367</v>
      </c>
      <c r="G311" s="106">
        <f>VLOOKUP($A311, Stat!$A$1:$C$501, 2,0)</f>
        <v>16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414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366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413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368</v>
      </c>
      <c r="G313" s="106">
        <f>VLOOKUP($A313, Stat!$A$1:$C$501, 2,0)</f>
        <v>13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414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421</v>
      </c>
      <c r="G314" s="106">
        <f>VLOOKUP($A314, Stat!$A$1:$C$501, 2,0)</f>
        <v>14</v>
      </c>
      <c r="H314" s="106">
        <f>VLOOKUP($A314, Stat!$A$1:$C$501, 3,0)</f>
        <v>12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422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52</v>
      </c>
      <c r="H315" s="106">
        <f>VLOOKUP($A315, Stat!$A$1:$C$501, 3,0)</f>
        <v>16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423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426</v>
      </c>
      <c r="E316" s="52" t="s">
        <v>425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426</v>
      </c>
      <c r="E317" s="52" t="s">
        <v>522</v>
      </c>
      <c r="F317" s="48">
        <v>1</v>
      </c>
      <c r="G317" s="106">
        <f>VLOOKUP($A317, Stat!$A$1:$C$501, 2,0)</f>
        <v>24</v>
      </c>
      <c r="H317" s="106">
        <f>VLOOKUP($A317, Stat!$A$1:$C$501, 3,0)</f>
        <v>11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427</v>
      </c>
      <c r="E318" s="52" t="s">
        <v>429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427</v>
      </c>
      <c r="E319" s="52" t="s">
        <v>428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431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433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426</v>
      </c>
      <c r="E321" s="52" t="s">
        <v>448</v>
      </c>
      <c r="G321" s="106">
        <f>VLOOKUP($A321, Stat!$A$1:$C$501, 2,0)</f>
        <v>11</v>
      </c>
      <c r="H321" s="106">
        <f>VLOOKUP($A321, Stat!$A$1:$C$501, 3,0)</f>
        <v>4</v>
      </c>
      <c r="I321" s="48">
        <v>1</v>
      </c>
      <c r="P321" s="52">
        <v>30</v>
      </c>
      <c r="Q321" s="52">
        <v>0</v>
      </c>
      <c r="S321" s="52" t="s">
        <v>434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249</v>
      </c>
      <c r="D322" s="52" t="s">
        <v>250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20</v>
      </c>
      <c r="H323" s="106">
        <f>VLOOKUP($A323, Stat!$A$1:$C$501, 3,0)</f>
        <v>9</v>
      </c>
      <c r="I323" s="48">
        <v>1</v>
      </c>
      <c r="P323" s="52">
        <v>60</v>
      </c>
      <c r="Q323" s="52">
        <v>0</v>
      </c>
      <c r="S323" s="52" t="s">
        <v>593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586</v>
      </c>
      <c r="E324" s="52" t="s">
        <v>456</v>
      </c>
      <c r="G324" s="106">
        <f>VLOOKUP($A324, Stat!$A$1:$C$501, 2,0)</f>
        <v>0</v>
      </c>
      <c r="H324" s="106">
        <f>VLOOKUP($A324, Stat!$A$1:$C$501, 3,0)</f>
        <v>0</v>
      </c>
      <c r="I324" s="48">
        <v>1</v>
      </c>
      <c r="P324" s="52">
        <v>0</v>
      </c>
      <c r="Q324" s="52">
        <v>0</v>
      </c>
      <c r="R324" s="52" t="s">
        <v>589</v>
      </c>
      <c r="S324" s="52" t="s">
        <v>587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586</v>
      </c>
      <c r="E325" s="52" t="s">
        <v>455</v>
      </c>
      <c r="G325" s="106">
        <f>VLOOKUP($A325, Stat!$A$1:$C$501, 2,0)</f>
        <v>2</v>
      </c>
      <c r="H325" s="106">
        <f>VLOOKUP($A325, Stat!$A$1:$C$501, 3,0)</f>
        <v>0</v>
      </c>
      <c r="I325" s="48">
        <v>1</v>
      </c>
      <c r="P325" s="52">
        <v>0</v>
      </c>
      <c r="Q325" s="52">
        <v>0</v>
      </c>
      <c r="R325" s="52" t="s">
        <v>589</v>
      </c>
      <c r="S325" s="52" t="s">
        <v>588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249</v>
      </c>
      <c r="D326" s="52" t="s">
        <v>250</v>
      </c>
      <c r="E326" s="52" t="s">
        <v>457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249</v>
      </c>
      <c r="D327" s="52" t="s">
        <v>317</v>
      </c>
      <c r="E327" s="52" t="s">
        <v>457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400</v>
      </c>
      <c r="E328" s="52" t="s">
        <v>465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460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458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459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461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462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372</v>
      </c>
      <c r="E331" s="52" t="s">
        <v>478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476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249</v>
      </c>
      <c r="D332" s="52" t="s">
        <v>338</v>
      </c>
      <c r="E332" s="52" t="s">
        <v>474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479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249</v>
      </c>
      <c r="D333" s="52" t="s">
        <v>338</v>
      </c>
      <c r="E333" s="52" t="s">
        <v>477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480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426</v>
      </c>
      <c r="E334" s="52" t="s">
        <v>481</v>
      </c>
      <c r="F334" s="48">
        <v>1</v>
      </c>
      <c r="G334" s="106">
        <f>VLOOKUP($A334, Stat!$A$1:$C$501, 2,0)</f>
        <v>136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482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483</v>
      </c>
      <c r="E335" s="52" t="s">
        <v>486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488</v>
      </c>
      <c r="S335" s="52" t="s">
        <v>489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483</v>
      </c>
      <c r="E336" s="52" t="s">
        <v>484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488</v>
      </c>
      <c r="S336" s="52" t="s">
        <v>490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483</v>
      </c>
      <c r="E337" s="52" t="s">
        <v>546</v>
      </c>
      <c r="G337" s="106">
        <f>VLOOKUP($A337, Stat!$A$1:$C$501, 2,0)</f>
        <v>47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488</v>
      </c>
      <c r="S337" s="52" t="s">
        <v>491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483</v>
      </c>
      <c r="E338" s="52" t="s">
        <v>485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488</v>
      </c>
      <c r="S338" s="52" t="s">
        <v>492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483</v>
      </c>
      <c r="E339" s="52" t="s">
        <v>487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488</v>
      </c>
      <c r="S339" s="52" t="s">
        <v>493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494</v>
      </c>
      <c r="G340" s="106">
        <f>VLOOKUP($A340, Stat!$A$1:$C$501, 2,0)</f>
        <v>38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495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568</v>
      </c>
      <c r="D341" s="52" t="s">
        <v>499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565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568</v>
      </c>
      <c r="D342" s="52" t="s">
        <v>499</v>
      </c>
      <c r="E342" s="52" t="s">
        <v>50</v>
      </c>
      <c r="G342" s="106">
        <f>VLOOKUP($A342, Stat!$A$1:$C$501, 2,0)</f>
        <v>4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565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501</v>
      </c>
      <c r="E343" s="52" t="s">
        <v>502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506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501</v>
      </c>
      <c r="E344" s="52" t="s">
        <v>503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506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501</v>
      </c>
      <c r="E345" s="52" t="s">
        <v>504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506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507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508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512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513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515</v>
      </c>
      <c r="E348" s="52" t="s">
        <v>517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518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515</v>
      </c>
      <c r="E349" s="52" t="s">
        <v>516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519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520</v>
      </c>
      <c r="E350" s="52" t="s">
        <v>376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520</v>
      </c>
      <c r="E351" s="52" t="s">
        <v>473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520</v>
      </c>
      <c r="E352" s="52" t="s">
        <v>521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524</v>
      </c>
      <c r="E353" s="52" t="s">
        <v>538</v>
      </c>
      <c r="G353" s="106">
        <f>VLOOKUP($A353, Stat!$A$1:$C$501, 2,0)</f>
        <v>349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524</v>
      </c>
      <c r="E354" s="52" t="s">
        <v>539</v>
      </c>
      <c r="G354" s="106">
        <f>VLOOKUP($A354, Stat!$A$1:$C$501, 2,0)</f>
        <v>23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524</v>
      </c>
      <c r="E355" s="52" t="s">
        <v>540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524</v>
      </c>
      <c r="E356" s="52" t="s">
        <v>541</v>
      </c>
      <c r="G356" s="106">
        <f>VLOOKUP($A356, Stat!$A$1:$C$501, 2,0)</f>
        <v>7</v>
      </c>
      <c r="H356" s="106">
        <f>VLOOKUP($A356, Stat!$A$1:$C$501, 3,0)</f>
        <v>4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524</v>
      </c>
      <c r="E357" s="52" t="s">
        <v>295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556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557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568</v>
      </c>
      <c r="D359" s="52" t="s">
        <v>562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564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568</v>
      </c>
      <c r="D360" s="52" t="s">
        <v>562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580</v>
      </c>
      <c r="P360" s="52">
        <v>100</v>
      </c>
      <c r="Q360" s="52">
        <v>0</v>
      </c>
      <c r="R360" s="52" t="s">
        <v>564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568</v>
      </c>
      <c r="D361" s="52" t="s">
        <v>562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564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568</v>
      </c>
      <c r="D362" s="52" t="s">
        <v>498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568</v>
      </c>
      <c r="D363" s="52" t="s">
        <v>499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565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568</v>
      </c>
      <c r="D364" s="52" t="s">
        <v>561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563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568</v>
      </c>
      <c r="D365" s="52" t="s">
        <v>561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563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568</v>
      </c>
      <c r="D366" s="52" t="s">
        <v>561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563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568</v>
      </c>
      <c r="D367" s="52" t="s">
        <v>566</v>
      </c>
      <c r="E367" s="52" t="s">
        <v>49</v>
      </c>
      <c r="G367" s="106">
        <f>VLOOKUP($A367, Stat!$A$1:$C$501, 2,0)</f>
        <v>5</v>
      </c>
      <c r="H367" s="106">
        <f>VLOOKUP($A367, Stat!$A$1:$C$501, 3,0)</f>
        <v>2</v>
      </c>
      <c r="P367" s="52">
        <v>0</v>
      </c>
      <c r="Q367" s="52">
        <v>0</v>
      </c>
      <c r="R367" s="52" t="s">
        <v>563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568</v>
      </c>
      <c r="D368" s="52" t="s">
        <v>566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563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568</v>
      </c>
      <c r="D369" s="52" t="s">
        <v>566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563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567</v>
      </c>
      <c r="D370" s="52" t="s">
        <v>498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560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567</v>
      </c>
      <c r="D371" s="52" t="s">
        <v>498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560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567</v>
      </c>
      <c r="D372" s="52" t="s">
        <v>498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560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571</v>
      </c>
      <c r="D373" s="52" t="s">
        <v>570</v>
      </c>
      <c r="E373" s="52" t="s">
        <v>577</v>
      </c>
      <c r="G373" s="106">
        <f>VLOOKUP($A373, Stat!$A$1:$C$501, 2,0)</f>
        <v>11</v>
      </c>
      <c r="H373" s="106">
        <f>VLOOKUP($A373, Stat!$A$1:$C$501, 3,0)</f>
        <v>1</v>
      </c>
      <c r="P373" s="52">
        <v>0</v>
      </c>
      <c r="Q373" s="52">
        <v>0</v>
      </c>
      <c r="S373" s="52" t="s">
        <v>572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571</v>
      </c>
      <c r="D374" s="52" t="s">
        <v>570</v>
      </c>
      <c r="E374" s="52" t="s">
        <v>576</v>
      </c>
      <c r="G374" s="106">
        <f>VLOOKUP($A374, Stat!$A$1:$C$501, 2,0)</f>
        <v>45</v>
      </c>
      <c r="H374" s="106">
        <f>VLOOKUP($A374, Stat!$A$1:$C$501, 3,0)</f>
        <v>1</v>
      </c>
      <c r="P374" s="52">
        <v>0</v>
      </c>
      <c r="Q374" s="52">
        <v>0</v>
      </c>
      <c r="S374" s="52" t="s">
        <v>573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574</v>
      </c>
      <c r="G375" s="106">
        <f>VLOOKUP($A375, Stat!$A$1:$C$501, 2,0)</f>
        <v>18</v>
      </c>
      <c r="H375" s="106">
        <f>VLOOKUP($A375, Stat!$A$1:$C$501, 3,0)</f>
        <v>7</v>
      </c>
      <c r="P375" s="52">
        <v>0</v>
      </c>
      <c r="Q375" s="52">
        <v>1</v>
      </c>
      <c r="R375" s="52" t="s">
        <v>453</v>
      </c>
      <c r="S375" s="52" t="s">
        <v>575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402</v>
      </c>
      <c r="E376" s="52" t="s">
        <v>578</v>
      </c>
      <c r="F376" s="48">
        <v>1</v>
      </c>
      <c r="G376" s="106">
        <f>VLOOKUP($A376, Stat!$A$1:$C$501, 2,0)</f>
        <v>10</v>
      </c>
      <c r="H376" s="112">
        <f>VLOOKUP($A376, Stat!$A$1:$C$501, 3,0)</f>
        <v>0</v>
      </c>
      <c r="P376" s="52">
        <v>30</v>
      </c>
      <c r="Q376" s="52">
        <v>0</v>
      </c>
      <c r="S376" s="52" t="s">
        <v>579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582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453</v>
      </c>
      <c r="S377" s="52" t="s">
        <v>581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402</v>
      </c>
      <c r="E378" s="52" t="s">
        <v>105</v>
      </c>
      <c r="F378" s="48">
        <v>1</v>
      </c>
      <c r="G378" s="106">
        <f>VLOOKUP($A378, Stat!$A$1:$C$501, 2,0)</f>
        <v>6</v>
      </c>
      <c r="H378" s="112">
        <f>VLOOKUP($A378, Stat!$A$1:$C$501, 3,0)</f>
        <v>0</v>
      </c>
      <c r="P378" s="52">
        <v>30</v>
      </c>
      <c r="Q378" s="52">
        <v>0</v>
      </c>
      <c r="S378" s="52" t="s">
        <v>584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402</v>
      </c>
      <c r="E379" s="52" t="s">
        <v>106</v>
      </c>
      <c r="F379" s="48">
        <v>1</v>
      </c>
      <c r="G379" s="106">
        <f>VLOOKUP($A379, Stat!$A$1:$C$501, 2,0)</f>
        <v>32</v>
      </c>
      <c r="H379" s="112">
        <f>VLOOKUP($A379, Stat!$A$1:$C$501, 3,0)</f>
        <v>0</v>
      </c>
      <c r="P379" s="52">
        <v>30</v>
      </c>
      <c r="Q379" s="52">
        <v>0</v>
      </c>
      <c r="S379" s="52" t="s">
        <v>585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590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590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590</v>
      </c>
      <c r="E382" s="52" t="s">
        <v>591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590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402</v>
      </c>
      <c r="E384" s="52" t="s">
        <v>592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553</v>
      </c>
      <c r="B1" s="105" t="s">
        <v>551</v>
      </c>
      <c r="C1" s="105" t="s">
        <v>552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86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472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176</v>
      </c>
      <c r="C16" s="105">
        <v>26</v>
      </c>
    </row>
    <row r="17" spans="1:3" x14ac:dyDescent="0.25">
      <c r="A17" s="105">
        <v>15</v>
      </c>
      <c r="B17" s="105">
        <v>97</v>
      </c>
      <c r="C17" s="105">
        <v>2</v>
      </c>
    </row>
    <row r="18" spans="1:3" x14ac:dyDescent="0.25">
      <c r="A18" s="105">
        <v>16</v>
      </c>
      <c r="B18" s="105">
        <v>45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115</v>
      </c>
      <c r="C22" s="105">
        <v>1</v>
      </c>
    </row>
    <row r="23" spans="1:3" x14ac:dyDescent="0.25">
      <c r="A23" s="105">
        <v>21</v>
      </c>
      <c r="B23" s="105">
        <v>193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12</v>
      </c>
      <c r="C30" s="105">
        <v>3</v>
      </c>
    </row>
    <row r="31" spans="1:3" x14ac:dyDescent="0.25">
      <c r="A31" s="105">
        <v>29</v>
      </c>
      <c r="B31" s="105">
        <v>321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163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162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191</v>
      </c>
      <c r="C44" s="105">
        <v>0</v>
      </c>
    </row>
    <row r="45" spans="1:3" x14ac:dyDescent="0.25">
      <c r="A45" s="105">
        <v>43</v>
      </c>
      <c r="B45" s="105">
        <v>76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66</v>
      </c>
      <c r="C48" s="105">
        <v>0</v>
      </c>
    </row>
    <row r="49" spans="1:3" x14ac:dyDescent="0.25">
      <c r="A49" s="105">
        <v>47</v>
      </c>
      <c r="B49" s="105">
        <v>98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11</v>
      </c>
      <c r="C54" s="105">
        <v>1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42</v>
      </c>
      <c r="C57" s="105">
        <v>0</v>
      </c>
    </row>
    <row r="58" spans="1:3" x14ac:dyDescent="0.25">
      <c r="A58" s="105">
        <v>56</v>
      </c>
      <c r="B58" s="105">
        <v>24</v>
      </c>
      <c r="C58" s="105">
        <v>0</v>
      </c>
    </row>
    <row r="59" spans="1:3" x14ac:dyDescent="0.25">
      <c r="A59" s="105">
        <v>57</v>
      </c>
      <c r="B59" s="105">
        <v>512</v>
      </c>
      <c r="C59" s="105">
        <v>1</v>
      </c>
    </row>
    <row r="60" spans="1:3" x14ac:dyDescent="0.25">
      <c r="A60" s="105">
        <v>58</v>
      </c>
      <c r="B60" s="105">
        <v>166</v>
      </c>
      <c r="C60" s="105">
        <v>32</v>
      </c>
    </row>
    <row r="61" spans="1:3" x14ac:dyDescent="0.25">
      <c r="A61" s="105">
        <v>59</v>
      </c>
      <c r="B61" s="105">
        <v>195</v>
      </c>
      <c r="C61" s="105">
        <v>0</v>
      </c>
    </row>
    <row r="62" spans="1:3" x14ac:dyDescent="0.25">
      <c r="A62" s="105">
        <v>60</v>
      </c>
      <c r="B62" s="105">
        <v>57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171</v>
      </c>
      <c r="C69" s="105">
        <v>43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572</v>
      </c>
      <c r="C79" s="105">
        <v>0</v>
      </c>
    </row>
    <row r="80" spans="1:3" x14ac:dyDescent="0.25">
      <c r="A80" s="105">
        <v>78</v>
      </c>
      <c r="B80" s="105">
        <v>67</v>
      </c>
      <c r="C80" s="105">
        <v>1</v>
      </c>
    </row>
    <row r="81" spans="1:3" x14ac:dyDescent="0.25">
      <c r="A81" s="105">
        <v>79</v>
      </c>
      <c r="B81" s="105">
        <v>89</v>
      </c>
      <c r="C81" s="105">
        <v>0</v>
      </c>
    </row>
    <row r="82" spans="1:3" x14ac:dyDescent="0.25">
      <c r="A82" s="105">
        <v>80</v>
      </c>
      <c r="B82" s="105">
        <v>323</v>
      </c>
      <c r="C82" s="105">
        <v>2</v>
      </c>
    </row>
    <row r="83" spans="1:3" x14ac:dyDescent="0.25">
      <c r="A83" s="105">
        <v>81</v>
      </c>
      <c r="B83" s="105">
        <v>62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104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158</v>
      </c>
      <c r="C88" s="105">
        <v>1</v>
      </c>
    </row>
    <row r="89" spans="1:3" x14ac:dyDescent="0.25">
      <c r="A89" s="105">
        <v>87</v>
      </c>
      <c r="B89" s="105">
        <v>45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101</v>
      </c>
      <c r="C94" s="105">
        <v>1</v>
      </c>
    </row>
    <row r="95" spans="1:3" x14ac:dyDescent="0.25">
      <c r="A95" s="105">
        <v>93</v>
      </c>
      <c r="B95" s="105">
        <v>37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149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81</v>
      </c>
      <c r="C103" s="105">
        <v>0</v>
      </c>
    </row>
    <row r="104" spans="1:3" x14ac:dyDescent="0.25">
      <c r="A104" s="105">
        <v>102</v>
      </c>
      <c r="B104" s="105">
        <v>67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69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143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44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53</v>
      </c>
      <c r="C127" s="105">
        <v>1</v>
      </c>
    </row>
    <row r="128" spans="1:3" x14ac:dyDescent="0.25">
      <c r="A128" s="105">
        <v>126</v>
      </c>
      <c r="B128" s="105">
        <v>96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144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172</v>
      </c>
      <c r="C134" s="105">
        <v>0</v>
      </c>
    </row>
    <row r="135" spans="1:3" x14ac:dyDescent="0.25">
      <c r="A135" s="105">
        <v>133</v>
      </c>
      <c r="B135" s="105">
        <v>63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10</v>
      </c>
      <c r="C141" s="105">
        <v>8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749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7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51</v>
      </c>
      <c r="C183" s="105">
        <v>8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178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71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33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11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401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36</v>
      </c>
      <c r="C249" s="105">
        <v>15</v>
      </c>
    </row>
    <row r="250" spans="1:3" x14ac:dyDescent="0.25">
      <c r="A250" s="105">
        <v>248</v>
      </c>
      <c r="B250" s="105">
        <v>24</v>
      </c>
      <c r="C250" s="105">
        <v>3</v>
      </c>
    </row>
    <row r="251" spans="1:3" x14ac:dyDescent="0.25">
      <c r="A251" s="105">
        <v>249</v>
      </c>
      <c r="B251" s="105">
        <v>131</v>
      </c>
      <c r="C251" s="105">
        <v>25</v>
      </c>
    </row>
    <row r="252" spans="1:3" x14ac:dyDescent="0.25">
      <c r="A252" s="105">
        <v>250</v>
      </c>
      <c r="B252" s="105">
        <v>65</v>
      </c>
      <c r="C252" s="105">
        <v>15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305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59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7</v>
      </c>
      <c r="C301" s="105">
        <v>5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13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136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38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349</v>
      </c>
      <c r="C356" s="105">
        <v>1</v>
      </c>
    </row>
    <row r="357" spans="1:3" x14ac:dyDescent="0.25">
      <c r="A357" s="105">
        <v>355</v>
      </c>
      <c r="B357" s="105">
        <v>23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18</v>
      </c>
      <c r="C376" s="105">
        <v>7</v>
      </c>
    </row>
    <row r="377" spans="1:3" x14ac:dyDescent="0.25">
      <c r="A377" s="105">
        <v>375</v>
      </c>
      <c r="B377" s="105">
        <v>10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6</v>
      </c>
      <c r="C379" s="105">
        <v>0</v>
      </c>
    </row>
    <row r="380" spans="1:3" x14ac:dyDescent="0.25">
      <c r="A380" s="105">
        <v>378</v>
      </c>
      <c r="B380" s="105">
        <v>32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2017-12-22T06:28:48Z</dcterms:modified>
</cp:coreProperties>
</file>