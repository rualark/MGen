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/>
</workbook>
</file>

<file path=xl/calcChain.xml><?xml version="1.0" encoding="utf-8"?>
<calcChain xmlns="http://schemas.openxmlformats.org/spreadsheetml/2006/main">
  <c r="H372" i="4" l="1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8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8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0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70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70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1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3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3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5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5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5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6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8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1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<sst xmlns="http://schemas.openxmlformats.org/spreadsheetml/2006/main" count="2375" uniqueCount="581">
  <si>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</si>
  <si>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</si>
  <si>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</si>
  <si>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</si>
  <si>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</si>
  <si>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</si>
  <si>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</si>
  <si>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</si>
  <si>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</si>
  <si>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</si>
  <si>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</si>
  <si>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</si>
  <si>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</si>
  <si>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</si>
  <si>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</si>
  <si>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</si>
  <si>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</si>
  <si>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</si>
  <si>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</si>
  <si>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</si>
  <si>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</si>
  <si>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</si>
  <si>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</si>
  <si>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</si>
  <si>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</si>
  <si>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</si>
  <si>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</si>
  <si>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</si>
  <si>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</si>
  <si>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</si>
  <si>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</si>
  <si>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</si>
  <si>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</si>
  <si>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</si>
  <si>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</si>
  <si>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</si>
  <si>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</si>
  <si>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</si>
  <si>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</si>
  <si>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</si>
  <si>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</si>
  <si>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</si>
  <si>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</si>
  <si>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</si>
  <si>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</si>
  <si>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</si>
  <si>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</si>
  <si>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</si>
  <si>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</si>
  <si>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</si>
  <si>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</si>
  <si>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</si>
  <si>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</si>
  <si>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</si>
  <si>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</si>
  <si>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</si>
  <si>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</si>
  <si>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</si>
  <si>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</si>
  <si>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</si>
  <si>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</si>
  <si>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</si>
  <si>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</si>
  <si>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</si>
  <si>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</si>
  <si>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</si>
  <si>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</si>
  <si>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</si>
  <si>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</si>
  <si>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</si>
  <si>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</si>
  <si>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</si>
  <si>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</si>
  <si>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</si>
  <si>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</si>
  <si>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</si>
  <si>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</si>
  <si>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</si>
  <si>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</si>
  <si>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</si>
  <si>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</si>
  <si>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</si>
  <si>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</si>
  <si>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</si>
  <si>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</si>
  <si>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</si>
  <si>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</si>
  <si>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</si>
  <si>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</si>
  <si>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</si>
  <si>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</si>
  <si>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</si>
  <si>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</si>
  <si>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</si>
  <si>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</si>
  <si>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</si>
  <si>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</si>
  <si>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</si>
  <si>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</si>
  <si>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</si>
  <si>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</si>
  <si>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</si>
  <si>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</si>
  <si>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</si>
  <si>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</si>
  <si>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</si>
  <si>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</si>
  <si>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</si>
  <si>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</si>
  <si>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</si>
  <si>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</si>
  <si>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</si>
  <si>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</si>
  <si>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</si>
  <si>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</si>
  <si>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</si>
  <si>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</si>
  <si>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</si>
  <si>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</si>
  <si>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</si>
  <si>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</si>
  <si>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</si>
  <si>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</si>
  <si>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</si>
  <si>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</si>
  <si>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</si>
  <si>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</si>
  <si>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</si>
  <si>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</si>
  <si>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</si>
  <si>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</si>
  <si>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</si>
  <si>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</si>
  <si>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</si>
  <si>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</si>
  <si>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</si>
  <si>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</si>
  <si>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</si>
  <si>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</si>
  <si>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</si>
  <si>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</si>
  <si>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</si>
  <si>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</si>
  <si>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</si>
  <si>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</si>
  <si>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</si>
  <si>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</si>
  <si>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</si>
  <si>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</si>
  <si>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</si>
  <si>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</si>
  <si>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</si>
  <si>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</si>
  <si>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</si>
  <si>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</si>
  <si>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</si>
  <si>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</si>
  <si>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</si>
  <si>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</si>
  <si>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</si>
  <si>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</si>
  <si>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</si>
  <si>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</si>
  <si>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</si>
  <si>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</si>
  <si>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</si>
  <si>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</si>
  <si>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</si>
  <si>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</si>
  <si>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</si>
  <si>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</si>
  <si>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</si>
  <si>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</si>
  <si>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</si>
  <si>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</si>
  <si>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</si>
  <si>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</si>
  <si>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</si>
  <si>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</si>
  <si>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</si>
  <si>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</si>
  <si>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</si>
  <si>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</si>
  <si>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</si>
  <si>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</si>
  <si>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</si>
  <si>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</si>
  <si>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</si>
  <si>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</si>
  <si>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</si>
  <si>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</si>
  <si>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</si>
  <si>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</si>
  <si>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</si>
  <si>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</si>
  <si>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</si>
  <si>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</si>
  <si>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</si>
  <si>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</si>
  <si>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</si>
  <si>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</si>
  <si>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</si>
  <si>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</si>
  <si>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</si>
  <si>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</si>
  <si>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</si>
  <si>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</si>
  <si>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</si>
  <si>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</si>
  <si>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</si>
  <si>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</si>
  <si>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</si>
  <si>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</si>
  <si>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</si>
  <si>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</si>
  <si>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</si>
  <si>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</si>
  <si>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</si>
  <si>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</si>
  <si>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</si>
  <si>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</si>
  <si>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</si>
  <si>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</si>
  <si>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</si>
  <si>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</si>
  <si>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</si>
  <si>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</si>
  <si>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</si>
  <si>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</si>
  <si>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</si>
  <si>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</si>
  <si>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</si>
  <si>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</si>
  <si>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</si>
  <si>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</si>
  <si>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</si>
  <si>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</si>
  <si>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</si>
  <si>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</si>
  <si>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</si>
  <si>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</si>
  <si>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</si>
  <si>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</si>
  <si>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</si>
  <si>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</si>
  <si>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</si>
  <si>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</si>
  <si>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</si>
  <si>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</si>
  <si>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</si>
  <si>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</si>
  <si>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</si>
  <si>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</si>
  <si>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</si>
  <si>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</si>
  <si>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</si>
  <si>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</si>
  <si>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</si>
  <si>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</si>
  <si>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</si>
  <si>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</si>
  <si>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</si>
  <si>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</si>
  <si>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</si>
  <si>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</si>
  <si>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</si>
  <si>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</si>
  <si>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</si>
  <si>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</si>
  <si>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</si>
  <si>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</si>
  <si>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</si>
  <si>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</si>
  <si>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</si>
  <si>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</si>
  <si>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</si>
  <si>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</si>
  <si>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</si>
  <si>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</si>
  <si>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</si>
  <si>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</si>
  <si>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</si>
  <si>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</si>
  <si>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</si>
  <si>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</si>
  <si>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</si>
  <si>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</si>
  <si>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</si>
  <si>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</si>
  <si>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</si>
  <si>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</si>
  <si>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</si>
  <si>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</si>
  <si>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</si>
  <si>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</si>
  <si>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</si>
  <si>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</si>
  <si>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</si>
  <si>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</si>
  <si>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</si>
  <si>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</si>
  <si>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</si>
  <si>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</si>
  <si>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</si>
  <si>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</si>
  <si>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</si>
  <si>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</si>
  <si>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</si>
  <si>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</si>
  <si>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</si>
  <si>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</si>
  <si>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</si>
  <si>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</si>
  <si>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</si>
  <si>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</si>
  <si>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</si>
  <si>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</si>
  <si>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</si>
  <si>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</si>
  <si>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</si>
  <si>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</si>
  <si>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</si>
  <si>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</si>
  <si>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</si>
  <si>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</si>
  <si>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</si>
  <si>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</si>
  <si>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</si>
  <si>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</si>
  <si>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</si>
  <si>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</si>
  <si>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</si>
  <si>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</si>
  <si>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</si>
  <si>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</si>
  <si>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</si>
  <si>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</si>
  <si>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</si>
  <si>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</si>
  <si>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</si>
  <si>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</si>
  <si>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</si>
  <si>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</si>
  <si>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</si>
  <si>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</si>
  <si>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</si>
  <si>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</si>
  <si>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</si>
  <si>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</si>
  <si>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</si>
  <si>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</si>
  <si>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</si>
  <si>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</si>
  <si>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</si>
  <si>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</si>
  <si>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</si>
  <si>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</si>
  <si>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</si>
  <si>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</si>
  <si>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</si>
  <si>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</si>
  <si>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</si>
  <si>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</si>
  <si>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</si>
  <si>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</si>
  <si>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</si>
  <si>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</si>
  <si>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</si>
  <si>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</si>
  <si>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</si>
  <si>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</si>
  <si>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</si>
  <si>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</si>
  <si>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</si>
  <si>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</si>
  <si>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</si>
  <si>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</si>
  <si>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</si>
  <si>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</si>
  <si>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</si>
  <si>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</si>
  <si>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</si>
  <si>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</si>
  <si>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</si>
  <si>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</si>
  <si>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</si>
  <si>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</si>
  <si>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</si>
  <si>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</si>
  <si>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</si>
  <si>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</si>
  <si>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</si>
  <si>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</si>
  <si>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</si>
  <si>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</si>
  <si>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</si>
  <si>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</si>
  <si>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</si>
  <si>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</si>
  <si>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</si>
  <si>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</si>
  <si>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</si>
  <si>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</si>
  <si>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</si>
  <si>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</si>
  <si>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</si>
  <si>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</si>
  <si>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</si>
  <si>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</si>
  <si>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</si>
  <si>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</si>
  <si>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</si>
  <si>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</si>
  <si>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</si>
  <si>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</si>
  <si>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</si>
  <si>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</si>
  <si>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</si>
  <si>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</si>
  <si>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</si>
  <si>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</si>
  <si>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</si>
  <si>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</si>
  <si>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</si>
  <si>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</si>
  <si>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</si>
  <si>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</si>
  <si>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</si>
  <si>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</si>
  <si>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</si>
  <si>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</si>
  <si>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</si>
  <si>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</si>
  <si>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</si>
  <si>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</si>
  <si>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</si>
  <si>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</si>
  <si>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</si>
  <si>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</si>
  <si>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</si>
  <si>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</si>
  <si>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</si>
  <si>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</si>
  <si>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</si>
  <si>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</si>
  <si>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</si>
  <si>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</si>
  <si>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</si>
  <si>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</si>
  <si>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</si>
  <si>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</si>
  <si>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</si>
  <si>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</si>
  <si>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</si>
  <si>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</si>
  <si>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</si>
  <si>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</si>
  <si>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</si>
  <si>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</si>
  <si>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</si>
  <si>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</si>
  <si>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</si>
  <si>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</si>
  <si>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</si>
  <si>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</si>
  <si>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</si>
  <si>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</si>
  <si>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</si>
  <si>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</si>
  <si>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</si>
  <si>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</si>
  <si>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</si>
  <si>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</si>
  <si>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</si>
  <si>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</si>
  <si>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</si>
  <si>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</si>
  <si>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</si>
  <si>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</si>
  <si>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</si>
  <si>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</si>
  <si>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</si>
  <si>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</si>
  <si>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</si>
  <si>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</si>
  <si>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</si>
  <si>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</si>
  <si>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</si>
  <si>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</si>
  <si>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</si>
  <si>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</si>
  <si>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</si>
  <si>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</si>
  <si>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</si>
  <si>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</si>
  <si>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</si>
  <si>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</si>
  <si>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</si>
  <si>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</si>
  <si>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</si>
  <si>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</si>
  <si>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</si>
  <si>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</si>
  <si>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</si>
  <si>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</si>
  <si>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</si>
  <si>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</si>
  <si>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</si>
  <si>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</si>
  <si>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</si>
  <si>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</si>
  <si>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</si>
  <si>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</si>
  <si>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</si>
  <si>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</si>
  <si>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</si>
  <si>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</si>
  <si>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</si>
  <si>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</si>
  <si>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</si>
  <si>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</si>
  <si>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</si>
  <si>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</si>
  <si>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</si>
  <si>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</si>
  <si>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</si>
  <si>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</si>
  <si>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</si>
  <si>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</si>
  <si>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</si>
  <si>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</si>
  <si>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</si>
  <si>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</si>
  <si>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</si>
  <si>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</si>
  <si>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</si>
  <si>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</si>
  <si>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</si>
  <si>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</si>
  <si>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</si>
  <si>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</si>
  <si>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</si>
  <si>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</si>
  <si>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</si>
  <si>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</si>
  <si>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</si>
  <si>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</si>
  <si>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</si>
  <si>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</si>
  <si>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</si>
  <si>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</si>
  <si>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</si>
  <si>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</si>
  <si>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</si>
  <si>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</si>
  <si>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</si>
  <si>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</si>
  <si>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</si>
  <si>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</si>
  <si>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</si>
  <si>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</si>
  <si>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</si>
  <si>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</si>
  <si>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</si>
  <si>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</si>
  <si>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</si>
  <si>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</si>
  <si>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</si>
  <si>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</si>
  <si>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</si>
  <si>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</si>
  <si>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</si>
  <si>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</si>
  <si>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360,368</t>
  </si>
  <si>
    <t>Highest note in higher voice within 13 notes or 8 measures - which is smaller</t>
  </si>
  <si>
    <t>Penultimate note resolution</t>
  </si>
  <si>
    <t>VII to not I</t>
  </si>
  <si>
    <t>IV to not III</t>
  </si>
  <si>
    <t>Border</t>
  </si>
  <si>
    <t>VII penultimate note resolves not to I note</t>
  </si>
  <si>
    <t>IV penultimate note resolves not to III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</si>
</sst>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1"/>
  <sheetViews>
    <sheetView tabSelected="1" zoomScale="85" zoomScaleNormal="85" workbookViewId="0">
      <pane ySplit="1" topLeftCell="A45" activePane="bottomLeft" state="frozen"/>
      <selection activeCell="C37" sqref="C37"/>
      <selection pane="bottomLeft" activeCell="C58" sqref="C5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571</v>
      </c>
      <c r="C36" s="34" t="s">
        <v>570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567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500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564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572</v>
      </c>
      <c r="C38" s="34" t="s">
        <v>570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567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565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567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566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568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500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564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501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569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522</v>
      </c>
      <c r="D45" s="69" t="s">
        <v>377</v>
      </c>
      <c r="E45" s="99" t="s">
        <v>475</v>
      </c>
      <c r="F45" s="69" t="s">
        <v>523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511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551</v>
      </c>
      <c r="E51" s="7" t="s">
        <v>467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531</v>
      </c>
      <c r="E53" s="103" t="s">
        <v>468</v>
      </c>
      <c r="F53" s="103" t="s">
        <v>469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578</v>
      </c>
      <c r="C55" s="34" t="s">
        <v>533</v>
      </c>
      <c r="D55" s="4" t="s">
        <v>532</v>
      </c>
      <c r="E55" s="75" t="s">
        <v>535</v>
      </c>
      <c r="F55" s="77" t="s">
        <v>296</v>
      </c>
      <c r="G55" s="3"/>
      <c r="H55" s="3"/>
      <c r="I55" s="3"/>
      <c r="J55" s="3"/>
      <c r="K55" s="3"/>
      <c r="L55" s="11"/>
      <c r="M55" s="22" t="s">
        <v>559</v>
      </c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538</v>
      </c>
      <c r="E56" s="19" t="s">
        <v>539</v>
      </c>
      <c r="F56" s="3"/>
      <c r="G56" s="3"/>
      <c r="H56" s="3"/>
      <c r="I56" s="3"/>
      <c r="J56" s="3"/>
      <c r="K56" s="3"/>
      <c r="L56" s="4"/>
      <c r="M56" s="22" t="s">
        <v>559</v>
      </c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537</v>
      </c>
      <c r="E57" s="80" t="s">
        <v>536</v>
      </c>
      <c r="F57" s="3"/>
      <c r="G57" s="3"/>
      <c r="H57" s="3"/>
      <c r="I57" s="3"/>
      <c r="J57" s="3"/>
      <c r="K57" s="3"/>
      <c r="L57" s="58"/>
      <c r="M57" s="22" t="s">
        <v>559</v>
      </c>
      <c r="O57" s="2">
        <v>51</v>
      </c>
      <c r="P57" s="2">
        <v>13</v>
      </c>
    </row>
    <row r="58" spans="1:20" x14ac:dyDescent="0.25">
      <c r="A58" s="111"/>
      <c r="B58" s="112"/>
      <c r="C58" s="3" t="s">
        <v>575</v>
      </c>
      <c r="D58" s="78" t="s">
        <v>576</v>
      </c>
      <c r="E58" s="78" t="s">
        <v>577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0" x14ac:dyDescent="0.25">
      <c r="A59" s="111"/>
      <c r="B59" s="112"/>
      <c r="C59" s="34" t="s">
        <v>75</v>
      </c>
      <c r="D59" s="77" t="s">
        <v>534</v>
      </c>
      <c r="E59" s="3"/>
      <c r="F59" s="3"/>
      <c r="G59" s="3"/>
      <c r="H59" s="3"/>
      <c r="I59" s="3"/>
      <c r="J59" s="3"/>
      <c r="K59" s="3"/>
      <c r="L59" s="14"/>
      <c r="M59" s="22" t="s">
        <v>559</v>
      </c>
      <c r="O59" s="26">
        <v>50</v>
      </c>
      <c r="P59" s="2"/>
      <c r="Q59" s="26"/>
    </row>
    <row r="60" spans="1:20" x14ac:dyDescent="0.25">
      <c r="A60" s="27"/>
      <c r="B60" s="112" t="s">
        <v>60</v>
      </c>
      <c r="C60" s="34" t="s">
        <v>58</v>
      </c>
      <c r="D60" s="75" t="s">
        <v>59</v>
      </c>
      <c r="E60" s="68" t="s">
        <v>149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0" x14ac:dyDescent="0.25">
      <c r="A61" s="104"/>
      <c r="B61" s="112"/>
      <c r="C61" s="3" t="s">
        <v>517</v>
      </c>
      <c r="D61" s="68" t="s">
        <v>519</v>
      </c>
      <c r="E61" s="68" t="s">
        <v>518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0" x14ac:dyDescent="0.25">
      <c r="A62" s="33"/>
      <c r="B62" s="112"/>
      <c r="C62" s="34" t="s">
        <v>160</v>
      </c>
      <c r="D62" s="68" t="s">
        <v>516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0" x14ac:dyDescent="0.25">
      <c r="A63" s="31"/>
      <c r="B63" s="112"/>
      <c r="C63" s="37" t="s">
        <v>151</v>
      </c>
      <c r="D63" s="68" t="s">
        <v>148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0" x14ac:dyDescent="0.25">
      <c r="A64" s="27"/>
      <c r="B64" s="112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2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2"/>
      <c r="C66" s="34" t="s">
        <v>112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114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2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114</v>
      </c>
      <c r="I67" s="3"/>
      <c r="J67" s="3"/>
      <c r="K67" s="3"/>
      <c r="L67" s="4"/>
      <c r="M67" s="22" t="s">
        <v>113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2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455</v>
      </c>
      <c r="H68" s="75" t="s">
        <v>456</v>
      </c>
      <c r="I68" s="75" t="s">
        <v>457</v>
      </c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  <c r="S68" s="25">
        <v>326</v>
      </c>
      <c r="T68" s="25">
        <v>325</v>
      </c>
    </row>
    <row r="69" spans="1:22" x14ac:dyDescent="0.25">
      <c r="A69" s="27"/>
      <c r="B69" s="112"/>
      <c r="C69" s="34" t="s">
        <v>213</v>
      </c>
      <c r="D69" s="4" t="s">
        <v>460</v>
      </c>
      <c r="E69" s="75" t="s">
        <v>69</v>
      </c>
      <c r="F69" s="75" t="s">
        <v>447</v>
      </c>
      <c r="G69" s="20" t="s">
        <v>71</v>
      </c>
      <c r="H69" s="3"/>
      <c r="I69" s="3"/>
      <c r="J69" s="3"/>
      <c r="K69" s="3"/>
      <c r="L69" s="11"/>
      <c r="M69" s="22"/>
      <c r="O69" s="2">
        <v>330</v>
      </c>
      <c r="P69" s="2">
        <v>84</v>
      </c>
      <c r="Q69" s="2">
        <v>85</v>
      </c>
      <c r="R69" s="2">
        <v>86</v>
      </c>
      <c r="S69" s="2"/>
      <c r="T69" s="2"/>
      <c r="U69" s="2"/>
    </row>
    <row r="70" spans="1:22" x14ac:dyDescent="0.25">
      <c r="A70" s="42"/>
      <c r="B70" s="112"/>
      <c r="C70" s="36" t="s">
        <v>215</v>
      </c>
      <c r="D70" s="4" t="s">
        <v>212</v>
      </c>
      <c r="E70" s="4" t="s">
        <v>131</v>
      </c>
      <c r="F70" s="80" t="s">
        <v>509</v>
      </c>
      <c r="G70" s="75" t="s">
        <v>422</v>
      </c>
      <c r="H70" s="75" t="s">
        <v>65</v>
      </c>
      <c r="I70" s="75" t="s">
        <v>214</v>
      </c>
      <c r="J70" s="3"/>
      <c r="K70" s="3"/>
      <c r="L70" s="14"/>
      <c r="M70" s="22" t="s">
        <v>454</v>
      </c>
      <c r="O70" s="2">
        <v>248</v>
      </c>
      <c r="P70" s="2">
        <v>249</v>
      </c>
      <c r="Q70" s="26">
        <v>347</v>
      </c>
      <c r="R70" s="2">
        <v>315</v>
      </c>
      <c r="S70" s="2">
        <v>316</v>
      </c>
      <c r="T70" s="2">
        <v>250</v>
      </c>
      <c r="U70" s="2"/>
    </row>
    <row r="71" spans="1:22" x14ac:dyDescent="0.25">
      <c r="A71" s="38"/>
      <c r="B71" s="112"/>
      <c r="C71" s="34" t="s">
        <v>174</v>
      </c>
      <c r="D71" s="4" t="s">
        <v>176</v>
      </c>
      <c r="E71" s="8" t="s">
        <v>177</v>
      </c>
      <c r="F71" s="76">
        <v>5</v>
      </c>
      <c r="G71" s="10">
        <v>8</v>
      </c>
      <c r="H71" s="3"/>
      <c r="I71" s="3"/>
      <c r="J71" s="3"/>
      <c r="K71" s="3"/>
      <c r="L71" s="4"/>
      <c r="M71" s="22" t="s">
        <v>178</v>
      </c>
      <c r="O71" s="2">
        <v>208</v>
      </c>
      <c r="P71" s="2">
        <v>209</v>
      </c>
      <c r="Q71" s="2">
        <v>210</v>
      </c>
      <c r="R71" s="2">
        <v>211</v>
      </c>
      <c r="S71" s="2"/>
      <c r="T71" s="2"/>
      <c r="U71" s="2"/>
    </row>
    <row r="72" spans="1:22" x14ac:dyDescent="0.25">
      <c r="A72" s="38"/>
      <c r="B72" s="112"/>
      <c r="C72" s="34" t="s">
        <v>175</v>
      </c>
      <c r="D72" s="78" t="s">
        <v>176</v>
      </c>
      <c r="E72" s="76" t="s">
        <v>177</v>
      </c>
      <c r="F72" s="76">
        <v>5</v>
      </c>
      <c r="G72" s="75">
        <v>8</v>
      </c>
      <c r="H72" s="3"/>
      <c r="I72" s="3"/>
      <c r="J72" s="3"/>
      <c r="K72" s="3"/>
      <c r="L72" s="58"/>
      <c r="M72" s="22" t="s">
        <v>179</v>
      </c>
      <c r="O72" s="2">
        <v>212</v>
      </c>
      <c r="P72" s="2">
        <v>213</v>
      </c>
      <c r="Q72" s="2">
        <v>214</v>
      </c>
      <c r="R72" s="2">
        <v>215</v>
      </c>
      <c r="S72" s="2"/>
      <c r="T72" s="2"/>
      <c r="U72" s="2"/>
    </row>
    <row r="73" spans="1:22" x14ac:dyDescent="0.25">
      <c r="A73" s="100"/>
      <c r="B73" s="112"/>
      <c r="C73" s="34" t="s">
        <v>180</v>
      </c>
      <c r="D73" s="75" t="s">
        <v>185</v>
      </c>
      <c r="E73" s="78" t="s">
        <v>184</v>
      </c>
      <c r="F73" s="75" t="s">
        <v>183</v>
      </c>
      <c r="G73" s="3"/>
      <c r="H73" s="3"/>
      <c r="I73" s="3"/>
      <c r="J73" s="3"/>
      <c r="K73" s="3"/>
      <c r="L73" s="11"/>
      <c r="M73" s="22"/>
      <c r="O73" s="2">
        <v>216</v>
      </c>
      <c r="P73" s="2">
        <v>217</v>
      </c>
      <c r="Q73" s="2">
        <v>218</v>
      </c>
      <c r="T73" s="2"/>
      <c r="U73" s="2"/>
      <c r="V73" s="2"/>
    </row>
    <row r="74" spans="1:22" x14ac:dyDescent="0.25">
      <c r="A74" s="39"/>
      <c r="B74" s="112"/>
      <c r="C74" s="34" t="s">
        <v>180</v>
      </c>
      <c r="D74" s="40" t="s">
        <v>186</v>
      </c>
      <c r="E74" s="75" t="s">
        <v>182</v>
      </c>
      <c r="F74" s="77" t="s">
        <v>50</v>
      </c>
      <c r="G74" s="77" t="s">
        <v>181</v>
      </c>
      <c r="H74" s="77" t="s">
        <v>338</v>
      </c>
      <c r="I74" s="75" t="s">
        <v>336</v>
      </c>
      <c r="J74" s="3"/>
      <c r="L74" s="11"/>
      <c r="M74" s="22"/>
      <c r="O74" s="2">
        <v>222</v>
      </c>
      <c r="P74" s="2">
        <v>219</v>
      </c>
      <c r="Q74" s="2">
        <v>220</v>
      </c>
      <c r="R74" s="2">
        <v>221</v>
      </c>
      <c r="S74" s="2">
        <v>291</v>
      </c>
      <c r="T74" s="2">
        <v>286</v>
      </c>
    </row>
    <row r="75" spans="1:22" x14ac:dyDescent="0.25">
      <c r="A75" s="55"/>
      <c r="B75" s="112"/>
      <c r="C75" s="34" t="s">
        <v>333</v>
      </c>
      <c r="D75" s="40" t="s">
        <v>529</v>
      </c>
      <c r="E75" s="40" t="s">
        <v>530</v>
      </c>
      <c r="F75" s="40" t="s">
        <v>351</v>
      </c>
      <c r="G75" s="40" t="s">
        <v>352</v>
      </c>
      <c r="H75" s="75" t="s">
        <v>350</v>
      </c>
      <c r="I75" s="77" t="s">
        <v>349</v>
      </c>
      <c r="J75" s="3"/>
      <c r="K75" s="3"/>
      <c r="L75" s="14"/>
      <c r="M75" s="22"/>
      <c r="O75" s="2">
        <v>296</v>
      </c>
      <c r="P75" s="2">
        <v>136</v>
      </c>
      <c r="Q75" s="2">
        <v>137</v>
      </c>
      <c r="R75" s="2">
        <v>138</v>
      </c>
      <c r="S75" s="2">
        <v>292</v>
      </c>
      <c r="T75" s="2">
        <v>295</v>
      </c>
    </row>
    <row r="76" spans="1:22" x14ac:dyDescent="0.25">
      <c r="A76" s="29"/>
      <c r="B76" s="112"/>
      <c r="C76" s="34" t="s">
        <v>68</v>
      </c>
      <c r="D76" s="77" t="s">
        <v>560</v>
      </c>
      <c r="E76" s="77" t="s">
        <v>65</v>
      </c>
      <c r="F76" s="75" t="s">
        <v>473</v>
      </c>
      <c r="G76" s="77" t="s">
        <v>340</v>
      </c>
      <c r="H76" s="40" t="s">
        <v>463</v>
      </c>
      <c r="I76" s="3"/>
      <c r="J76" s="3"/>
      <c r="K76" s="3"/>
      <c r="L76" s="4"/>
      <c r="M76" s="22"/>
      <c r="O76" s="2">
        <v>359</v>
      </c>
      <c r="P76" s="2">
        <v>83</v>
      </c>
      <c r="Q76" s="2">
        <v>223</v>
      </c>
      <c r="R76" s="2">
        <v>224</v>
      </c>
      <c r="S76" s="2">
        <v>331</v>
      </c>
    </row>
    <row r="77" spans="1:22" x14ac:dyDescent="0.25">
      <c r="A77" s="27"/>
      <c r="B77" s="112"/>
      <c r="C77" s="34" t="s">
        <v>130</v>
      </c>
      <c r="D77" s="19" t="s">
        <v>131</v>
      </c>
      <c r="E77" s="75" t="s">
        <v>181</v>
      </c>
      <c r="F77" s="75" t="s">
        <v>300</v>
      </c>
      <c r="H77" s="3"/>
      <c r="I77" s="3"/>
      <c r="J77" s="3"/>
      <c r="K77" s="3"/>
      <c r="L77" s="58"/>
      <c r="M77" s="22"/>
      <c r="O77" s="2">
        <v>169</v>
      </c>
      <c r="P77" s="2">
        <v>187</v>
      </c>
      <c r="Q77" s="2">
        <v>276</v>
      </c>
    </row>
    <row r="78" spans="1:22" x14ac:dyDescent="0.25">
      <c r="A78" s="27"/>
      <c r="B78" s="112"/>
      <c r="C78" s="3" t="s">
        <v>79</v>
      </c>
      <c r="D78" s="92">
        <v>3</v>
      </c>
      <c r="E78" s="69" t="s">
        <v>53</v>
      </c>
      <c r="F78" s="3"/>
      <c r="G78" s="3"/>
      <c r="H78" s="3"/>
      <c r="I78" s="3"/>
      <c r="J78" s="3"/>
      <c r="K78" s="3"/>
      <c r="L78" s="11"/>
      <c r="M78" s="22" t="s">
        <v>80</v>
      </c>
      <c r="O78" s="2">
        <v>89</v>
      </c>
      <c r="P78" s="2">
        <v>96</v>
      </c>
    </row>
    <row r="79" spans="1:22" x14ac:dyDescent="0.25">
      <c r="A79" s="27"/>
      <c r="B79" s="112"/>
      <c r="C79" s="34" t="s">
        <v>525</v>
      </c>
      <c r="D79" s="19" t="s">
        <v>540</v>
      </c>
      <c r="E79" s="19" t="s">
        <v>541</v>
      </c>
      <c r="F79" s="80" t="s">
        <v>542</v>
      </c>
      <c r="G79" s="76" t="s">
        <v>543</v>
      </c>
      <c r="H79" s="77" t="s">
        <v>296</v>
      </c>
      <c r="I79" s="3"/>
      <c r="J79" s="3"/>
      <c r="K79" s="3"/>
      <c r="L79" s="14"/>
      <c r="M79" s="22"/>
      <c r="O79" s="2">
        <v>268</v>
      </c>
      <c r="P79" s="2">
        <v>269</v>
      </c>
      <c r="Q79" s="2">
        <v>270</v>
      </c>
      <c r="R79" s="25">
        <v>271</v>
      </c>
      <c r="S79" s="25">
        <v>272</v>
      </c>
      <c r="T79" s="25"/>
      <c r="U79" s="25"/>
    </row>
    <row r="80" spans="1:22" x14ac:dyDescent="0.25">
      <c r="A80" s="104"/>
      <c r="B80" s="112"/>
      <c r="C80" s="34" t="s">
        <v>526</v>
      </c>
      <c r="D80" s="19" t="s">
        <v>540</v>
      </c>
      <c r="E80" s="19" t="s">
        <v>541</v>
      </c>
      <c r="F80" s="7" t="s">
        <v>542</v>
      </c>
      <c r="G80" s="76" t="s">
        <v>543</v>
      </c>
      <c r="H80" s="77" t="s">
        <v>296</v>
      </c>
      <c r="I80" s="3"/>
      <c r="J80" s="3"/>
      <c r="K80" s="3"/>
      <c r="L80" s="14"/>
      <c r="M80" s="22"/>
      <c r="O80" s="2">
        <v>354</v>
      </c>
      <c r="P80" s="2">
        <v>355</v>
      </c>
      <c r="Q80" s="2">
        <v>356</v>
      </c>
      <c r="R80" s="25">
        <v>357</v>
      </c>
      <c r="S80" s="25">
        <v>358</v>
      </c>
      <c r="T80" s="25"/>
      <c r="U80" s="25"/>
    </row>
    <row r="81" spans="1:22" x14ac:dyDescent="0.25">
      <c r="A81" s="46"/>
      <c r="B81" s="112"/>
      <c r="C81" s="34" t="s">
        <v>297</v>
      </c>
      <c r="D81" s="78" t="s">
        <v>299</v>
      </c>
      <c r="E81" s="3"/>
      <c r="F81" s="3"/>
      <c r="G81" s="3"/>
      <c r="H81" s="3"/>
      <c r="I81" s="3"/>
      <c r="J81" s="3"/>
      <c r="K81" s="3"/>
      <c r="L81" s="4"/>
      <c r="M81" s="22"/>
      <c r="O81" s="2">
        <v>273</v>
      </c>
      <c r="P81" s="2"/>
      <c r="Q81" s="2"/>
      <c r="R81" s="25"/>
      <c r="S81" s="25"/>
      <c r="T81" s="25"/>
      <c r="U81" s="25"/>
    </row>
    <row r="82" spans="1:22" x14ac:dyDescent="0.25">
      <c r="A82" s="27"/>
      <c r="B82" s="112"/>
      <c r="C82" s="34" t="s">
        <v>76</v>
      </c>
      <c r="D82" s="75" t="s">
        <v>306</v>
      </c>
      <c r="E82" s="75" t="s">
        <v>304</v>
      </c>
      <c r="F82" s="75" t="s">
        <v>305</v>
      </c>
      <c r="G82" s="3"/>
      <c r="H82" s="3"/>
      <c r="I82" s="3"/>
      <c r="J82" s="3"/>
      <c r="K82" s="3"/>
      <c r="L82" s="58"/>
      <c r="M82" s="22"/>
      <c r="O82" s="2">
        <v>91</v>
      </c>
      <c r="P82" s="2">
        <v>275</v>
      </c>
      <c r="Q82" s="2">
        <v>277</v>
      </c>
    </row>
    <row r="83" spans="1:22" x14ac:dyDescent="0.25">
      <c r="A83" s="27"/>
      <c r="B83" s="112"/>
      <c r="C83" s="34" t="s">
        <v>427</v>
      </c>
      <c r="D83" s="80" t="s">
        <v>545</v>
      </c>
      <c r="E83" s="80" t="s">
        <v>544</v>
      </c>
      <c r="F83" s="80" t="s">
        <v>426</v>
      </c>
      <c r="G83" s="80" t="s">
        <v>524</v>
      </c>
      <c r="H83" s="80" t="s">
        <v>449</v>
      </c>
      <c r="I83" s="80" t="s">
        <v>483</v>
      </c>
      <c r="J83" s="3"/>
      <c r="K83" s="3"/>
      <c r="L83" s="11"/>
      <c r="M83" s="22"/>
      <c r="O83" s="2">
        <v>47</v>
      </c>
      <c r="P83" s="2">
        <v>75</v>
      </c>
      <c r="Q83" s="2">
        <v>317</v>
      </c>
      <c r="R83" s="25">
        <v>318</v>
      </c>
      <c r="S83" s="25">
        <v>322</v>
      </c>
      <c r="T83" s="25">
        <v>335</v>
      </c>
    </row>
    <row r="84" spans="1:22" x14ac:dyDescent="0.25">
      <c r="A84" s="27"/>
      <c r="B84" s="112"/>
      <c r="C84" s="3" t="s">
        <v>138</v>
      </c>
      <c r="D84" s="59" t="s">
        <v>187</v>
      </c>
      <c r="E84" s="77" t="s">
        <v>116</v>
      </c>
      <c r="F84" s="3"/>
      <c r="H84" s="3"/>
      <c r="I84" s="3"/>
      <c r="J84" s="3"/>
      <c r="K84" s="3"/>
      <c r="L84" s="14"/>
      <c r="M84" s="22"/>
      <c r="O84" s="2">
        <v>225</v>
      </c>
      <c r="P84" s="2">
        <v>30</v>
      </c>
      <c r="Q84" s="2"/>
    </row>
    <row r="85" spans="1:22" x14ac:dyDescent="0.25">
      <c r="A85" s="29"/>
      <c r="B85" s="112"/>
      <c r="C85" s="30" t="s">
        <v>163</v>
      </c>
      <c r="D85" s="78">
        <v>1</v>
      </c>
      <c r="E85" s="76">
        <v>2</v>
      </c>
      <c r="F85" s="75" t="s">
        <v>52</v>
      </c>
      <c r="G85" s="3"/>
      <c r="H85" s="3"/>
      <c r="I85" s="3"/>
      <c r="J85" s="3"/>
      <c r="K85" s="3"/>
      <c r="L85" s="4"/>
      <c r="M85" s="22" t="s">
        <v>136</v>
      </c>
      <c r="O85" s="2">
        <v>93</v>
      </c>
      <c r="P85" s="2">
        <v>94</v>
      </c>
      <c r="Q85" s="2">
        <v>95</v>
      </c>
      <c r="T85" s="2"/>
    </row>
    <row r="86" spans="1:22" x14ac:dyDescent="0.25">
      <c r="A86" s="29"/>
      <c r="B86" s="112"/>
      <c r="C86" s="30" t="s">
        <v>139</v>
      </c>
      <c r="D86" s="59">
        <v>1</v>
      </c>
      <c r="E86" s="8">
        <v>2</v>
      </c>
      <c r="F86" s="75" t="s">
        <v>52</v>
      </c>
      <c r="G86" s="3"/>
      <c r="H86" s="3"/>
      <c r="I86" s="3"/>
      <c r="J86" s="3"/>
      <c r="K86" s="3"/>
      <c r="L86" s="58"/>
      <c r="M86" s="22" t="s">
        <v>137</v>
      </c>
      <c r="O86" s="2">
        <v>188</v>
      </c>
      <c r="P86" s="2">
        <v>189</v>
      </c>
      <c r="Q86" s="2">
        <v>190</v>
      </c>
      <c r="R86" s="2"/>
      <c r="S86" s="2"/>
      <c r="T86" s="2"/>
    </row>
    <row r="87" spans="1:22" x14ac:dyDescent="0.25">
      <c r="A87" s="27"/>
      <c r="B87" s="112"/>
      <c r="C87" s="34" t="s">
        <v>92</v>
      </c>
      <c r="D87" s="75" t="s">
        <v>93</v>
      </c>
      <c r="E87" s="3"/>
      <c r="F87" s="3"/>
      <c r="G87" s="3"/>
      <c r="H87" s="3"/>
      <c r="I87" s="3"/>
      <c r="J87" s="3"/>
      <c r="K87" s="3"/>
      <c r="L87" s="11"/>
      <c r="M87" s="22"/>
      <c r="O87" s="2">
        <v>24</v>
      </c>
    </row>
    <row r="88" spans="1:22" x14ac:dyDescent="0.25">
      <c r="A88" s="27"/>
      <c r="B88" s="112"/>
      <c r="C88" s="3" t="s">
        <v>95</v>
      </c>
      <c r="D88" s="64" t="s">
        <v>135</v>
      </c>
      <c r="E88" s="66" t="s">
        <v>134</v>
      </c>
      <c r="F88" s="28"/>
      <c r="G88" s="28"/>
      <c r="H88" s="28"/>
      <c r="I88" s="3"/>
      <c r="J88" s="3"/>
      <c r="K88" s="3"/>
      <c r="L88" s="14"/>
      <c r="M88" s="22"/>
      <c r="O88" s="2">
        <v>35</v>
      </c>
      <c r="P88" s="2">
        <v>46</v>
      </c>
    </row>
    <row r="89" spans="1:22" x14ac:dyDescent="0.25">
      <c r="A89" s="43"/>
      <c r="B89" s="117" t="s">
        <v>250</v>
      </c>
      <c r="C89" s="3" t="s">
        <v>251</v>
      </c>
      <c r="D89" s="4" t="s">
        <v>320</v>
      </c>
      <c r="E89" s="10" t="s">
        <v>252</v>
      </c>
      <c r="F89" s="75" t="s">
        <v>459</v>
      </c>
      <c r="G89" s="75" t="s">
        <v>253</v>
      </c>
      <c r="H89" s="8" t="s">
        <v>254</v>
      </c>
      <c r="I89" s="3"/>
      <c r="J89" s="3"/>
      <c r="K89" s="3"/>
      <c r="L89" s="4"/>
      <c r="M89" s="22"/>
      <c r="O89" s="2">
        <v>256</v>
      </c>
      <c r="P89" s="2">
        <v>257</v>
      </c>
      <c r="Q89" s="25">
        <v>327</v>
      </c>
      <c r="R89" s="25">
        <v>259</v>
      </c>
      <c r="S89" s="25">
        <v>261</v>
      </c>
      <c r="T89" s="25"/>
    </row>
    <row r="90" spans="1:22" x14ac:dyDescent="0.25">
      <c r="A90" s="55"/>
      <c r="B90" s="118"/>
      <c r="C90" s="3" t="s">
        <v>251</v>
      </c>
      <c r="D90" s="8" t="s">
        <v>440</v>
      </c>
      <c r="E90" s="75" t="s">
        <v>255</v>
      </c>
      <c r="F90" s="10" t="s">
        <v>256</v>
      </c>
      <c r="G90" s="8" t="s">
        <v>257</v>
      </c>
      <c r="H90" s="8" t="s">
        <v>315</v>
      </c>
      <c r="I90" s="8" t="s">
        <v>314</v>
      </c>
      <c r="J90" s="3"/>
      <c r="K90" s="3"/>
      <c r="L90" s="58"/>
      <c r="M90" s="22"/>
      <c r="O90" s="2">
        <v>323</v>
      </c>
      <c r="P90" s="2">
        <v>263</v>
      </c>
      <c r="Q90" s="2">
        <v>264</v>
      </c>
      <c r="R90" s="25">
        <v>265</v>
      </c>
      <c r="S90" s="25">
        <v>266</v>
      </c>
      <c r="T90" s="25">
        <v>279</v>
      </c>
    </row>
    <row r="91" spans="1:22" x14ac:dyDescent="0.25">
      <c r="A91" s="55"/>
      <c r="B91" s="118"/>
      <c r="C91" s="3" t="s">
        <v>318</v>
      </c>
      <c r="D91" s="4" t="s">
        <v>320</v>
      </c>
      <c r="E91" s="10" t="s">
        <v>252</v>
      </c>
      <c r="F91" s="75" t="s">
        <v>459</v>
      </c>
      <c r="G91" s="75" t="s">
        <v>253</v>
      </c>
      <c r="H91" s="68" t="s">
        <v>322</v>
      </c>
      <c r="I91" s="76" t="s">
        <v>498</v>
      </c>
      <c r="J91" s="3"/>
      <c r="K91" s="3"/>
      <c r="L91" s="11"/>
      <c r="M91" s="22"/>
      <c r="O91" s="2">
        <v>258</v>
      </c>
      <c r="P91" s="2">
        <v>280</v>
      </c>
      <c r="Q91" s="2">
        <v>328</v>
      </c>
      <c r="R91" s="2">
        <v>281</v>
      </c>
      <c r="S91" s="25">
        <v>260</v>
      </c>
      <c r="T91" s="25">
        <v>97</v>
      </c>
    </row>
    <row r="92" spans="1:22" x14ac:dyDescent="0.25">
      <c r="A92" s="55"/>
      <c r="B92" s="118"/>
      <c r="C92" s="3" t="s">
        <v>331</v>
      </c>
      <c r="D92" s="4" t="s">
        <v>332</v>
      </c>
      <c r="E92" s="76" t="s">
        <v>354</v>
      </c>
      <c r="F92" s="76" t="s">
        <v>69</v>
      </c>
      <c r="G92" s="3"/>
      <c r="H92" s="3"/>
      <c r="I92" s="3"/>
      <c r="J92" s="3"/>
      <c r="K92" s="3"/>
      <c r="L92" s="14"/>
      <c r="M92" s="22" t="s">
        <v>370</v>
      </c>
      <c r="O92" s="2">
        <v>282</v>
      </c>
      <c r="P92" s="2">
        <v>297</v>
      </c>
      <c r="Q92" s="2">
        <v>298</v>
      </c>
      <c r="R92" s="25"/>
      <c r="S92" s="25"/>
    </row>
    <row r="93" spans="1:22" x14ac:dyDescent="0.25">
      <c r="A93" s="55"/>
      <c r="B93" s="118"/>
      <c r="C93" s="34" t="s">
        <v>339</v>
      </c>
      <c r="D93" s="4" t="s">
        <v>320</v>
      </c>
      <c r="E93" s="76" t="s">
        <v>348</v>
      </c>
      <c r="F93" s="8" t="s">
        <v>346</v>
      </c>
      <c r="G93" s="76" t="s">
        <v>347</v>
      </c>
      <c r="H93" s="75" t="s">
        <v>77</v>
      </c>
      <c r="I93" s="75" t="s">
        <v>476</v>
      </c>
      <c r="J93" s="75" t="s">
        <v>479</v>
      </c>
      <c r="K93" s="8" t="s">
        <v>181</v>
      </c>
      <c r="L93" s="4"/>
      <c r="M93" s="15"/>
      <c r="O93" s="2">
        <v>287</v>
      </c>
      <c r="P93" s="2">
        <v>294</v>
      </c>
      <c r="Q93" s="2">
        <v>293</v>
      </c>
      <c r="R93" s="2">
        <v>288</v>
      </c>
      <c r="S93" s="25">
        <v>290</v>
      </c>
      <c r="T93" s="25">
        <v>333</v>
      </c>
      <c r="U93" s="25">
        <v>334</v>
      </c>
      <c r="V93" s="2">
        <v>289</v>
      </c>
    </row>
    <row r="94" spans="1:22" x14ac:dyDescent="0.25">
      <c r="A94" s="43"/>
      <c r="B94" s="119"/>
      <c r="C94" s="44" t="s">
        <v>323</v>
      </c>
      <c r="D94" s="88" t="s">
        <v>320</v>
      </c>
      <c r="E94" s="89" t="s">
        <v>131</v>
      </c>
      <c r="F94" s="89" t="s">
        <v>325</v>
      </c>
      <c r="G94" s="89" t="s">
        <v>324</v>
      </c>
      <c r="H94" s="3"/>
      <c r="I94" s="3"/>
      <c r="J94" s="3"/>
      <c r="K94" s="3"/>
      <c r="L94" s="58"/>
      <c r="M94" s="15"/>
      <c r="O94" s="2">
        <v>262</v>
      </c>
      <c r="P94" s="2">
        <v>283</v>
      </c>
      <c r="Q94" s="2">
        <v>284</v>
      </c>
      <c r="R94" s="25">
        <v>285</v>
      </c>
      <c r="S94" s="25"/>
      <c r="T94" s="25"/>
      <c r="U94" s="25"/>
    </row>
    <row r="95" spans="1:22" x14ac:dyDescent="0.25">
      <c r="A95" s="41"/>
      <c r="B95" s="112" t="s">
        <v>207</v>
      </c>
      <c r="C95" s="34" t="s">
        <v>207</v>
      </c>
      <c r="D95" s="4" t="s">
        <v>217</v>
      </c>
      <c r="E95" s="75" t="s">
        <v>216</v>
      </c>
      <c r="F95" s="75" t="s">
        <v>208</v>
      </c>
      <c r="G95" s="75" t="s">
        <v>206</v>
      </c>
      <c r="H95" s="75" t="s">
        <v>220</v>
      </c>
      <c r="I95" s="75" t="s">
        <v>224</v>
      </c>
      <c r="J95" s="75" t="s">
        <v>223</v>
      </c>
      <c r="K95" s="75" t="s">
        <v>211</v>
      </c>
      <c r="L95" s="11"/>
      <c r="M95" s="15"/>
      <c r="O95" s="2">
        <v>233</v>
      </c>
      <c r="P95" s="2">
        <v>234</v>
      </c>
      <c r="Q95" s="2">
        <v>235</v>
      </c>
      <c r="R95" s="25">
        <v>236</v>
      </c>
      <c r="S95" s="25">
        <v>237</v>
      </c>
      <c r="T95" s="25">
        <v>254</v>
      </c>
      <c r="U95" s="25">
        <v>197</v>
      </c>
      <c r="V95" s="25">
        <v>247</v>
      </c>
    </row>
    <row r="96" spans="1:22" x14ac:dyDescent="0.25">
      <c r="A96" s="41"/>
      <c r="B96" s="112"/>
      <c r="C96" s="34" t="s">
        <v>196</v>
      </c>
      <c r="D96" s="75" t="s">
        <v>198</v>
      </c>
      <c r="E96" s="4" t="s">
        <v>199</v>
      </c>
      <c r="F96" s="75" t="s">
        <v>200</v>
      </c>
      <c r="G96" s="4" t="s">
        <v>201</v>
      </c>
      <c r="H96" s="75" t="s">
        <v>209</v>
      </c>
      <c r="I96" s="75" t="s">
        <v>192</v>
      </c>
      <c r="J96" s="75" t="s">
        <v>210</v>
      </c>
      <c r="K96" s="75" t="s">
        <v>181</v>
      </c>
      <c r="L96" s="14"/>
      <c r="M96" s="15"/>
      <c r="O96" s="2">
        <v>226</v>
      </c>
      <c r="P96" s="2">
        <v>227</v>
      </c>
      <c r="Q96" s="2">
        <v>228</v>
      </c>
      <c r="R96" s="25">
        <v>229</v>
      </c>
      <c r="S96" s="25">
        <v>230</v>
      </c>
      <c r="T96" s="25">
        <v>231</v>
      </c>
      <c r="U96" s="25">
        <v>232</v>
      </c>
      <c r="V96" s="25">
        <v>88</v>
      </c>
    </row>
    <row r="97" spans="1:21" x14ac:dyDescent="0.25">
      <c r="A97" s="41"/>
      <c r="B97" s="112"/>
      <c r="C97" s="34" t="s">
        <v>218</v>
      </c>
      <c r="D97" s="4" t="s">
        <v>205</v>
      </c>
      <c r="E97" s="4" t="s">
        <v>308</v>
      </c>
      <c r="F97" s="4" t="s">
        <v>309</v>
      </c>
      <c r="G97" s="75" t="s">
        <v>77</v>
      </c>
      <c r="H97" s="44"/>
      <c r="I97" s="44"/>
      <c r="J97" s="44"/>
      <c r="K97" s="44"/>
      <c r="L97" s="4"/>
      <c r="M97" s="15"/>
      <c r="O97" s="2">
        <v>238</v>
      </c>
      <c r="P97" s="2">
        <v>239</v>
      </c>
      <c r="Q97" s="2">
        <v>278</v>
      </c>
      <c r="R97" s="2">
        <v>240</v>
      </c>
    </row>
    <row r="98" spans="1:21" x14ac:dyDescent="0.25">
      <c r="A98" s="100"/>
      <c r="B98" s="112"/>
      <c r="C98" s="3" t="s">
        <v>485</v>
      </c>
      <c r="D98" s="68" t="s">
        <v>488</v>
      </c>
      <c r="E98" s="68" t="s">
        <v>486</v>
      </c>
      <c r="F98" s="68" t="s">
        <v>550</v>
      </c>
      <c r="G98" s="68" t="s">
        <v>487</v>
      </c>
      <c r="H98" s="68" t="s">
        <v>489</v>
      </c>
      <c r="I98" s="3"/>
      <c r="J98" s="3"/>
      <c r="K98" s="3"/>
      <c r="L98" s="14"/>
      <c r="M98" s="22" t="s">
        <v>490</v>
      </c>
      <c r="O98" s="2">
        <v>336</v>
      </c>
      <c r="P98" s="2">
        <v>337</v>
      </c>
      <c r="Q98" s="2">
        <v>338</v>
      </c>
      <c r="R98" s="25">
        <v>339</v>
      </c>
      <c r="S98" s="25">
        <v>340</v>
      </c>
    </row>
    <row r="99" spans="1:21" x14ac:dyDescent="0.25">
      <c r="A99" s="104"/>
      <c r="B99" s="112"/>
      <c r="C99" s="3" t="s">
        <v>553</v>
      </c>
      <c r="D99" s="75" t="s">
        <v>52</v>
      </c>
      <c r="E99" s="3"/>
      <c r="F99" s="3"/>
      <c r="G99" s="3"/>
      <c r="H99" s="3"/>
      <c r="I99" s="3"/>
      <c r="J99" s="3"/>
      <c r="K99" s="3"/>
      <c r="L99" s="14"/>
      <c r="M99" s="22"/>
      <c r="O99" s="2">
        <v>41</v>
      </c>
      <c r="P99" s="2"/>
      <c r="Q99" s="2"/>
      <c r="R99" s="25"/>
      <c r="S99" s="25"/>
    </row>
    <row r="100" spans="1:21" x14ac:dyDescent="0.25">
      <c r="A100" s="104"/>
      <c r="B100" s="112"/>
      <c r="C100" s="34" t="s">
        <v>75</v>
      </c>
      <c r="D100" s="78" t="s">
        <v>295</v>
      </c>
      <c r="E100" s="75" t="s">
        <v>221</v>
      </c>
      <c r="F100" s="75" t="s">
        <v>222</v>
      </c>
      <c r="G100" s="44"/>
      <c r="H100" s="44"/>
      <c r="I100" s="44"/>
      <c r="J100" s="44"/>
      <c r="K100" s="44"/>
      <c r="L100" s="58"/>
      <c r="M100" s="15"/>
      <c r="O100" s="2">
        <v>267</v>
      </c>
      <c r="P100" s="2">
        <v>252</v>
      </c>
      <c r="Q100" s="2">
        <v>253</v>
      </c>
    </row>
    <row r="101" spans="1:21" x14ac:dyDescent="0.25">
      <c r="A101" s="41"/>
      <c r="B101" s="112"/>
      <c r="C101" s="34" t="s">
        <v>373</v>
      </c>
      <c r="D101" s="4" t="s">
        <v>197</v>
      </c>
      <c r="E101" s="4" t="s">
        <v>202</v>
      </c>
      <c r="F101" s="75" t="s">
        <v>219</v>
      </c>
      <c r="G101" s="10" t="s">
        <v>204</v>
      </c>
      <c r="H101" s="75" t="s">
        <v>203</v>
      </c>
      <c r="I101" s="75" t="s">
        <v>476</v>
      </c>
      <c r="J101" s="75" t="s">
        <v>480</v>
      </c>
      <c r="K101" s="44"/>
      <c r="L101" s="11"/>
      <c r="M101" s="15"/>
      <c r="O101" s="2">
        <v>241</v>
      </c>
      <c r="P101" s="2">
        <v>242</v>
      </c>
      <c r="Q101" s="2">
        <v>251</v>
      </c>
      <c r="R101" s="2">
        <v>243</v>
      </c>
      <c r="S101" s="25">
        <v>244</v>
      </c>
      <c r="T101" s="25">
        <v>274</v>
      </c>
      <c r="U101" s="25">
        <v>332</v>
      </c>
    </row>
    <row r="102" spans="1:21" x14ac:dyDescent="0.25">
      <c r="A102" s="55"/>
      <c r="B102" s="112"/>
      <c r="C102" s="3" t="s">
        <v>195</v>
      </c>
      <c r="D102" s="69" t="s">
        <v>364</v>
      </c>
      <c r="E102" s="78" t="s">
        <v>374</v>
      </c>
      <c r="F102" s="69" t="s">
        <v>496</v>
      </c>
      <c r="G102" s="44"/>
      <c r="H102" s="44"/>
      <c r="I102" s="44"/>
      <c r="J102" s="44"/>
      <c r="K102" s="44"/>
      <c r="L102" s="14"/>
      <c r="M102" s="15"/>
      <c r="O102" s="25">
        <v>139</v>
      </c>
      <c r="P102" s="2">
        <v>299</v>
      </c>
      <c r="Q102" s="2">
        <v>341</v>
      </c>
      <c r="R102" s="2"/>
      <c r="S102" s="25"/>
      <c r="T102" s="25"/>
      <c r="U102" s="25"/>
    </row>
    <row r="103" spans="1:21" x14ac:dyDescent="0.25">
      <c r="A103" s="41"/>
      <c r="B103" s="112"/>
      <c r="C103" s="34" t="s">
        <v>194</v>
      </c>
      <c r="D103" s="4" t="s">
        <v>378</v>
      </c>
      <c r="E103" s="78">
        <v>5</v>
      </c>
      <c r="F103" s="75" t="s">
        <v>193</v>
      </c>
      <c r="G103" s="75" t="s">
        <v>226</v>
      </c>
      <c r="H103" s="44"/>
      <c r="I103" s="44"/>
      <c r="J103" s="44"/>
      <c r="K103" s="44"/>
      <c r="L103" s="4"/>
      <c r="M103" s="15"/>
      <c r="O103" s="2">
        <v>301</v>
      </c>
      <c r="P103" s="2">
        <v>245</v>
      </c>
      <c r="Q103" s="2">
        <v>246</v>
      </c>
      <c r="R103" s="2">
        <v>255</v>
      </c>
    </row>
    <row r="105" spans="1:21" x14ac:dyDescent="0.25">
      <c r="B105" s="1" t="s">
        <v>29</v>
      </c>
    </row>
    <row r="106" spans="1:21" x14ac:dyDescent="0.25">
      <c r="B106" s="1"/>
    </row>
    <row r="107" spans="1:21" x14ac:dyDescent="0.25">
      <c r="B107" s="1" t="s">
        <v>30</v>
      </c>
      <c r="C107" s="2" t="s">
        <v>37</v>
      </c>
    </row>
    <row r="108" spans="1:21" x14ac:dyDescent="0.25">
      <c r="B108" s="98" t="s">
        <v>132</v>
      </c>
      <c r="C108" s="2" t="s">
        <v>133</v>
      </c>
    </row>
    <row r="109" spans="1:21" x14ac:dyDescent="0.25">
      <c r="B109" s="35" t="s">
        <v>161</v>
      </c>
      <c r="C109" s="2" t="s">
        <v>162</v>
      </c>
    </row>
    <row r="110" spans="1:21" x14ac:dyDescent="0.25">
      <c r="B110" s="97" t="s">
        <v>34</v>
      </c>
      <c r="C110" s="2" t="s">
        <v>32</v>
      </c>
    </row>
    <row r="111" spans="1:21" ht="15" x14ac:dyDescent="0.25">
      <c r="B111" s="90" t="s">
        <v>36</v>
      </c>
      <c r="C111" s="2" t="s">
        <v>35</v>
      </c>
    </row>
    <row r="112" spans="1:21" x14ac:dyDescent="0.25">
      <c r="B112" s="16" t="s">
        <v>31</v>
      </c>
      <c r="C112" s="2" t="s">
        <v>33</v>
      </c>
    </row>
    <row r="113" spans="2:3" x14ac:dyDescent="0.25">
      <c r="B113" s="8" t="s">
        <v>38</v>
      </c>
      <c r="C113" s="2" t="s">
        <v>474</v>
      </c>
    </row>
    <row r="114" spans="2:3" x14ac:dyDescent="0.25">
      <c r="B114" s="18">
        <v>63</v>
      </c>
      <c r="C114" s="2" t="s">
        <v>61</v>
      </c>
    </row>
    <row r="116" spans="2:3" x14ac:dyDescent="0.25">
      <c r="B116" s="91" t="s">
        <v>42</v>
      </c>
    </row>
    <row r="118" spans="2:3" x14ac:dyDescent="0.25">
      <c r="B118" t="s">
        <v>43</v>
      </c>
      <c r="C118" t="s">
        <v>44</v>
      </c>
    </row>
    <row r="119" spans="2:3" x14ac:dyDescent="0.25">
      <c r="B119" t="s">
        <v>45</v>
      </c>
      <c r="C119" t="s">
        <v>46</v>
      </c>
    </row>
    <row r="121" spans="2:3" x14ac:dyDescent="0.25">
      <c r="B121" s="2" t="s">
        <v>47</v>
      </c>
    </row>
    <row r="123" spans="2:3" x14ac:dyDescent="0.25">
      <c r="B123" t="s">
        <v>57</v>
      </c>
    </row>
    <row r="124" spans="2:3" x14ac:dyDescent="0.25">
      <c r="B124" s="2" t="s">
        <v>48</v>
      </c>
    </row>
    <row r="125" spans="2:3" x14ac:dyDescent="0.25">
      <c r="B125" s="2" t="s">
        <v>62</v>
      </c>
    </row>
    <row r="127" spans="2:3" x14ac:dyDescent="0.25">
      <c r="B127" s="2" t="s">
        <v>153</v>
      </c>
    </row>
    <row r="128" spans="2:3" x14ac:dyDescent="0.25">
      <c r="B128" s="2" t="s">
        <v>60</v>
      </c>
      <c r="C128" s="2" t="s">
        <v>164</v>
      </c>
    </row>
    <row r="129" spans="2:3" x14ac:dyDescent="0.25">
      <c r="B129" s="2" t="s">
        <v>154</v>
      </c>
      <c r="C129" s="2" t="s">
        <v>166</v>
      </c>
    </row>
    <row r="130" spans="2:3" x14ac:dyDescent="0.25">
      <c r="B130" s="2" t="s">
        <v>155</v>
      </c>
      <c r="C130" s="2" t="s">
        <v>165</v>
      </c>
    </row>
    <row r="131" spans="2:3" x14ac:dyDescent="0.25">
      <c r="B131" s="2" t="s">
        <v>16</v>
      </c>
      <c r="C131" s="2" t="s">
        <v>156</v>
      </c>
    </row>
  </sheetData>
  <mergeCells count="23">
    <mergeCell ref="B95:B103"/>
    <mergeCell ref="B60:B67"/>
    <mergeCell ref="B55:B59"/>
    <mergeCell ref="B68:B88"/>
    <mergeCell ref="B1:M1"/>
    <mergeCell ref="B89:B94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4"/>
  <sheetViews>
    <sheetView zoomScale="130" zoomScaleNormal="130" workbookViewId="0">
      <pane ySplit="1" topLeftCell="A353" activePane="bottomLeft" state="frozen"/>
      <selection pane="bottomLeft" activeCell="D373" sqref="D37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558</v>
      </c>
      <c r="H1" s="47" t="s">
        <v>559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571</v>
      </c>
      <c r="D3" s="52" t="s">
        <v>570</v>
      </c>
      <c r="E3" s="56" t="s">
        <v>49</v>
      </c>
      <c r="F3" s="50"/>
      <c r="G3" s="106">
        <f>VLOOKUP($A3, Stat!$A$1:$C$501, 2,0)</f>
        <v>8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567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84</v>
      </c>
      <c r="H7" s="106">
        <f>VLOOKUP($A7, Stat!$A$1:$C$501, 3,0)</f>
        <v>24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578</v>
      </c>
      <c r="D14" s="52" t="s">
        <v>74</v>
      </c>
      <c r="E14" s="56" t="s">
        <v>536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559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578</v>
      </c>
      <c r="D15" s="52" t="s">
        <v>73</v>
      </c>
      <c r="E15" s="56" t="s">
        <v>538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559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572</v>
      </c>
      <c r="D19" s="52" t="s">
        <v>500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564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572</v>
      </c>
      <c r="D20" s="52" t="s">
        <v>500</v>
      </c>
      <c r="E20" s="56" t="s">
        <v>50</v>
      </c>
      <c r="F20" s="50"/>
      <c r="G20" s="106">
        <f>VLOOKUP($A20, Stat!$A$1:$C$501, 2,0)</f>
        <v>18</v>
      </c>
      <c r="H20" s="106">
        <f>VLOOKUP($A20, Stat!$A$1:$C$501, 3,0)</f>
        <v>12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564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181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310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571</v>
      </c>
      <c r="D32" s="52" t="s">
        <v>570</v>
      </c>
      <c r="E32" s="56" t="s">
        <v>50</v>
      </c>
      <c r="F32" s="50"/>
      <c r="G32" s="106">
        <f>VLOOKUP($A32, Stat!$A$1:$C$501, 2,0)</f>
        <v>27</v>
      </c>
      <c r="H32" s="106">
        <f>VLOOKUP($A32, Stat!$A$1:$C$501, 3,0)</f>
        <v>1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567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571</v>
      </c>
      <c r="D33" s="52" t="s">
        <v>570</v>
      </c>
      <c r="E33" s="56" t="s">
        <v>23</v>
      </c>
      <c r="F33" s="50"/>
      <c r="G33" s="106">
        <f>VLOOKUP($A33, Stat!$A$1:$C$501, 2,0)</f>
        <v>15</v>
      </c>
      <c r="H33" s="106">
        <f>VLOOKUP($A33, Stat!$A$1:$C$501, 3,0)</f>
        <v>3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567</v>
      </c>
      <c r="S33" s="52" t="s">
        <v>574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578</v>
      </c>
      <c r="D34" s="52" t="s">
        <v>533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559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578</v>
      </c>
      <c r="D35" s="52" t="s">
        <v>73</v>
      </c>
      <c r="E35" s="56" t="s">
        <v>539</v>
      </c>
      <c r="F35" s="50"/>
      <c r="G35" s="106">
        <f>VLOOKUP($A35, Stat!$A$1:$C$501, 2,0)</f>
        <v>39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559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157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155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552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562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63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545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531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546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578</v>
      </c>
      <c r="D50" s="52" t="s">
        <v>533</v>
      </c>
      <c r="E50" s="56" t="s">
        <v>532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559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578</v>
      </c>
      <c r="D51" s="52" t="s">
        <v>75</v>
      </c>
      <c r="E51" s="56" t="s">
        <v>534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559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578</v>
      </c>
      <c r="D52" s="52" t="s">
        <v>74</v>
      </c>
      <c r="E52" s="56" t="s">
        <v>537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559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24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40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476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160</v>
      </c>
      <c r="H58" s="106">
        <f>VLOOKUP($A58, Stat!$A$1:$C$501, 3,0)</f>
        <v>26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190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24</v>
      </c>
      <c r="H63" s="106">
        <f>VLOOKUP($A63, Stat!$A$1:$C$501, 3,0)</f>
        <v>7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162</v>
      </c>
      <c r="H67" s="106">
        <f>VLOOKUP($A67, Stat!$A$1:$C$501, 3,0)</f>
        <v>34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20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66</v>
      </c>
      <c r="H69" s="106">
        <f>VLOOKUP($A69, Stat!$A$1:$C$501, 3,0)</f>
        <v>20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544</v>
      </c>
      <c r="F75" s="50"/>
      <c r="G75" s="106">
        <f>VLOOKUP($A75, Stat!$A$1:$C$501, 2,0)</f>
        <v>32</v>
      </c>
      <c r="H75" s="106">
        <f>VLOOKUP($A75, Stat!$A$1:$C$501, 3,0)</f>
        <v>18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547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554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82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311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47</v>
      </c>
      <c r="H82" s="106">
        <f>VLOOKUP($A82, Stat!$A$1:$C$501, 3,0)</f>
        <v>10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182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98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150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578</v>
      </c>
      <c r="D89" s="52" t="s">
        <v>533</v>
      </c>
      <c r="E89" s="56" t="s">
        <v>535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559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94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42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563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31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93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140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41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170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530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528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719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48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121</v>
      </c>
      <c r="H186" s="106">
        <f>VLOOKUP($A186, Stat!$A$1:$C$501, 3,0)</f>
        <v>8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175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67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16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17</v>
      </c>
      <c r="H222" s="106">
        <f>VLOOKUP($A222, Stat!$A$1:$C$501, 3,0)</f>
        <v>4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540</v>
      </c>
      <c r="G267" s="106">
        <f>VLOOKUP($A267, Stat!$A$1:$C$501, 2,0)</f>
        <v>285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541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542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543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529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527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551</v>
      </c>
      <c r="F305" s="48">
        <v>1</v>
      </c>
      <c r="G305" s="106">
        <f>VLOOKUP($A305, Stat!$A$1:$C$501, 2,0)</f>
        <v>78</v>
      </c>
      <c r="H305" s="106">
        <f>VLOOKUP($A305, Stat!$A$1:$C$501, 3,0)</f>
        <v>11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123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21</v>
      </c>
      <c r="H317" s="106">
        <f>VLOOKUP($A317, Stat!$A$1:$C$501, 3,0)</f>
        <v>9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6</v>
      </c>
      <c r="H321" s="106">
        <f>VLOOKUP($A321, Stat!$A$1:$C$501, 3,0)</f>
        <v>2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548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60</v>
      </c>
      <c r="Q325" s="52">
        <v>0</v>
      </c>
      <c r="S325" s="52" t="s">
        <v>549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135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550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35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572</v>
      </c>
      <c r="D341" s="52" t="s">
        <v>501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569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572</v>
      </c>
      <c r="D342" s="52" t="s">
        <v>501</v>
      </c>
      <c r="E342" s="52" t="s">
        <v>50</v>
      </c>
      <c r="G342" s="106">
        <f>VLOOKUP($A342, Stat!$A$1:$C$501, 2,0)</f>
        <v>2</v>
      </c>
      <c r="H342" s="106">
        <f>VLOOKUP($A342, Stat!$A$1:$C$501, 3,0)</f>
        <v>0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569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540</v>
      </c>
      <c r="G353" s="106">
        <f>VLOOKUP($A353, Stat!$A$1:$C$501, 2,0)</f>
        <v>334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541</v>
      </c>
      <c r="G354" s="106">
        <f>VLOOKUP($A354, Stat!$A$1:$C$501, 2,0)</f>
        <v>21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542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543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560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561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572</v>
      </c>
      <c r="D359" s="52" t="s">
        <v>566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568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572</v>
      </c>
      <c r="D360" s="52" t="s">
        <v>566</v>
      </c>
      <c r="E360" s="52" t="s">
        <v>50</v>
      </c>
      <c r="G360" s="106">
        <f>VLOOKUP($A360, Stat!$A$1:$C$501, 2,0)</f>
        <v>5</v>
      </c>
      <c r="H360" s="106">
        <f>VLOOKUP($A360, Stat!$A$1:$C$501, 3,0)</f>
        <v>2</v>
      </c>
      <c r="I360" s="48">
        <v>1</v>
      </c>
      <c r="M360" s="49" t="s">
        <v>573</v>
      </c>
      <c r="P360" s="52">
        <v>100</v>
      </c>
      <c r="Q360" s="52">
        <v>0</v>
      </c>
      <c r="R360" s="52" t="s">
        <v>568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572</v>
      </c>
      <c r="D361" s="52" t="s">
        <v>566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568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572</v>
      </c>
      <c r="D362" s="52" t="s">
        <v>500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564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572</v>
      </c>
      <c r="D363" s="52" t="s">
        <v>501</v>
      </c>
      <c r="E363" s="52" t="s">
        <v>23</v>
      </c>
      <c r="G363" s="106">
        <f>VLOOKUP($A363, Stat!$A$1:$C$501, 2,0)</f>
        <v>0</v>
      </c>
      <c r="H363" s="106">
        <f>VLOOKUP($A363, Stat!$A$1:$C$501, 3,0)</f>
        <v>0</v>
      </c>
      <c r="P363" s="52">
        <v>100</v>
      </c>
      <c r="Q363" s="52">
        <v>0</v>
      </c>
      <c r="R363" s="52" t="s">
        <v>569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572</v>
      </c>
      <c r="D364" s="52" t="s">
        <v>565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567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572</v>
      </c>
      <c r="D365" s="52" t="s">
        <v>565</v>
      </c>
      <c r="E365" s="52" t="s">
        <v>50</v>
      </c>
      <c r="G365" s="106">
        <f>VLOOKUP($A365, Stat!$A$1:$C$501, 2,0)</f>
        <v>10</v>
      </c>
      <c r="H365" s="106">
        <f>VLOOKUP($A365, Stat!$A$1:$C$501, 3,0)</f>
        <v>3</v>
      </c>
      <c r="M365" s="48">
        <v>365</v>
      </c>
      <c r="P365" s="52">
        <v>100</v>
      </c>
      <c r="Q365" s="52">
        <v>0</v>
      </c>
      <c r="R365" s="52" t="s">
        <v>567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572</v>
      </c>
      <c r="D366" s="52" t="s">
        <v>565</v>
      </c>
      <c r="E366" s="52" t="s">
        <v>23</v>
      </c>
      <c r="G366" s="106">
        <f>VLOOKUP($A366, Stat!$A$1:$C$501, 2,0)</f>
        <v>5</v>
      </c>
      <c r="H366" s="106">
        <f>VLOOKUP($A366, Stat!$A$1:$C$501, 3,0)</f>
        <v>3</v>
      </c>
      <c r="P366" s="52">
        <v>100</v>
      </c>
      <c r="Q366" s="52">
        <v>0</v>
      </c>
      <c r="R366" s="52" t="s">
        <v>567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572</v>
      </c>
      <c r="D367" s="52" t="s">
        <v>570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567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572</v>
      </c>
      <c r="D368" s="52" t="s">
        <v>570</v>
      </c>
      <c r="E368" s="52" t="s">
        <v>50</v>
      </c>
      <c r="G368" s="106">
        <f>VLOOKUP($A368, Stat!$A$1:$C$501, 2,0)</f>
        <v>5</v>
      </c>
      <c r="H368" s="106">
        <f>VLOOKUP($A368, Stat!$A$1:$C$501, 3,0)</f>
        <v>0</v>
      </c>
      <c r="M368" s="48">
        <v>368</v>
      </c>
      <c r="P368" s="52">
        <v>60</v>
      </c>
      <c r="Q368" s="52">
        <v>0</v>
      </c>
      <c r="R368" s="52" t="s">
        <v>567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572</v>
      </c>
      <c r="D369" s="52" t="s">
        <v>570</v>
      </c>
      <c r="E369" s="52" t="s">
        <v>23</v>
      </c>
      <c r="G369" s="106">
        <f>VLOOKUP($A369, Stat!$A$1:$C$501, 2,0)</f>
        <v>3</v>
      </c>
      <c r="H369" s="106">
        <f>VLOOKUP($A369, Stat!$A$1:$C$501, 3,0)</f>
        <v>1</v>
      </c>
      <c r="P369" s="52">
        <v>100</v>
      </c>
      <c r="Q369" s="52">
        <v>0</v>
      </c>
      <c r="R369" s="52" t="s">
        <v>567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571</v>
      </c>
      <c r="D370" s="52" t="s">
        <v>500</v>
      </c>
      <c r="E370" s="52" t="s">
        <v>49</v>
      </c>
      <c r="G370" s="106">
        <f>VLOOKUP($A370, Stat!$A$1:$C$501, 2,0)</f>
        <v>17</v>
      </c>
      <c r="H370" s="106">
        <f>VLOOKUP($A370, Stat!$A$1:$C$501, 3,0)</f>
        <v>1</v>
      </c>
      <c r="P370" s="52">
        <v>0</v>
      </c>
      <c r="Q370" s="52">
        <v>0</v>
      </c>
      <c r="R370" s="52" t="s">
        <v>564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571</v>
      </c>
      <c r="D371" s="52" t="s">
        <v>500</v>
      </c>
      <c r="E371" s="52" t="s">
        <v>50</v>
      </c>
      <c r="G371" s="106">
        <f>VLOOKUP($A371, Stat!$A$1:$C$501, 2,0)</f>
        <v>21</v>
      </c>
      <c r="H371" s="106">
        <f>VLOOKUP($A371, Stat!$A$1:$C$501, 3,0)</f>
        <v>1</v>
      </c>
      <c r="M371" s="48">
        <v>371</v>
      </c>
      <c r="P371" s="52">
        <v>60</v>
      </c>
      <c r="Q371" s="52">
        <v>0</v>
      </c>
      <c r="R371" s="52" t="s">
        <v>564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571</v>
      </c>
      <c r="D372" s="52" t="s">
        <v>500</v>
      </c>
      <c r="E372" s="52" t="s">
        <v>23</v>
      </c>
      <c r="G372" s="106">
        <f>VLOOKUP($A372, Stat!$A$1:$C$501, 2,0)</f>
        <v>26</v>
      </c>
      <c r="H372" s="106">
        <f>VLOOKUP($A372, Stat!$A$1:$C$501, 3,0)</f>
        <v>2</v>
      </c>
      <c r="P372" s="52">
        <v>100</v>
      </c>
      <c r="Q372" s="52">
        <v>0</v>
      </c>
      <c r="R372" s="52" t="s">
        <v>564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578</v>
      </c>
      <c r="D373" s="52" t="s">
        <v>575</v>
      </c>
      <c r="E373" s="52" t="s">
        <v>576</v>
      </c>
      <c r="P373" s="52">
        <v>0</v>
      </c>
      <c r="Q373" s="52">
        <v>0</v>
      </c>
      <c r="S373" s="52" t="s">
        <v>579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578</v>
      </c>
      <c r="D374" s="52" t="s">
        <v>575</v>
      </c>
      <c r="E374" s="52" t="s">
        <v>577</v>
      </c>
      <c r="P374" s="52">
        <v>0</v>
      </c>
      <c r="Q374" s="52">
        <v>0</v>
      </c>
      <c r="S374" s="52" t="s">
        <v>580</v>
      </c>
      <c r="T374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1" sqref="C1"/>
    </sheetView>
  </sheetViews>
  <sheetFormatPr defaultRowHeight="13.2" x14ac:dyDescent="0.25"/>
  <sheetData>
    <row r="1" spans="1:3" x14ac:dyDescent="0.25">
      <c r="A1" s="105" t="s">
        <v>557</v>
      </c>
      <c r="B1" s="105" t="s">
        <v>555</v>
      </c>
      <c r="C1" s="105" t="s">
        <v>556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8</v>
      </c>
      <c r="C4" s="105">
        <v>1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84</v>
      </c>
      <c r="C8" s="105">
        <v>24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462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18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181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1</v>
      </c>
    </row>
    <row r="31" spans="1:3" x14ac:dyDescent="0.25">
      <c r="A31" s="105">
        <v>29</v>
      </c>
      <c r="B31" s="105">
        <v>310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27</v>
      </c>
      <c r="C33" s="105">
        <v>1</v>
      </c>
    </row>
    <row r="34" spans="1:3" x14ac:dyDescent="0.25">
      <c r="A34" s="105">
        <v>32</v>
      </c>
      <c r="B34" s="105">
        <v>15</v>
      </c>
      <c r="C34" s="105">
        <v>3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39</v>
      </c>
      <c r="C36" s="105">
        <v>5</v>
      </c>
    </row>
    <row r="37" spans="1:3" x14ac:dyDescent="0.25">
      <c r="A37" s="105">
        <v>35</v>
      </c>
      <c r="B37" s="105">
        <v>157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155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63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24</v>
      </c>
      <c r="C56" s="105">
        <v>0</v>
      </c>
    </row>
    <row r="57" spans="1:3" x14ac:dyDescent="0.25">
      <c r="A57" s="105">
        <v>55</v>
      </c>
      <c r="B57" s="105">
        <v>40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476</v>
      </c>
      <c r="C59" s="105">
        <v>1</v>
      </c>
    </row>
    <row r="60" spans="1:3" x14ac:dyDescent="0.25">
      <c r="A60" s="105">
        <v>58</v>
      </c>
      <c r="B60" s="105">
        <v>160</v>
      </c>
      <c r="C60" s="105">
        <v>26</v>
      </c>
    </row>
    <row r="61" spans="1:3" x14ac:dyDescent="0.25">
      <c r="A61" s="105">
        <v>59</v>
      </c>
      <c r="B61" s="105">
        <v>190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24</v>
      </c>
      <c r="C65" s="105">
        <v>7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162</v>
      </c>
      <c r="C69" s="105">
        <v>34</v>
      </c>
    </row>
    <row r="70" spans="1:3" x14ac:dyDescent="0.25">
      <c r="A70" s="105">
        <v>68</v>
      </c>
      <c r="B70" s="105">
        <v>20</v>
      </c>
      <c r="C70" s="105">
        <v>10</v>
      </c>
    </row>
    <row r="71" spans="1:3" x14ac:dyDescent="0.25">
      <c r="A71" s="105">
        <v>69</v>
      </c>
      <c r="B71" s="105">
        <v>66</v>
      </c>
      <c r="C71" s="105">
        <v>20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32</v>
      </c>
      <c r="C77" s="105">
        <v>18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554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82</v>
      </c>
      <c r="C81" s="105">
        <v>0</v>
      </c>
    </row>
    <row r="82" spans="1:3" x14ac:dyDescent="0.25">
      <c r="A82" s="105">
        <v>80</v>
      </c>
      <c r="B82" s="105">
        <v>311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47</v>
      </c>
      <c r="C84" s="105">
        <v>10</v>
      </c>
    </row>
    <row r="85" spans="1:3" x14ac:dyDescent="0.25">
      <c r="A85" s="105">
        <v>83</v>
      </c>
      <c r="B85" s="105">
        <v>182</v>
      </c>
      <c r="C85" s="105">
        <v>5</v>
      </c>
    </row>
    <row r="86" spans="1:3" x14ac:dyDescent="0.25">
      <c r="A86" s="105">
        <v>84</v>
      </c>
      <c r="B86" s="105">
        <v>98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150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94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42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31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93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140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41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170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719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48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121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175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67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16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17</v>
      </c>
      <c r="C225" s="105">
        <v>4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285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78</v>
      </c>
      <c r="C308" s="105">
        <v>11</v>
      </c>
    </row>
    <row r="309" spans="1:3" x14ac:dyDescent="0.25">
      <c r="A309" s="105">
        <v>307</v>
      </c>
      <c r="B309" s="105">
        <v>123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21</v>
      </c>
      <c r="C320" s="105">
        <v>9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6</v>
      </c>
      <c r="C324" s="105">
        <v>2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135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35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2</v>
      </c>
      <c r="C345" s="105">
        <v>0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334</v>
      </c>
      <c r="C356" s="105">
        <v>1</v>
      </c>
    </row>
    <row r="357" spans="1:3" x14ac:dyDescent="0.25">
      <c r="A357" s="105">
        <v>355</v>
      </c>
      <c r="B357" s="105">
        <v>21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5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10</v>
      </c>
      <c r="C368" s="105">
        <v>3</v>
      </c>
    </row>
    <row r="369" spans="1:3" x14ac:dyDescent="0.25">
      <c r="A369" s="105">
        <v>367</v>
      </c>
      <c r="B369" s="105">
        <v>5</v>
      </c>
      <c r="C369" s="105">
        <v>3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5</v>
      </c>
      <c r="C371" s="105">
        <v>0</v>
      </c>
    </row>
    <row r="372" spans="1:3" x14ac:dyDescent="0.25">
      <c r="A372" s="105">
        <v>370</v>
      </c>
      <c r="B372" s="105">
        <v>3</v>
      </c>
      <c r="C372" s="105">
        <v>1</v>
      </c>
    </row>
    <row r="373" spans="1:3" x14ac:dyDescent="0.25">
      <c r="A373" s="105">
        <v>371</v>
      </c>
      <c r="B373" s="105">
        <v>17</v>
      </c>
      <c r="C373" s="105">
        <v>1</v>
      </c>
    </row>
    <row r="374" spans="1:3" x14ac:dyDescent="0.25">
      <c r="A374" s="105">
        <v>372</v>
      </c>
      <c r="B374" s="105">
        <v>21</v>
      </c>
      <c r="C374" s="105">
        <v>1</v>
      </c>
    </row>
    <row r="375" spans="1:3" x14ac:dyDescent="0.25">
      <c r="A375" s="105">
        <v>373</v>
      </c>
      <c r="B375" s="105">
        <v>26</v>
      </c>
      <c r="C375" s="105">
        <v>2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2017-12-05T20:01:20Z</dcterms:modified>
</cp:coreProperties>
</file>