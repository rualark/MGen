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50" i="4" l="1"/>
  <c r="G350" i="4"/>
  <c r="H349" i="4"/>
  <c r="G349" i="4"/>
  <c r="H347" i="4"/>
  <c r="G347" i="4"/>
  <c r="H345" i="4"/>
  <c r="G345" i="4"/>
  <c r="H344" i="4"/>
  <c r="G344" i="4"/>
  <c r="H343" i="4"/>
  <c r="G343" i="4"/>
  <c r="H341" i="4"/>
  <c r="G341" i="4"/>
  <c r="H340" i="4"/>
  <c r="G340" i="4"/>
  <c r="H334" i="4"/>
  <c r="G334" i="4"/>
  <c r="H330" i="4"/>
  <c r="G330" i="4"/>
  <c r="H327" i="4"/>
  <c r="G327" i="4"/>
  <c r="H326" i="4"/>
  <c r="G326" i="4"/>
  <c r="H322" i="4"/>
  <c r="G322" i="4"/>
  <c r="H321" i="4"/>
  <c r="G321" i="4"/>
  <c r="H313" i="4"/>
  <c r="G313" i="4"/>
  <c r="H312" i="4"/>
  <c r="G312" i="4"/>
  <c r="H311" i="4"/>
  <c r="G311" i="4"/>
  <c r="H342" i="4"/>
  <c r="G342" i="4"/>
  <c r="H307" i="4"/>
  <c r="G307" i="4"/>
  <c r="H303" i="4"/>
  <c r="G303" i="4"/>
  <c r="H291" i="4"/>
  <c r="G291" i="4"/>
  <c r="H310" i="4"/>
  <c r="G310" i="4"/>
  <c r="H276" i="4"/>
  <c r="G276" i="4"/>
  <c r="H309" i="4"/>
  <c r="G309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302" i="4"/>
  <c r="G302" i="4"/>
  <c r="H8" i="4"/>
  <c r="G8" i="4"/>
  <c r="H301" i="4"/>
  <c r="G301" i="4"/>
  <c r="H346" i="4"/>
  <c r="G346" i="4"/>
  <c r="H338" i="4"/>
  <c r="G338" i="4"/>
  <c r="H299" i="4"/>
  <c r="G299" i="4"/>
  <c r="H308" i="4"/>
  <c r="G308" i="4"/>
  <c r="H294" i="4"/>
  <c r="G294" i="4"/>
  <c r="H296" i="4"/>
  <c r="G296" i="4"/>
  <c r="H250" i="4"/>
  <c r="G250" i="4"/>
  <c r="H154" i="4"/>
  <c r="G154" i="4"/>
  <c r="H150" i="4"/>
  <c r="G150" i="4"/>
  <c r="H284" i="4"/>
  <c r="G284" i="4"/>
  <c r="H283" i="4"/>
  <c r="G283" i="4"/>
  <c r="H335" i="4"/>
  <c r="G335" i="4"/>
  <c r="H282" i="4"/>
  <c r="G282" i="4"/>
  <c r="H293" i="4"/>
  <c r="G293" i="4"/>
  <c r="H287" i="4"/>
  <c r="G287" i="4"/>
  <c r="H280" i="4"/>
  <c r="G280" i="4"/>
  <c r="H279" i="4"/>
  <c r="G279" i="4"/>
  <c r="H243" i="4"/>
  <c r="G243" i="4"/>
  <c r="H231" i="4"/>
  <c r="G231" i="4"/>
  <c r="H216" i="4"/>
  <c r="G216" i="4"/>
  <c r="H278" i="4"/>
  <c r="G278" i="4"/>
  <c r="H183" i="4"/>
  <c r="G183" i="4"/>
  <c r="H158" i="4"/>
  <c r="G158" i="4"/>
  <c r="H152" i="4"/>
  <c r="G152" i="4"/>
  <c r="H89" i="4"/>
  <c r="G89" i="4"/>
  <c r="H265" i="4"/>
  <c r="G265" i="4"/>
  <c r="H352" i="4"/>
  <c r="G352" i="4"/>
  <c r="H329" i="4"/>
  <c r="G329" i="4"/>
  <c r="H264" i="4"/>
  <c r="G264" i="4"/>
  <c r="H263" i="4"/>
  <c r="G263" i="4"/>
  <c r="H262" i="4"/>
  <c r="G262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261" i="4"/>
  <c r="G261" i="4"/>
  <c r="H260" i="4"/>
  <c r="G260" i="4"/>
  <c r="H339" i="4"/>
  <c r="G339" i="4"/>
  <c r="H320" i="4"/>
  <c r="G320" i="4"/>
  <c r="H275" i="4"/>
  <c r="G275" i="4"/>
  <c r="H259" i="4"/>
  <c r="G259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258" i="4"/>
  <c r="G258" i="4"/>
  <c r="H257" i="4"/>
  <c r="G257" i="4"/>
  <c r="H336" i="4"/>
  <c r="G336" i="4"/>
  <c r="H333" i="4"/>
  <c r="G333" i="4"/>
  <c r="H256" i="4"/>
  <c r="G256" i="4"/>
  <c r="H255" i="4"/>
  <c r="G255" i="4"/>
  <c r="H298" i="4"/>
  <c r="G298" i="4"/>
  <c r="H206" i="4"/>
  <c r="G206" i="4"/>
  <c r="H277" i="4"/>
  <c r="G277" i="4"/>
  <c r="H273" i="4"/>
  <c r="G273" i="4"/>
  <c r="H225" i="4"/>
  <c r="G225" i="4"/>
  <c r="H205" i="4"/>
  <c r="G205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04" i="4"/>
  <c r="G204" i="4"/>
  <c r="H203" i="4"/>
  <c r="G203" i="4"/>
  <c r="H245" i="4"/>
  <c r="G245" i="4"/>
  <c r="H239" i="4"/>
  <c r="G239" i="4"/>
  <c r="H210" i="4"/>
  <c r="G210" i="4"/>
  <c r="H202" i="4"/>
  <c r="G202" i="4"/>
  <c r="H201" i="4"/>
  <c r="G201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197" i="4"/>
  <c r="G197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195" i="4"/>
  <c r="G195" i="4"/>
  <c r="H270" i="4"/>
  <c r="G270" i="4"/>
  <c r="H194" i="4"/>
  <c r="G194" i="4"/>
  <c r="H254" i="4"/>
  <c r="G254" i="4"/>
  <c r="H229" i="4"/>
  <c r="G229" i="4"/>
  <c r="H173" i="4"/>
  <c r="G173" i="4"/>
  <c r="H164" i="4"/>
  <c r="G164" i="4"/>
  <c r="H193" i="4"/>
  <c r="G193" i="4"/>
  <c r="H108" i="4"/>
  <c r="G108" i="4"/>
  <c r="H85" i="4"/>
  <c r="G85" i="4"/>
  <c r="H192" i="4"/>
  <c r="G192" i="4"/>
  <c r="H191" i="4"/>
  <c r="G191" i="4"/>
  <c r="H190" i="4"/>
  <c r="G190" i="4"/>
  <c r="H235" i="4"/>
  <c r="G235" i="4"/>
  <c r="H153" i="4"/>
  <c r="G153" i="4"/>
  <c r="H149" i="4"/>
  <c r="G149" i="4"/>
  <c r="H136" i="4"/>
  <c r="G136" i="4"/>
  <c r="H134" i="4"/>
  <c r="G134" i="4"/>
  <c r="H189" i="4"/>
  <c r="G189" i="4"/>
  <c r="H358" i="4"/>
  <c r="G358" i="4"/>
  <c r="H314" i="4"/>
  <c r="G314" i="4"/>
  <c r="H188" i="4"/>
  <c r="G188" i="4"/>
  <c r="H141" i="4"/>
  <c r="G141" i="4"/>
  <c r="H331" i="4"/>
  <c r="G331" i="4"/>
  <c r="H146" i="4"/>
  <c r="G146" i="4"/>
  <c r="H297" i="4"/>
  <c r="G297" i="4"/>
  <c r="H292" i="4"/>
  <c r="G292" i="4"/>
  <c r="H145" i="4"/>
  <c r="G145" i="4"/>
  <c r="H144" i="4"/>
  <c r="G144" i="4"/>
  <c r="H143" i="4"/>
  <c r="G143" i="4"/>
  <c r="H288" i="4"/>
  <c r="G288" i="4"/>
  <c r="H285" i="4"/>
  <c r="G285" i="4"/>
  <c r="H131" i="4"/>
  <c r="G131" i="4"/>
  <c r="H242" i="4"/>
  <c r="G242" i="4"/>
  <c r="H220" i="4"/>
  <c r="G220" i="4"/>
  <c r="H219" i="4"/>
  <c r="G219" i="4"/>
  <c r="H127" i="4"/>
  <c r="G127" i="4"/>
  <c r="H42" i="4"/>
  <c r="G42" i="4"/>
  <c r="H213" i="4"/>
  <c r="G213" i="4"/>
  <c r="H122" i="4"/>
  <c r="G122" i="4"/>
  <c r="H159" i="4"/>
  <c r="G159" i="4"/>
  <c r="H121" i="4"/>
  <c r="G121" i="4"/>
  <c r="H323" i="4"/>
  <c r="G323" i="4"/>
  <c r="H227" i="4"/>
  <c r="G227" i="4"/>
  <c r="H222" i="4"/>
  <c r="G222" i="4"/>
  <c r="H120" i="4"/>
  <c r="G120" i="4"/>
  <c r="H162" i="4"/>
  <c r="G162" i="4"/>
  <c r="H119" i="4"/>
  <c r="G119" i="4"/>
  <c r="H24" i="4"/>
  <c r="G24" i="4"/>
  <c r="H2" i="4"/>
  <c r="G2" i="4"/>
  <c r="H118" i="4"/>
  <c r="G118" i="4"/>
  <c r="H253" i="4"/>
  <c r="G253" i="4"/>
  <c r="H247" i="4"/>
  <c r="G247" i="4"/>
  <c r="H160" i="4"/>
  <c r="G160" i="4"/>
  <c r="H68" i="4"/>
  <c r="G68" i="4"/>
  <c r="H117" i="4"/>
  <c r="G117" i="4"/>
  <c r="H355" i="4"/>
  <c r="G355" i="4"/>
  <c r="H317" i="4"/>
  <c r="G317" i="4"/>
  <c r="H316" i="4"/>
  <c r="G316" i="4"/>
  <c r="H237" i="4"/>
  <c r="G237" i="4"/>
  <c r="H209" i="4"/>
  <c r="G209" i="4"/>
  <c r="H116" i="4"/>
  <c r="G116" i="4"/>
  <c r="H52" i="4"/>
  <c r="G52" i="4"/>
  <c r="H115" i="4"/>
  <c r="G11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3" i="4"/>
  <c r="G113" i="4"/>
  <c r="H112" i="4"/>
  <c r="G112" i="4"/>
  <c r="H111" i="4"/>
  <c r="G111" i="4"/>
  <c r="H300" i="4"/>
  <c r="G300" i="4"/>
  <c r="H110" i="4"/>
  <c r="G110" i="4"/>
  <c r="H107" i="4"/>
  <c r="G107" i="4"/>
  <c r="H63" i="4"/>
  <c r="G63" i="4"/>
  <c r="H324" i="4"/>
  <c r="G324" i="4"/>
  <c r="H166" i="4"/>
  <c r="G166" i="4"/>
  <c r="H124" i="4"/>
  <c r="G124" i="4"/>
  <c r="H74" i="4"/>
  <c r="G74" i="4"/>
  <c r="H106" i="4"/>
  <c r="G106" i="4"/>
  <c r="H105" i="4"/>
  <c r="G105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103" i="4"/>
  <c r="G103" i="4"/>
  <c r="H102" i="4"/>
  <c r="G102" i="4"/>
  <c r="H246" i="4"/>
  <c r="G246" i="4"/>
  <c r="H140" i="4"/>
  <c r="G140" i="4"/>
  <c r="H41" i="4"/>
  <c r="G41" i="4"/>
  <c r="H38" i="4"/>
  <c r="G38" i="4"/>
  <c r="H20" i="4"/>
  <c r="G20" i="4"/>
  <c r="H3" i="4"/>
  <c r="G3" i="4"/>
  <c r="H101" i="4"/>
  <c r="G101" i="4"/>
  <c r="H241" i="4"/>
  <c r="G241" i="4"/>
  <c r="H130" i="4"/>
  <c r="G130" i="4"/>
  <c r="H100" i="4"/>
  <c r="G100" i="4"/>
  <c r="H99" i="4"/>
  <c r="G99" i="4"/>
  <c r="H97" i="4"/>
  <c r="G97" i="4"/>
  <c r="H96" i="4"/>
  <c r="G96" i="4"/>
  <c r="H95" i="4"/>
  <c r="G95" i="4"/>
  <c r="H165" i="4"/>
  <c r="G165" i="4"/>
  <c r="H62" i="4"/>
  <c r="G62" i="4"/>
  <c r="H184" i="4"/>
  <c r="G184" i="4"/>
  <c r="H94" i="4"/>
  <c r="G94" i="4"/>
  <c r="H75" i="4"/>
  <c r="G75" i="4"/>
  <c r="H328" i="4"/>
  <c r="G328" i="4"/>
  <c r="H178" i="4"/>
  <c r="G178" i="4"/>
  <c r="H123" i="4"/>
  <c r="G123" i="4"/>
  <c r="H93" i="4"/>
  <c r="G93" i="4"/>
  <c r="H181" i="4"/>
  <c r="G181" i="4"/>
  <c r="H92" i="4"/>
  <c r="G92" i="4"/>
  <c r="H289" i="4"/>
  <c r="G289" i="4"/>
  <c r="H88" i="4"/>
  <c r="G88" i="4"/>
  <c r="H18" i="4"/>
  <c r="G18" i="4"/>
  <c r="H11" i="4"/>
  <c r="G11" i="4"/>
  <c r="H133" i="4"/>
  <c r="G133" i="4"/>
  <c r="H79" i="4"/>
  <c r="G79" i="4"/>
  <c r="H271" i="4"/>
  <c r="G271" i="4"/>
  <c r="H228" i="4"/>
  <c r="G228" i="4"/>
  <c r="H129" i="4"/>
  <c r="G129" i="4"/>
  <c r="H17" i="4"/>
  <c r="G17" i="4"/>
  <c r="H304" i="4"/>
  <c r="G304" i="4"/>
  <c r="H77" i="4"/>
  <c r="G77" i="4"/>
  <c r="H73" i="4"/>
  <c r="G73" i="4"/>
  <c r="H72" i="4"/>
  <c r="G72" i="4"/>
  <c r="H348" i="4"/>
  <c r="G348" i="4"/>
  <c r="H35" i="4"/>
  <c r="G35" i="4"/>
  <c r="H70" i="4"/>
  <c r="G70" i="4"/>
  <c r="H281" i="4"/>
  <c r="G281" i="4"/>
  <c r="H59" i="4"/>
  <c r="G59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56" i="4"/>
  <c r="G56" i="4"/>
  <c r="H82" i="4"/>
  <c r="G82" i="4"/>
  <c r="H61" i="4"/>
  <c r="G61" i="4"/>
  <c r="H180" i="4"/>
  <c r="G180" i="4"/>
  <c r="H55" i="4"/>
  <c r="G55" i="4"/>
  <c r="H25" i="4"/>
  <c r="G25" i="4"/>
  <c r="H315" i="4"/>
  <c r="G315" i="4"/>
  <c r="H34" i="4"/>
  <c r="G34" i="4"/>
  <c r="H54" i="4"/>
  <c r="G54" i="4"/>
  <c r="H53" i="4"/>
  <c r="G53" i="4"/>
  <c r="H33" i="4"/>
  <c r="G33" i="4"/>
  <c r="H60" i="4"/>
  <c r="G60" i="4"/>
  <c r="H132" i="4"/>
  <c r="G132" i="4"/>
  <c r="H286" i="4"/>
  <c r="G286" i="4"/>
  <c r="H81" i="4"/>
  <c r="G81" i="4"/>
  <c r="H50" i="4"/>
  <c r="G50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49" i="4"/>
  <c r="G49" i="4"/>
  <c r="H47" i="4"/>
  <c r="G47" i="4"/>
  <c r="H46" i="4"/>
  <c r="G46" i="4"/>
  <c r="H78" i="4"/>
  <c r="G78" i="4"/>
  <c r="H139" i="4"/>
  <c r="G139" i="4"/>
  <c r="H175" i="4"/>
  <c r="G175" i="4"/>
  <c r="H45" i="4"/>
  <c r="G45" i="4"/>
  <c r="H240" i="4"/>
  <c r="G240" i="4"/>
  <c r="H305" i="4"/>
  <c r="G305" i="4"/>
  <c r="H44" i="4"/>
  <c r="G44" i="4"/>
  <c r="H43" i="4"/>
  <c r="G43" i="4"/>
  <c r="H40" i="4"/>
  <c r="G40" i="4"/>
  <c r="H7" i="4"/>
  <c r="G7" i="4"/>
  <c r="H36" i="4"/>
  <c r="G36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2" i="4"/>
  <c r="G32" i="4"/>
  <c r="H31" i="4"/>
  <c r="G31" i="4"/>
  <c r="H30" i="4"/>
  <c r="G30" i="4"/>
  <c r="H86" i="4"/>
  <c r="G86" i="4"/>
  <c r="H98" i="4"/>
  <c r="G98" i="4"/>
  <c r="H39" i="4"/>
  <c r="G39" i="4"/>
  <c r="H29" i="4"/>
  <c r="G29" i="4"/>
  <c r="H58" i="4"/>
  <c r="G58" i="4"/>
  <c r="H67" i="4"/>
  <c r="G67" i="4"/>
  <c r="H27" i="4"/>
  <c r="G27" i="4"/>
  <c r="H26" i="4"/>
  <c r="G26" i="4"/>
  <c r="H15" i="4"/>
  <c r="G15" i="4"/>
  <c r="H22" i="4"/>
  <c r="G22" i="4"/>
  <c r="H83" i="4"/>
  <c r="G83" i="4"/>
  <c r="H19" i="4"/>
  <c r="G19" i="4"/>
  <c r="H6" i="4"/>
  <c r="G6" i="4"/>
  <c r="H267" i="4"/>
  <c r="G267" i="4"/>
  <c r="H5" i="4"/>
  <c r="G5" i="4"/>
  <c r="H80" i="4"/>
  <c r="G80" i="4"/>
  <c r="H353" i="4"/>
  <c r="G353" i="4"/>
  <c r="H224" i="4"/>
  <c r="G224" i="4"/>
  <c r="H9" i="4"/>
  <c r="G9" i="4"/>
  <c r="H57" i="4"/>
  <c r="G57" i="4"/>
  <c r="H4" i="4"/>
  <c r="G4" i="4"/>
  <c r="H168" i="4"/>
  <c r="G168" i="4"/>
  <c r="H356" i="4" l="1"/>
  <c r="G35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10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0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1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G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7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5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5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<sst xmlns="http://schemas.openxmlformats.org/spreadsheetml/2006/main" count="2250" uniqueCount="567">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</sst>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29" activePane="bottomLeft" state="frozen"/>
      <selection activeCell="C37" sqref="C37"/>
      <selection pane="bottomLeft" activeCell="G32" sqref="G3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T358"/>
  <sheetViews>
    <sheetView tabSelected="1" zoomScale="130" zoomScaleNormal="130" workbookViewId="0">
      <pane ySplit="1" topLeftCell="A122" activePane="bottomLeft" state="frozen"/>
      <selection pane="bottomLeft" activeCell="E192" sqref="D192:E192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5.5546875" style="49" customWidth="1"/>
    <col min="8" max="8" width="4.88671875" style="49" customWidth="1"/>
    <col min="9" max="9" width="4.77734375" style="49" bestFit="1" customWidth="1"/>
    <col min="10" max="10" width="3.77734375" style="49" bestFit="1" customWidth="1"/>
    <col min="11" max="11" width="4" style="49" bestFit="1" customWidth="1"/>
    <col min="12" max="12" width="4.109375" style="49" bestFit="1" customWidth="1"/>
    <col min="13" max="13" width="7" style="49" customWidth="1"/>
    <col min="14" max="15" width="4.88671875" style="49" bestFit="1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563</v>
      </c>
      <c r="H1" s="48" t="s">
        <v>564</v>
      </c>
      <c r="I1" s="48" t="s">
        <v>290</v>
      </c>
      <c r="J1" s="48" t="s">
        <v>289</v>
      </c>
      <c r="K1" s="48" t="s">
        <v>291</v>
      </c>
      <c r="L1" s="48" t="s">
        <v>292</v>
      </c>
      <c r="M1" s="48" t="s">
        <v>271</v>
      </c>
      <c r="N1" s="48" t="s">
        <v>293</v>
      </c>
      <c r="O1" s="48" t="s">
        <v>294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hidden="1" customHeight="1" x14ac:dyDescent="0.25">
      <c r="A2" s="53">
        <v>1</v>
      </c>
      <c r="B2" s="53" t="s">
        <v>39</v>
      </c>
      <c r="C2" s="53" t="s">
        <v>86</v>
      </c>
      <c r="D2" s="53" t="s">
        <v>86</v>
      </c>
      <c r="E2" s="57" t="s">
        <v>192</v>
      </c>
      <c r="F2" s="51"/>
      <c r="G2" s="107">
        <f>VLOOKUP($A2, Stat!$A$1:$C$501, 2,0)</f>
        <v>17</v>
      </c>
      <c r="H2" s="107">
        <f>VLOOKUP($A2, Stat!$A$1:$C$501, 3,0)</f>
        <v>1</v>
      </c>
      <c r="I2" s="49">
        <v>1</v>
      </c>
      <c r="M2" s="51"/>
      <c r="N2" s="51"/>
      <c r="O2" s="51"/>
      <c r="P2" s="53">
        <v>0</v>
      </c>
      <c r="Q2" s="53">
        <v>-1</v>
      </c>
      <c r="R2" s="53" t="s">
        <v>173</v>
      </c>
      <c r="T2" s="53">
        <v>1</v>
      </c>
    </row>
    <row r="3" spans="1:20" ht="13.2" hidden="1" customHeight="1" x14ac:dyDescent="0.25">
      <c r="A3" s="53">
        <v>2</v>
      </c>
      <c r="B3" s="53" t="s">
        <v>39</v>
      </c>
      <c r="C3" s="53" t="s">
        <v>16</v>
      </c>
      <c r="D3" s="53" t="s">
        <v>16</v>
      </c>
      <c r="E3" s="57" t="s">
        <v>49</v>
      </c>
      <c r="F3" s="51"/>
      <c r="G3" s="107">
        <f>VLOOKUP($A3, Stat!$A$1:$C$501, 2,0)</f>
        <v>25</v>
      </c>
      <c r="H3" s="107">
        <f>VLOOKUP($A3, Stat!$A$1:$C$501, 3,0)</f>
        <v>1</v>
      </c>
      <c r="I3" s="49">
        <v>1</v>
      </c>
      <c r="M3" s="51"/>
      <c r="N3" s="51"/>
      <c r="O3" s="51"/>
      <c r="P3" s="53">
        <v>40</v>
      </c>
      <c r="Q3" s="53">
        <v>1</v>
      </c>
      <c r="S3" s="53" t="s">
        <v>437</v>
      </c>
      <c r="T3" s="53">
        <v>1</v>
      </c>
    </row>
    <row r="4" spans="1:20" ht="13.2" customHeight="1" x14ac:dyDescent="0.25">
      <c r="A4" s="53">
        <v>77</v>
      </c>
      <c r="B4" s="53" t="s">
        <v>41</v>
      </c>
      <c r="C4" s="53" t="s">
        <v>18</v>
      </c>
      <c r="D4" s="53" t="s">
        <v>97</v>
      </c>
      <c r="E4" s="57" t="s">
        <v>272</v>
      </c>
      <c r="F4" s="50" t="s">
        <v>272</v>
      </c>
      <c r="G4" s="107">
        <f>VLOOKUP($A4, Stat!$A$1:$C$501, 2,0)</f>
        <v>523</v>
      </c>
      <c r="H4" s="107">
        <f>VLOOKUP($A4, Stat!$A$1:$C$501, 3,0)</f>
        <v>0</v>
      </c>
      <c r="I4" s="110"/>
      <c r="M4" s="50"/>
      <c r="N4" s="51"/>
      <c r="O4" s="50" t="s">
        <v>270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29</v>
      </c>
      <c r="B5" s="53" t="s">
        <v>39</v>
      </c>
      <c r="C5" s="53" t="s">
        <v>16</v>
      </c>
      <c r="D5" s="53" t="s">
        <v>16</v>
      </c>
      <c r="E5" s="57" t="s">
        <v>116</v>
      </c>
      <c r="F5" s="51"/>
      <c r="G5" s="107">
        <f>VLOOKUP($A5, Stat!$A$1:$C$501, 2,0)</f>
        <v>282</v>
      </c>
      <c r="H5" s="107">
        <f>VLOOKUP($A5, Stat!$A$1:$C$501, 3,0)</f>
        <v>0</v>
      </c>
      <c r="I5" s="110"/>
      <c r="M5" s="51"/>
      <c r="N5" s="51"/>
      <c r="O5" s="51"/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42</v>
      </c>
      <c r="B6" s="53" t="s">
        <v>39</v>
      </c>
      <c r="C6" s="53" t="s">
        <v>87</v>
      </c>
      <c r="D6" s="53" t="s">
        <v>99</v>
      </c>
      <c r="E6" s="57" t="s">
        <v>3</v>
      </c>
      <c r="F6" s="51"/>
      <c r="G6" s="107">
        <f>VLOOKUP($A6, Stat!$A$1:$C$501, 2,0)</f>
        <v>182</v>
      </c>
      <c r="H6" s="107">
        <f>VLOOKUP($A6, Stat!$A$1:$C$501, 3,0)</f>
        <v>0</v>
      </c>
      <c r="I6" s="110"/>
      <c r="K6" s="49">
        <v>999</v>
      </c>
      <c r="M6" s="51"/>
      <c r="N6" s="51"/>
      <c r="O6" s="51"/>
      <c r="P6" s="53">
        <v>0</v>
      </c>
      <c r="Q6" s="53">
        <v>-1</v>
      </c>
      <c r="R6" s="53" t="s">
        <v>88</v>
      </c>
      <c r="T6" s="53">
        <v>1</v>
      </c>
    </row>
    <row r="7" spans="1:20" ht="13.2" hidden="1" customHeight="1" x14ac:dyDescent="0.25">
      <c r="A7" s="53">
        <v>6</v>
      </c>
      <c r="B7" s="53" t="s">
        <v>39</v>
      </c>
      <c r="C7" s="53" t="s">
        <v>7</v>
      </c>
      <c r="D7" s="53" t="s">
        <v>11</v>
      </c>
      <c r="E7" s="57" t="s">
        <v>12</v>
      </c>
      <c r="F7" s="51"/>
      <c r="G7" s="107">
        <f>VLOOKUP($A7, Stat!$A$1:$C$501, 2,0)</f>
        <v>79</v>
      </c>
      <c r="H7" s="107">
        <f>VLOOKUP($A7, Stat!$A$1:$C$501, 3,0)</f>
        <v>22</v>
      </c>
      <c r="I7" s="49">
        <v>1</v>
      </c>
      <c r="M7" s="51"/>
      <c r="N7" s="51"/>
      <c r="O7" s="51"/>
      <c r="P7" s="53">
        <v>60</v>
      </c>
      <c r="Q7" s="53">
        <v>0</v>
      </c>
      <c r="T7" s="53">
        <v>1</v>
      </c>
    </row>
    <row r="8" spans="1:20" ht="13.2" hidden="1" customHeight="1" x14ac:dyDescent="0.25">
      <c r="A8" s="53">
        <v>7</v>
      </c>
      <c r="B8" s="53" t="s">
        <v>39</v>
      </c>
      <c r="C8" s="53" t="s">
        <v>17</v>
      </c>
      <c r="D8" s="53" t="s">
        <v>17</v>
      </c>
      <c r="E8" s="57" t="s">
        <v>189</v>
      </c>
      <c r="F8" s="51"/>
      <c r="G8" s="107">
        <f>VLOOKUP($A8, Stat!$A$1:$C$501, 2,0)</f>
        <v>1</v>
      </c>
      <c r="H8" s="107">
        <f>VLOOKUP($A8, Stat!$A$1:$C$501, 3,0)</f>
        <v>1</v>
      </c>
      <c r="I8" s="110"/>
      <c r="M8" s="51"/>
      <c r="N8" s="51"/>
      <c r="O8" s="51"/>
      <c r="P8" s="53">
        <v>70</v>
      </c>
      <c r="Q8" s="53">
        <v>0</v>
      </c>
      <c r="T8" s="53">
        <v>1</v>
      </c>
    </row>
    <row r="9" spans="1:20" ht="13.2" hidden="1" customHeight="1" x14ac:dyDescent="0.25">
      <c r="A9" s="53">
        <v>8</v>
      </c>
      <c r="B9" s="53" t="s">
        <v>39</v>
      </c>
      <c r="C9" s="53" t="s">
        <v>83</v>
      </c>
      <c r="D9" s="53" t="s">
        <v>6</v>
      </c>
      <c r="E9" s="57" t="s">
        <v>90</v>
      </c>
      <c r="F9" s="51"/>
      <c r="G9" s="107">
        <f>VLOOKUP($A9, Stat!$A$1:$C$501, 2,0)</f>
        <v>429</v>
      </c>
      <c r="H9" s="107">
        <f>VLOOKUP($A9, Stat!$A$1:$C$501, 3,0)</f>
        <v>1</v>
      </c>
      <c r="I9" s="110"/>
      <c r="M9" s="51"/>
      <c r="N9" s="51"/>
      <c r="O9" s="51"/>
      <c r="P9" s="53">
        <v>0</v>
      </c>
      <c r="Q9" s="53">
        <v>-1</v>
      </c>
      <c r="T9" s="53">
        <v>1</v>
      </c>
    </row>
    <row r="10" spans="1:20" ht="13.2" hidden="1" customHeight="1" x14ac:dyDescent="0.25">
      <c r="A10" s="53">
        <v>9</v>
      </c>
      <c r="B10" s="53" t="s">
        <v>39</v>
      </c>
      <c r="C10" s="53" t="s">
        <v>15</v>
      </c>
      <c r="D10" s="53" t="s">
        <v>429</v>
      </c>
      <c r="E10" s="57" t="s">
        <v>432</v>
      </c>
      <c r="F10" s="51"/>
      <c r="G10" s="107">
        <f>VLOOKUP($A10, Stat!$A$1:$C$501, 2,0)</f>
        <v>122</v>
      </c>
      <c r="H10" s="107">
        <f>VLOOKUP($A10, Stat!$A$1:$C$501, 3,0)</f>
        <v>36</v>
      </c>
      <c r="I10" s="49">
        <v>1</v>
      </c>
      <c r="K10" s="49">
        <v>999</v>
      </c>
      <c r="M10" s="51"/>
      <c r="N10" s="51"/>
      <c r="O10" s="51"/>
      <c r="P10" s="53">
        <v>60</v>
      </c>
      <c r="Q10" s="53">
        <v>0</v>
      </c>
      <c r="S10" s="53" t="s">
        <v>434</v>
      </c>
      <c r="T10" s="53">
        <v>1</v>
      </c>
    </row>
    <row r="11" spans="1:20" ht="13.2" hidden="1" customHeight="1" x14ac:dyDescent="0.25">
      <c r="A11" s="53">
        <v>10</v>
      </c>
      <c r="B11" s="53" t="s">
        <v>39</v>
      </c>
      <c r="C11" s="53" t="s">
        <v>15</v>
      </c>
      <c r="D11" s="53" t="s">
        <v>168</v>
      </c>
      <c r="E11" s="57" t="s">
        <v>377</v>
      </c>
      <c r="F11" s="51"/>
      <c r="G11" s="107">
        <f>VLOOKUP($A11, Stat!$A$1:$C$501, 2,0)</f>
        <v>35</v>
      </c>
      <c r="H11" s="107">
        <f>VLOOKUP($A11, Stat!$A$1:$C$501, 3,0)</f>
        <v>1</v>
      </c>
      <c r="J11" s="49">
        <v>1</v>
      </c>
      <c r="M11" s="51"/>
      <c r="N11" s="51"/>
      <c r="O11" s="51"/>
      <c r="P11" s="53">
        <v>0</v>
      </c>
      <c r="Q11" s="53">
        <v>-1</v>
      </c>
      <c r="R11" s="53" t="s">
        <v>78</v>
      </c>
      <c r="S11" s="53" t="s">
        <v>446</v>
      </c>
      <c r="T11" s="53">
        <v>1</v>
      </c>
    </row>
    <row r="12" spans="1:20" ht="13.2" hidden="1" customHeight="1" x14ac:dyDescent="0.25">
      <c r="A12" s="53">
        <v>11</v>
      </c>
      <c r="B12" s="53" t="s">
        <v>39</v>
      </c>
      <c r="C12" s="53" t="s">
        <v>17</v>
      </c>
      <c r="D12" s="53" t="s">
        <v>17</v>
      </c>
      <c r="E12" s="57" t="s">
        <v>190</v>
      </c>
      <c r="F12" s="51"/>
      <c r="G12" s="107">
        <f>VLOOKUP($A12, Stat!$A$1:$C$501, 2,0)</f>
        <v>112</v>
      </c>
      <c r="H12" s="107">
        <f>VLOOKUP($A12, Stat!$A$1:$C$501, 3,0)</f>
        <v>2</v>
      </c>
      <c r="L12" s="49">
        <v>1</v>
      </c>
      <c r="M12" s="51"/>
      <c r="N12" s="51"/>
      <c r="O12" s="51"/>
      <c r="P12" s="53">
        <v>70</v>
      </c>
      <c r="Q12" s="53">
        <v>0</v>
      </c>
      <c r="S12" s="53" t="s">
        <v>233</v>
      </c>
      <c r="T12" s="53">
        <v>1</v>
      </c>
    </row>
    <row r="13" spans="1:20" ht="13.2" hidden="1" customHeight="1" x14ac:dyDescent="0.25">
      <c r="A13" s="53">
        <v>12</v>
      </c>
      <c r="B13" s="53" t="s">
        <v>39</v>
      </c>
      <c r="C13" s="53" t="s">
        <v>15</v>
      </c>
      <c r="D13" s="53" t="s">
        <v>56</v>
      </c>
      <c r="E13" s="57" t="s">
        <v>392</v>
      </c>
      <c r="F13" s="51"/>
      <c r="G13" s="107">
        <f>VLOOKUP($A13, Stat!$A$1:$C$501, 2,0)</f>
        <v>98</v>
      </c>
      <c r="H13" s="107">
        <f>VLOOKUP($A13, Stat!$A$1:$C$501, 3,0)</f>
        <v>34</v>
      </c>
      <c r="I13" s="49">
        <v>1</v>
      </c>
      <c r="M13" s="50" t="s">
        <v>273</v>
      </c>
      <c r="N13" s="51"/>
      <c r="O13" s="51"/>
      <c r="P13" s="53">
        <v>100</v>
      </c>
      <c r="Q13" s="53">
        <v>0</v>
      </c>
      <c r="S13" s="53" t="s">
        <v>394</v>
      </c>
      <c r="T13" s="53">
        <v>1</v>
      </c>
    </row>
    <row r="14" spans="1:20" ht="13.2" hidden="1" customHeight="1" x14ac:dyDescent="0.25">
      <c r="A14" s="53">
        <v>13</v>
      </c>
      <c r="B14" s="53" t="s">
        <v>41</v>
      </c>
      <c r="C14" s="53" t="s">
        <v>531</v>
      </c>
      <c r="D14" s="53" t="s">
        <v>74</v>
      </c>
      <c r="E14" s="57" t="s">
        <v>541</v>
      </c>
      <c r="F14" s="51"/>
      <c r="G14" s="107">
        <f>VLOOKUP($A14, Stat!$A$1:$C$501, 2,0)</f>
        <v>57</v>
      </c>
      <c r="H14" s="107">
        <f>VLOOKUP($A14, Stat!$A$1:$C$501, 3,0)</f>
        <v>8</v>
      </c>
      <c r="I14" s="49">
        <v>1</v>
      </c>
      <c r="M14" s="51"/>
      <c r="N14" s="51"/>
      <c r="O14" s="51"/>
      <c r="P14" s="53">
        <v>30</v>
      </c>
      <c r="Q14" s="53">
        <v>0</v>
      </c>
      <c r="T14" s="53">
        <v>1</v>
      </c>
    </row>
    <row r="15" spans="1:20" ht="13.2" hidden="1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G15" s="107">
        <f>VLOOKUP($A15, Stat!$A$1:$C$501, 2,0)</f>
        <v>176</v>
      </c>
      <c r="H15" s="107">
        <f>VLOOKUP($A15, Stat!$A$1:$C$501, 3,0)</f>
        <v>25</v>
      </c>
      <c r="I15" s="49">
        <v>1</v>
      </c>
      <c r="M15" s="51"/>
      <c r="N15" s="51"/>
      <c r="O15" s="51"/>
      <c r="P15" s="53">
        <v>0</v>
      </c>
      <c r="Q15" s="53">
        <v>-1</v>
      </c>
      <c r="T15" s="53">
        <v>1</v>
      </c>
    </row>
    <row r="16" spans="1:20" ht="13.2" hidden="1" customHeight="1" x14ac:dyDescent="0.25">
      <c r="A16" s="53">
        <v>15</v>
      </c>
      <c r="B16" s="53" t="s">
        <v>39</v>
      </c>
      <c r="C16" s="53" t="s">
        <v>17</v>
      </c>
      <c r="D16" s="53" t="s">
        <v>364</v>
      </c>
      <c r="E16" s="57" t="s">
        <v>160</v>
      </c>
      <c r="F16" s="50"/>
      <c r="G16" s="107">
        <f>VLOOKUP($A16, Stat!$A$1:$C$501, 2,0)</f>
        <v>84</v>
      </c>
      <c r="H16" s="107">
        <f>VLOOKUP($A16, Stat!$A$1:$C$501, 3,0)</f>
        <v>2</v>
      </c>
      <c r="J16" s="49">
        <v>1</v>
      </c>
      <c r="L16" s="49">
        <v>1</v>
      </c>
      <c r="M16" s="51"/>
      <c r="N16" s="50"/>
      <c r="O16" s="50"/>
      <c r="P16" s="53">
        <v>0</v>
      </c>
      <c r="Q16" s="53">
        <v>0</v>
      </c>
      <c r="S16" s="53" t="s">
        <v>511</v>
      </c>
      <c r="T16" s="53">
        <v>1</v>
      </c>
    </row>
    <row r="17" spans="1:20" ht="13.2" hidden="1" customHeight="1" x14ac:dyDescent="0.25">
      <c r="A17" s="53">
        <v>16</v>
      </c>
      <c r="B17" s="53" t="s">
        <v>39</v>
      </c>
      <c r="C17" s="53" t="s">
        <v>17</v>
      </c>
      <c r="D17" s="53" t="s">
        <v>364</v>
      </c>
      <c r="E17" s="57" t="s">
        <v>159</v>
      </c>
      <c r="F17" s="50"/>
      <c r="G17" s="107">
        <f>VLOOKUP($A17, Stat!$A$1:$C$501, 2,0)</f>
        <v>37</v>
      </c>
      <c r="H17" s="107">
        <f>VLOOKUP($A17, Stat!$A$1:$C$501, 3,0)</f>
        <v>1</v>
      </c>
      <c r="J17" s="49">
        <v>1</v>
      </c>
      <c r="M17" s="51"/>
      <c r="N17" s="50"/>
      <c r="O17" s="50"/>
      <c r="P17" s="53">
        <v>0</v>
      </c>
      <c r="Q17" s="53">
        <v>0</v>
      </c>
      <c r="S17" s="53" t="s">
        <v>511</v>
      </c>
      <c r="T17" s="53">
        <v>1</v>
      </c>
    </row>
    <row r="18" spans="1:20" ht="13.2" hidden="1" customHeight="1" x14ac:dyDescent="0.25">
      <c r="A18" s="53">
        <v>17</v>
      </c>
      <c r="B18" s="53" t="s">
        <v>41</v>
      </c>
      <c r="C18" s="53" t="s">
        <v>18</v>
      </c>
      <c r="D18" s="53" t="s">
        <v>19</v>
      </c>
      <c r="E18" s="57" t="s">
        <v>53</v>
      </c>
      <c r="F18" s="50" t="s">
        <v>272</v>
      </c>
      <c r="G18" s="107">
        <f>VLOOKUP($A18, Stat!$A$1:$C$501, 2,0)</f>
        <v>32</v>
      </c>
      <c r="H18" s="107">
        <f>VLOOKUP($A18, Stat!$A$1:$C$501, 3,0)</f>
        <v>1</v>
      </c>
      <c r="J18" s="49">
        <v>1</v>
      </c>
      <c r="M18" s="50"/>
      <c r="N18" s="51"/>
      <c r="O18" s="50" t="s">
        <v>270</v>
      </c>
      <c r="P18" s="53">
        <v>20</v>
      </c>
      <c r="Q18" s="53">
        <v>0</v>
      </c>
      <c r="T18" s="53">
        <v>1</v>
      </c>
    </row>
    <row r="19" spans="1:20" ht="13.2" customHeight="1" x14ac:dyDescent="0.25">
      <c r="A19" s="53">
        <v>59</v>
      </c>
      <c r="B19" s="53" t="s">
        <v>39</v>
      </c>
      <c r="C19" s="53" t="s">
        <v>83</v>
      </c>
      <c r="D19" s="53" t="s">
        <v>128</v>
      </c>
      <c r="E19" s="57" t="s">
        <v>3</v>
      </c>
      <c r="F19" s="51"/>
      <c r="G19" s="107">
        <f>VLOOKUP($A19, Stat!$A$1:$C$501, 2,0)</f>
        <v>179</v>
      </c>
      <c r="H19" s="107">
        <f>VLOOKUP($A19, Stat!$A$1:$C$501, 3,0)</f>
        <v>0</v>
      </c>
      <c r="I19" s="110"/>
      <c r="M19" s="51"/>
      <c r="N19" s="51"/>
      <c r="O19" s="51"/>
      <c r="P19" s="53">
        <v>0</v>
      </c>
      <c r="Q19" s="53">
        <v>1</v>
      </c>
      <c r="T19" s="53">
        <v>1</v>
      </c>
    </row>
    <row r="20" spans="1:20" ht="13.2" hidden="1" customHeight="1" x14ac:dyDescent="0.25">
      <c r="A20" s="53">
        <v>19</v>
      </c>
      <c r="B20" s="53" t="s">
        <v>39</v>
      </c>
      <c r="C20" s="53" t="s">
        <v>16</v>
      </c>
      <c r="D20" s="53" t="s">
        <v>502</v>
      </c>
      <c r="E20" s="57" t="s">
        <v>50</v>
      </c>
      <c r="F20" s="51"/>
      <c r="G20" s="107">
        <f>VLOOKUP($A20, Stat!$A$1:$C$501, 2,0)</f>
        <v>26</v>
      </c>
      <c r="H20" s="107">
        <f>VLOOKUP($A20, Stat!$A$1:$C$501, 3,0)</f>
        <v>2</v>
      </c>
      <c r="I20" s="49">
        <v>1</v>
      </c>
      <c r="M20" s="50" t="s">
        <v>438</v>
      </c>
      <c r="N20" s="51"/>
      <c r="O20" s="51"/>
      <c r="P20" s="53">
        <v>60</v>
      </c>
      <c r="Q20" s="53">
        <v>0</v>
      </c>
      <c r="R20" s="53" t="s">
        <v>504</v>
      </c>
      <c r="T20" s="53">
        <v>1</v>
      </c>
    </row>
    <row r="21" spans="1:20" ht="13.2" hidden="1" customHeight="1" x14ac:dyDescent="0.25">
      <c r="A21" s="53">
        <v>20</v>
      </c>
      <c r="B21" s="53" t="s">
        <v>41</v>
      </c>
      <c r="C21" s="53" t="s">
        <v>18</v>
      </c>
      <c r="D21" s="53" t="s">
        <v>20</v>
      </c>
      <c r="E21" s="57" t="s">
        <v>421</v>
      </c>
      <c r="F21" s="50" t="s">
        <v>272</v>
      </c>
      <c r="G21" s="107">
        <f>VLOOKUP($A21, Stat!$A$1:$C$501, 2,0)</f>
        <v>97</v>
      </c>
      <c r="H21" s="107">
        <f>VLOOKUP($A21, Stat!$A$1:$C$501, 3,0)</f>
        <v>1</v>
      </c>
      <c r="J21" s="49">
        <v>1</v>
      </c>
      <c r="M21" s="50"/>
      <c r="N21" s="51"/>
      <c r="O21" s="50" t="s">
        <v>270</v>
      </c>
      <c r="P21" s="53">
        <v>20</v>
      </c>
      <c r="Q21" s="53">
        <v>0</v>
      </c>
      <c r="T21" s="53">
        <v>1</v>
      </c>
    </row>
    <row r="22" spans="1:20" ht="13.2" hidden="1" customHeight="1" x14ac:dyDescent="0.25">
      <c r="A22" s="53">
        <v>21</v>
      </c>
      <c r="B22" s="53" t="s">
        <v>39</v>
      </c>
      <c r="C22" s="53" t="s">
        <v>15</v>
      </c>
      <c r="D22" s="53" t="s">
        <v>56</v>
      </c>
      <c r="E22" s="57" t="s">
        <v>145</v>
      </c>
      <c r="F22" s="51"/>
      <c r="G22" s="107">
        <f>VLOOKUP($A22, Stat!$A$1:$C$501, 2,0)</f>
        <v>176</v>
      </c>
      <c r="H22" s="107">
        <f>VLOOKUP($A22, Stat!$A$1:$C$501, 3,0)</f>
        <v>1</v>
      </c>
      <c r="I22" s="110"/>
      <c r="L22" s="49">
        <v>1</v>
      </c>
      <c r="M22" s="51"/>
      <c r="N22" s="51"/>
      <c r="O22" s="51"/>
      <c r="P22" s="53">
        <v>60</v>
      </c>
      <c r="Q22" s="53">
        <v>-1</v>
      </c>
      <c r="S22" s="53" t="s">
        <v>385</v>
      </c>
      <c r="T22" s="53">
        <v>1</v>
      </c>
    </row>
    <row r="23" spans="1:20" ht="13.2" hidden="1" customHeight="1" x14ac:dyDescent="0.25">
      <c r="A23" s="53">
        <v>22</v>
      </c>
      <c r="B23" s="53" t="s">
        <v>39</v>
      </c>
      <c r="C23" s="53" t="s">
        <v>83</v>
      </c>
      <c r="D23" s="53" t="s">
        <v>6</v>
      </c>
      <c r="E23" s="57" t="s">
        <v>89</v>
      </c>
      <c r="F23" s="51"/>
      <c r="G23" s="107">
        <f>VLOOKUP($A23, Stat!$A$1:$C$501, 2,0)</f>
        <v>23</v>
      </c>
      <c r="H23" s="107">
        <f>VLOOKUP($A23, Stat!$A$1:$C$501, 3,0)</f>
        <v>11</v>
      </c>
      <c r="I23" s="49">
        <v>1</v>
      </c>
      <c r="M23" s="51"/>
      <c r="N23" s="51"/>
      <c r="O23" s="51"/>
      <c r="P23" s="53">
        <v>30</v>
      </c>
      <c r="Q23" s="53">
        <v>-1</v>
      </c>
      <c r="T23" s="53">
        <v>1</v>
      </c>
    </row>
    <row r="24" spans="1:20" ht="13.2" hidden="1" customHeight="1" x14ac:dyDescent="0.25">
      <c r="A24" s="53">
        <v>23</v>
      </c>
      <c r="B24" s="53" t="s">
        <v>41</v>
      </c>
      <c r="C24" s="53" t="s">
        <v>18</v>
      </c>
      <c r="D24" s="53" t="s">
        <v>97</v>
      </c>
      <c r="E24" s="57" t="s">
        <v>115</v>
      </c>
      <c r="F24" s="50" t="s">
        <v>272</v>
      </c>
      <c r="G24" s="107">
        <f>VLOOKUP($A24, Stat!$A$1:$C$501, 2,0)</f>
        <v>16</v>
      </c>
      <c r="H24" s="107">
        <f>VLOOKUP($A24, Stat!$A$1:$C$501, 3,0)</f>
        <v>1</v>
      </c>
      <c r="I24" s="109"/>
      <c r="M24" s="50"/>
      <c r="N24" s="51"/>
      <c r="O24" s="50" t="s">
        <v>270</v>
      </c>
      <c r="P24" s="53">
        <v>20</v>
      </c>
      <c r="Q24" s="53">
        <v>0</v>
      </c>
      <c r="T24" s="53">
        <v>1</v>
      </c>
    </row>
    <row r="25" spans="1:20" ht="13.2" hidden="1" customHeight="1" x14ac:dyDescent="0.25">
      <c r="A25" s="53">
        <v>24</v>
      </c>
      <c r="B25" s="53" t="s">
        <v>41</v>
      </c>
      <c r="C25" s="53" t="s">
        <v>64</v>
      </c>
      <c r="D25" s="53" t="s">
        <v>92</v>
      </c>
      <c r="E25" s="57" t="s">
        <v>93</v>
      </c>
      <c r="F25" s="51"/>
      <c r="G25" s="107">
        <f>VLOOKUP($A25, Stat!$A$1:$C$501, 2,0)</f>
        <v>46</v>
      </c>
      <c r="H25" s="107">
        <f>VLOOKUP($A25, Stat!$A$1:$C$501, 3,0)</f>
        <v>6</v>
      </c>
      <c r="I25" s="49">
        <v>1</v>
      </c>
      <c r="M25" s="51"/>
      <c r="N25" s="51"/>
      <c r="O25" s="51"/>
      <c r="P25" s="53">
        <v>60</v>
      </c>
      <c r="Q25" s="53">
        <v>0</v>
      </c>
      <c r="T25" s="53">
        <v>1</v>
      </c>
    </row>
    <row r="26" spans="1:20" ht="13.2" customHeight="1" x14ac:dyDescent="0.25">
      <c r="A26" s="53">
        <v>193</v>
      </c>
      <c r="B26" s="53" t="s">
        <v>39</v>
      </c>
      <c r="C26" s="53" t="s">
        <v>15</v>
      </c>
      <c r="D26" s="53" t="s">
        <v>56</v>
      </c>
      <c r="E26" s="57" t="s">
        <v>143</v>
      </c>
      <c r="F26" s="51"/>
      <c r="G26" s="107">
        <f>VLOOKUP($A26, Stat!$A$1:$C$501, 2,0)</f>
        <v>164</v>
      </c>
      <c r="H26" s="107">
        <f>VLOOKUP($A26, Stat!$A$1:$C$501, 3,0)</f>
        <v>0</v>
      </c>
      <c r="I26" s="110"/>
      <c r="L26" s="49">
        <v>1</v>
      </c>
      <c r="M26" s="51"/>
      <c r="N26" s="51"/>
      <c r="O26" s="51"/>
      <c r="P26" s="53">
        <v>0</v>
      </c>
      <c r="Q26" s="53">
        <v>1</v>
      </c>
      <c r="S26" s="53" t="s">
        <v>385</v>
      </c>
      <c r="T26" s="53">
        <v>1</v>
      </c>
    </row>
    <row r="27" spans="1:20" ht="13.2" customHeight="1" x14ac:dyDescent="0.25">
      <c r="A27" s="53">
        <v>132</v>
      </c>
      <c r="B27" s="53" t="s">
        <v>39</v>
      </c>
      <c r="C27" s="53" t="s">
        <v>83</v>
      </c>
      <c r="D27" s="53" t="s">
        <v>127</v>
      </c>
      <c r="E27" s="57" t="s">
        <v>3</v>
      </c>
      <c r="F27" s="51"/>
      <c r="G27" s="107">
        <f>VLOOKUP($A27, Stat!$A$1:$C$501, 2,0)</f>
        <v>166</v>
      </c>
      <c r="H27" s="107">
        <f>VLOOKUP($A27, Stat!$A$1:$C$501, 3,0)</f>
        <v>0</v>
      </c>
      <c r="I27" s="110"/>
      <c r="M27" s="51"/>
      <c r="N27" s="51"/>
      <c r="O27" s="51"/>
      <c r="P27" s="53">
        <v>0</v>
      </c>
      <c r="Q27" s="53">
        <v>-1</v>
      </c>
      <c r="T27" s="53">
        <v>1</v>
      </c>
    </row>
    <row r="28" spans="1:20" ht="13.2" hidden="1" customHeight="1" x14ac:dyDescent="0.25">
      <c r="A28" s="53">
        <v>27</v>
      </c>
      <c r="B28" s="53" t="s">
        <v>39</v>
      </c>
      <c r="C28" s="53" t="s">
        <v>7</v>
      </c>
      <c r="D28" s="53" t="s">
        <v>10</v>
      </c>
      <c r="E28" s="57" t="s">
        <v>54</v>
      </c>
      <c r="F28" s="51"/>
      <c r="G28" s="107">
        <f>VLOOKUP($A28, Stat!$A$1:$C$501, 2,0)</f>
        <v>52</v>
      </c>
      <c r="H28" s="107">
        <f>VLOOKUP($A28, Stat!$A$1:$C$501, 3,0)</f>
        <v>1</v>
      </c>
      <c r="M28" s="51"/>
      <c r="N28" s="51"/>
      <c r="O28" s="51"/>
      <c r="P28" s="53">
        <v>100</v>
      </c>
      <c r="Q28" s="53">
        <v>0</v>
      </c>
      <c r="T28" s="53">
        <v>1</v>
      </c>
    </row>
    <row r="29" spans="1:20" ht="13.2" customHeight="1" x14ac:dyDescent="0.25">
      <c r="A29" s="53">
        <v>35</v>
      </c>
      <c r="B29" s="53" t="s">
        <v>41</v>
      </c>
      <c r="C29" s="53" t="s">
        <v>64</v>
      </c>
      <c r="D29" s="53" t="s">
        <v>95</v>
      </c>
      <c r="E29" s="57" t="s">
        <v>136</v>
      </c>
      <c r="F29" s="51"/>
      <c r="G29" s="107">
        <f>VLOOKUP($A29, Stat!$A$1:$C$501, 2,0)</f>
        <v>144</v>
      </c>
      <c r="H29" s="107">
        <f>VLOOKUP($A29, Stat!$A$1:$C$501, 3,0)</f>
        <v>0</v>
      </c>
      <c r="I29" s="110"/>
      <c r="K29" s="49">
        <v>999</v>
      </c>
      <c r="M29" s="51"/>
      <c r="N29" s="51"/>
      <c r="O29" s="51"/>
      <c r="P29" s="53">
        <v>0</v>
      </c>
      <c r="Q29" s="53">
        <v>-1</v>
      </c>
      <c r="T29" s="53">
        <v>1</v>
      </c>
    </row>
    <row r="30" spans="1:20" ht="13.2" customHeight="1" x14ac:dyDescent="0.25">
      <c r="A30" s="53">
        <v>128</v>
      </c>
      <c r="B30" s="53" t="s">
        <v>39</v>
      </c>
      <c r="C30" s="53" t="s">
        <v>83</v>
      </c>
      <c r="D30" s="53" t="s">
        <v>124</v>
      </c>
      <c r="E30" s="57" t="s">
        <v>3</v>
      </c>
      <c r="F30" s="51"/>
      <c r="G30" s="107">
        <f>VLOOKUP($A30, Stat!$A$1:$C$501, 2,0)</f>
        <v>126</v>
      </c>
      <c r="H30" s="107">
        <f>VLOOKUP($A30, Stat!$A$1:$C$501, 3,0)</f>
        <v>0</v>
      </c>
      <c r="I30" s="110"/>
      <c r="M30" s="51"/>
      <c r="N30" s="51"/>
      <c r="O30" s="51"/>
      <c r="P30" s="53">
        <v>0</v>
      </c>
      <c r="Q30" s="53">
        <v>-1</v>
      </c>
      <c r="T30" s="53">
        <v>1</v>
      </c>
    </row>
    <row r="31" spans="1:20" ht="13.2" customHeight="1" x14ac:dyDescent="0.25">
      <c r="A31" s="53">
        <v>112</v>
      </c>
      <c r="B31" s="53" t="s">
        <v>39</v>
      </c>
      <c r="C31" s="53" t="s">
        <v>86</v>
      </c>
      <c r="D31" s="53" t="s">
        <v>2</v>
      </c>
      <c r="E31" s="57" t="s">
        <v>3</v>
      </c>
      <c r="F31" s="50"/>
      <c r="G31" s="107">
        <f>VLOOKUP($A31, Stat!$A$1:$C$501, 2,0)</f>
        <v>129</v>
      </c>
      <c r="H31" s="107">
        <f>VLOOKUP($A31, Stat!$A$1:$C$501, 3,0)</f>
        <v>0</v>
      </c>
      <c r="I31" s="110"/>
      <c r="M31" s="50" t="s">
        <v>398</v>
      </c>
      <c r="N31" s="51"/>
      <c r="O31" s="50"/>
      <c r="P31" s="53">
        <v>0</v>
      </c>
      <c r="Q31" s="53">
        <v>-1</v>
      </c>
      <c r="T31" s="53">
        <v>1</v>
      </c>
    </row>
    <row r="32" spans="1:20" ht="13.2" customHeight="1" x14ac:dyDescent="0.25">
      <c r="A32" s="53">
        <v>335</v>
      </c>
      <c r="B32" s="53" t="s">
        <v>41</v>
      </c>
      <c r="C32" s="53" t="s">
        <v>64</v>
      </c>
      <c r="D32" s="53" t="s">
        <v>428</v>
      </c>
      <c r="E32" s="53" t="s">
        <v>485</v>
      </c>
      <c r="F32" s="49">
        <v>1</v>
      </c>
      <c r="G32" s="107">
        <f>VLOOKUP($A32, Stat!$A$1:$C$501, 2,0)</f>
        <v>113</v>
      </c>
      <c r="H32" s="107">
        <f>VLOOKUP($A32, Stat!$A$1:$C$501, 3,0)</f>
        <v>0</v>
      </c>
      <c r="I32" s="110"/>
      <c r="P32" s="53">
        <v>30</v>
      </c>
      <c r="Q32" s="53">
        <v>0</v>
      </c>
      <c r="S32" s="53" t="s">
        <v>486</v>
      </c>
      <c r="T32" s="53">
        <v>1</v>
      </c>
    </row>
    <row r="33" spans="1:20" ht="13.2" hidden="1" customHeight="1" x14ac:dyDescent="0.25">
      <c r="A33" s="53">
        <v>32</v>
      </c>
      <c r="B33" s="53" t="s">
        <v>39</v>
      </c>
      <c r="C33" s="53" t="s">
        <v>16</v>
      </c>
      <c r="D33" s="53" t="s">
        <v>16</v>
      </c>
      <c r="E33" s="57" t="s">
        <v>23</v>
      </c>
      <c r="F33" s="51"/>
      <c r="G33" s="107">
        <f>VLOOKUP($A33, Stat!$A$1:$C$501, 2,0)</f>
        <v>47</v>
      </c>
      <c r="H33" s="107">
        <f>VLOOKUP($A33, Stat!$A$1:$C$501, 3,0)</f>
        <v>2</v>
      </c>
      <c r="I33" s="49">
        <v>1</v>
      </c>
      <c r="M33" s="51"/>
      <c r="N33" s="51"/>
      <c r="O33" s="51"/>
      <c r="P33" s="53">
        <v>100</v>
      </c>
      <c r="Q33" s="53">
        <v>-1</v>
      </c>
      <c r="T33" s="53">
        <v>1</v>
      </c>
    </row>
    <row r="34" spans="1:20" ht="13.2" hidden="1" customHeight="1" x14ac:dyDescent="0.25">
      <c r="A34" s="53">
        <v>33</v>
      </c>
      <c r="B34" s="53" t="s">
        <v>41</v>
      </c>
      <c r="C34" s="53" t="s">
        <v>531</v>
      </c>
      <c r="D34" s="53" t="s">
        <v>538</v>
      </c>
      <c r="E34" s="57" t="s">
        <v>297</v>
      </c>
      <c r="F34" s="51"/>
      <c r="G34" s="107">
        <f>VLOOKUP($A34, Stat!$A$1:$C$501, 2,0)</f>
        <v>50</v>
      </c>
      <c r="H34" s="107">
        <f>VLOOKUP($A34, Stat!$A$1:$C$501, 3,0)</f>
        <v>3</v>
      </c>
      <c r="I34" s="49">
        <v>1</v>
      </c>
      <c r="M34" s="51"/>
      <c r="N34" s="51"/>
      <c r="O34" s="51"/>
      <c r="P34" s="53">
        <v>100</v>
      </c>
      <c r="Q34" s="53">
        <v>0</v>
      </c>
      <c r="T34" s="53">
        <v>1</v>
      </c>
    </row>
    <row r="35" spans="1:20" ht="13.2" hidden="1" customHeight="1" x14ac:dyDescent="0.25">
      <c r="A35" s="53">
        <v>34</v>
      </c>
      <c r="B35" s="53" t="s">
        <v>41</v>
      </c>
      <c r="C35" s="53" t="s">
        <v>531</v>
      </c>
      <c r="D35" s="53" t="s">
        <v>73</v>
      </c>
      <c r="E35" s="57" t="s">
        <v>544</v>
      </c>
      <c r="F35" s="51"/>
      <c r="G35" s="107">
        <f>VLOOKUP($A35, Stat!$A$1:$C$501, 2,0)</f>
        <v>39</v>
      </c>
      <c r="H35" s="107">
        <f>VLOOKUP($A35, Stat!$A$1:$C$501, 3,0)</f>
        <v>2</v>
      </c>
      <c r="I35" s="49">
        <v>1</v>
      </c>
      <c r="M35" s="51"/>
      <c r="N35" s="51"/>
      <c r="O35" s="51"/>
      <c r="P35" s="53">
        <v>0</v>
      </c>
      <c r="Q35" s="53">
        <v>-1</v>
      </c>
      <c r="T35" s="53">
        <v>1</v>
      </c>
    </row>
    <row r="36" spans="1:20" ht="13.2" customHeight="1" x14ac:dyDescent="0.25">
      <c r="A36" s="53">
        <v>120</v>
      </c>
      <c r="B36" s="53" t="s">
        <v>39</v>
      </c>
      <c r="C36" s="53" t="s">
        <v>87</v>
      </c>
      <c r="D36" s="53" t="s">
        <v>98</v>
      </c>
      <c r="E36" s="57" t="s">
        <v>3</v>
      </c>
      <c r="F36" s="51"/>
      <c r="G36" s="107">
        <f>VLOOKUP($A36, Stat!$A$1:$C$501, 2,0)</f>
        <v>83</v>
      </c>
      <c r="H36" s="107">
        <f>VLOOKUP($A36, Stat!$A$1:$C$501, 3,0)</f>
        <v>0</v>
      </c>
      <c r="K36" s="49">
        <v>999</v>
      </c>
      <c r="M36" s="50"/>
      <c r="N36" s="51"/>
      <c r="O36" s="51"/>
      <c r="P36" s="53">
        <v>0</v>
      </c>
      <c r="Q36" s="53">
        <v>-1</v>
      </c>
      <c r="T36" s="53">
        <v>1</v>
      </c>
    </row>
    <row r="37" spans="1:20" ht="13.2" hidden="1" customHeight="1" x14ac:dyDescent="0.25">
      <c r="A37" s="53">
        <v>36</v>
      </c>
      <c r="B37" s="53" t="s">
        <v>39</v>
      </c>
      <c r="C37" s="53" t="s">
        <v>15</v>
      </c>
      <c r="D37" s="53" t="s">
        <v>24</v>
      </c>
      <c r="E37" s="57" t="s">
        <v>382</v>
      </c>
      <c r="F37" s="51"/>
      <c r="G37" s="107">
        <f>VLOOKUP($A37, Stat!$A$1:$C$501, 2,0)</f>
        <v>46</v>
      </c>
      <c r="H37" s="107">
        <f>VLOOKUP($A37, Stat!$A$1:$C$501, 3,0)</f>
        <v>1</v>
      </c>
      <c r="J37" s="49">
        <v>1</v>
      </c>
      <c r="M37" s="51"/>
      <c r="N37" s="51"/>
      <c r="O37" s="51"/>
      <c r="P37" s="53">
        <v>60</v>
      </c>
      <c r="Q37" s="53">
        <v>0</v>
      </c>
      <c r="S37" s="53" t="s">
        <v>231</v>
      </c>
      <c r="T37" s="53">
        <v>1</v>
      </c>
    </row>
    <row r="38" spans="1:20" ht="13.2" hidden="1" customHeight="1" x14ac:dyDescent="0.25">
      <c r="A38" s="53">
        <v>37</v>
      </c>
      <c r="B38" s="53" t="s">
        <v>39</v>
      </c>
      <c r="C38" s="53" t="s">
        <v>17</v>
      </c>
      <c r="D38" s="53" t="s">
        <v>17</v>
      </c>
      <c r="E38" s="57" t="s">
        <v>388</v>
      </c>
      <c r="F38" s="51"/>
      <c r="G38" s="107">
        <f>VLOOKUP($A38, Stat!$A$1:$C$501, 2,0)</f>
        <v>27</v>
      </c>
      <c r="H38" s="107">
        <f>VLOOKUP($A38, Stat!$A$1:$C$501, 3,0)</f>
        <v>1</v>
      </c>
      <c r="M38" s="51"/>
      <c r="N38" s="51"/>
      <c r="O38" s="51"/>
      <c r="P38" s="53">
        <v>70</v>
      </c>
      <c r="Q38" s="53">
        <v>0</v>
      </c>
      <c r="T38" s="53">
        <v>1</v>
      </c>
    </row>
    <row r="39" spans="1:20" ht="13.2" hidden="1" customHeight="1" x14ac:dyDescent="0.25">
      <c r="A39" s="53">
        <v>38</v>
      </c>
      <c r="B39" s="53" t="s">
        <v>39</v>
      </c>
      <c r="C39" s="53" t="s">
        <v>17</v>
      </c>
      <c r="D39" s="53" t="s">
        <v>17</v>
      </c>
      <c r="E39" s="57" t="s">
        <v>153</v>
      </c>
      <c r="F39" s="51"/>
      <c r="G39" s="107">
        <f>VLOOKUP($A39, Stat!$A$1:$C$501, 2,0)</f>
        <v>140</v>
      </c>
      <c r="H39" s="107">
        <f>VLOOKUP($A39, Stat!$A$1:$C$501, 3,0)</f>
        <v>3</v>
      </c>
      <c r="I39" s="110"/>
      <c r="M39" s="51"/>
      <c r="N39" s="51"/>
      <c r="O39" s="51"/>
      <c r="P39" s="53">
        <v>0</v>
      </c>
      <c r="Q39" s="53">
        <v>0</v>
      </c>
      <c r="S39" s="53" t="s">
        <v>422</v>
      </c>
      <c r="T39" s="53">
        <v>1</v>
      </c>
    </row>
    <row r="40" spans="1:20" ht="13.2" customHeight="1" x14ac:dyDescent="0.25">
      <c r="A40" s="53">
        <v>79</v>
      </c>
      <c r="B40" s="53" t="s">
        <v>39</v>
      </c>
      <c r="C40" s="53" t="s">
        <v>15</v>
      </c>
      <c r="D40" s="53" t="s">
        <v>56</v>
      </c>
      <c r="E40" s="57" t="s">
        <v>146</v>
      </c>
      <c r="F40" s="51"/>
      <c r="G40" s="107">
        <f>VLOOKUP($A40, Stat!$A$1:$C$501, 2,0)</f>
        <v>76</v>
      </c>
      <c r="H40" s="107">
        <f>VLOOKUP($A40, Stat!$A$1:$C$501, 3,0)</f>
        <v>0</v>
      </c>
      <c r="L40" s="49">
        <v>1</v>
      </c>
      <c r="M40" s="51"/>
      <c r="N40" s="51"/>
      <c r="O40" s="51"/>
      <c r="P40" s="53">
        <v>30</v>
      </c>
      <c r="Q40" s="53">
        <v>-1</v>
      </c>
      <c r="S40" s="53" t="s">
        <v>385</v>
      </c>
      <c r="T40" s="53">
        <v>1</v>
      </c>
    </row>
    <row r="41" spans="1:20" ht="13.2" hidden="1" customHeight="1" x14ac:dyDescent="0.25">
      <c r="A41" s="53">
        <v>40</v>
      </c>
      <c r="B41" s="53" t="s">
        <v>41</v>
      </c>
      <c r="C41" s="53" t="s">
        <v>18</v>
      </c>
      <c r="D41" s="53" t="s">
        <v>402</v>
      </c>
      <c r="E41" s="53" t="s">
        <v>52</v>
      </c>
      <c r="F41" s="49">
        <v>1</v>
      </c>
      <c r="G41" s="107">
        <f>VLOOKUP($A41, Stat!$A$1:$C$501, 2,0)</f>
        <v>25</v>
      </c>
      <c r="H41" s="107">
        <f>VLOOKUP($A41, Stat!$A$1:$C$501, 3,0)</f>
        <v>0</v>
      </c>
      <c r="P41" s="53">
        <v>70</v>
      </c>
      <c r="Q41" s="53">
        <v>0</v>
      </c>
      <c r="S41" s="53" t="s">
        <v>557</v>
      </c>
      <c r="T41" s="53">
        <v>1</v>
      </c>
    </row>
    <row r="42" spans="1:20" ht="13.2" hidden="1" customHeight="1" x14ac:dyDescent="0.25">
      <c r="A42" s="53">
        <v>41</v>
      </c>
      <c r="B42" s="53" t="s">
        <v>41</v>
      </c>
      <c r="C42" s="53" t="s">
        <v>208</v>
      </c>
      <c r="D42" s="53" t="s">
        <v>558</v>
      </c>
      <c r="E42" s="53" t="s">
        <v>52</v>
      </c>
      <c r="G42" s="107">
        <f>VLOOKUP($A42, Stat!$A$1:$C$501, 2,0)</f>
        <v>15</v>
      </c>
      <c r="H42" s="107">
        <f>VLOOKUP($A42, Stat!$A$1:$C$501, 3,0)</f>
        <v>12</v>
      </c>
      <c r="I42" s="49">
        <v>1</v>
      </c>
      <c r="P42" s="53">
        <v>60</v>
      </c>
      <c r="Q42" s="53">
        <v>0</v>
      </c>
      <c r="S42" s="53" t="s">
        <v>559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G43" s="107">
        <f>VLOOKUP($A43, Stat!$A$1:$C$501, 2,0)</f>
        <v>77</v>
      </c>
      <c r="H43" s="107">
        <f>VLOOKUP($A43, Stat!$A$1:$C$501, 3,0)</f>
        <v>0</v>
      </c>
      <c r="M43" s="51"/>
      <c r="N43" s="51"/>
      <c r="O43" s="51"/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G44" s="107">
        <f>VLOOKUP($A44, Stat!$A$1:$C$501, 2,0)</f>
        <v>73</v>
      </c>
      <c r="H44" s="107">
        <f>VLOOKUP($A44, Stat!$A$1:$C$501, 3,0)</f>
        <v>0</v>
      </c>
      <c r="K44" s="49">
        <v>999</v>
      </c>
      <c r="M44" s="51"/>
      <c r="N44" s="51"/>
      <c r="O44" s="51"/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108</v>
      </c>
      <c r="B45" s="53" t="s">
        <v>39</v>
      </c>
      <c r="C45" s="53" t="s">
        <v>83</v>
      </c>
      <c r="D45" s="53" t="s">
        <v>126</v>
      </c>
      <c r="E45" s="57" t="s">
        <v>3</v>
      </c>
      <c r="F45" s="51"/>
      <c r="G45" s="107">
        <f>VLOOKUP($A45, Stat!$A$1:$C$501, 2,0)</f>
        <v>68</v>
      </c>
      <c r="H45" s="107">
        <f>VLOOKUP($A45, Stat!$A$1:$C$501, 3,0)</f>
        <v>0</v>
      </c>
      <c r="I45" s="110"/>
      <c r="M45" s="50" t="s">
        <v>264</v>
      </c>
      <c r="N45" s="51"/>
      <c r="O45" s="51"/>
      <c r="P45" s="53">
        <v>0</v>
      </c>
      <c r="Q45" s="53">
        <v>-1</v>
      </c>
      <c r="T45" s="53">
        <v>1</v>
      </c>
    </row>
    <row r="46" spans="1:20" ht="13.2" customHeight="1" x14ac:dyDescent="0.25">
      <c r="A46" s="53">
        <v>102</v>
      </c>
      <c r="B46" s="53" t="s">
        <v>39</v>
      </c>
      <c r="C46" s="53" t="s">
        <v>87</v>
      </c>
      <c r="D46" s="53" t="s">
        <v>82</v>
      </c>
      <c r="E46" s="57" t="s">
        <v>5</v>
      </c>
      <c r="F46" s="51"/>
      <c r="G46" s="107">
        <f>VLOOKUP($A46, Stat!$A$1:$C$501, 2,0)</f>
        <v>63</v>
      </c>
      <c r="H46" s="107">
        <f>VLOOKUP($A46, Stat!$A$1:$C$501, 3,0)</f>
        <v>0</v>
      </c>
      <c r="M46" s="51"/>
      <c r="N46" s="51"/>
      <c r="O46" s="51"/>
      <c r="P46" s="53">
        <v>40</v>
      </c>
      <c r="Q46" s="53">
        <v>-1</v>
      </c>
      <c r="R46" s="53" t="s">
        <v>439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G47" s="107">
        <f>VLOOKUP($A47, Stat!$A$1:$C$501, 2,0)</f>
        <v>64</v>
      </c>
      <c r="H47" s="107">
        <f>VLOOKUP($A47, Stat!$A$1:$C$501, 3,0)</f>
        <v>0</v>
      </c>
      <c r="K47" s="49">
        <v>999</v>
      </c>
      <c r="M47" s="51"/>
      <c r="N47" s="51"/>
      <c r="O47" s="51"/>
      <c r="P47" s="53">
        <v>40</v>
      </c>
      <c r="Q47" s="53">
        <v>-1</v>
      </c>
      <c r="R47" s="53" t="s">
        <v>88</v>
      </c>
      <c r="T47" s="53">
        <v>1</v>
      </c>
    </row>
    <row r="48" spans="1:20" ht="13.2" hidden="1" customHeight="1" x14ac:dyDescent="0.25">
      <c r="A48" s="53">
        <v>47</v>
      </c>
      <c r="B48" s="53" t="s">
        <v>41</v>
      </c>
      <c r="C48" s="53" t="s">
        <v>64</v>
      </c>
      <c r="D48" s="53" t="s">
        <v>428</v>
      </c>
      <c r="E48" s="57" t="s">
        <v>550</v>
      </c>
      <c r="F48" s="51"/>
      <c r="G48" s="107">
        <f>VLOOKUP($A48, Stat!$A$1:$C$501, 2,0)</f>
        <v>88</v>
      </c>
      <c r="H48" s="107">
        <f>VLOOKUP($A48, Stat!$A$1:$C$501, 3,0)</f>
        <v>3</v>
      </c>
      <c r="M48" s="51"/>
      <c r="N48" s="51"/>
      <c r="O48" s="51"/>
      <c r="P48" s="53">
        <v>30</v>
      </c>
      <c r="Q48" s="53">
        <v>0</v>
      </c>
      <c r="S48" s="53" t="s">
        <v>426</v>
      </c>
      <c r="T48" s="53">
        <v>1</v>
      </c>
    </row>
    <row r="49" spans="1:20" ht="13.2" customHeight="1" x14ac:dyDescent="0.25">
      <c r="A49" s="53">
        <v>204</v>
      </c>
      <c r="B49" s="53" t="s">
        <v>39</v>
      </c>
      <c r="C49" s="53" t="s">
        <v>86</v>
      </c>
      <c r="D49" s="53" t="s">
        <v>191</v>
      </c>
      <c r="E49" s="57" t="s">
        <v>3</v>
      </c>
      <c r="F49" s="51"/>
      <c r="G49" s="107">
        <f>VLOOKUP($A49, Stat!$A$1:$C$501, 2,0)</f>
        <v>62</v>
      </c>
      <c r="H49" s="107">
        <f>VLOOKUP($A49, Stat!$A$1:$C$501, 3,0)</f>
        <v>0</v>
      </c>
      <c r="M49" s="51"/>
      <c r="N49" s="51"/>
      <c r="O49" s="51"/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46</v>
      </c>
      <c r="B50" s="53" t="s">
        <v>41</v>
      </c>
      <c r="C50" s="53" t="s">
        <v>64</v>
      </c>
      <c r="D50" s="53" t="s">
        <v>95</v>
      </c>
      <c r="E50" s="57" t="s">
        <v>135</v>
      </c>
      <c r="F50" s="51"/>
      <c r="G50" s="107">
        <f>VLOOKUP($A50, Stat!$A$1:$C$501, 2,0)</f>
        <v>55</v>
      </c>
      <c r="H50" s="107">
        <f>VLOOKUP($A50, Stat!$A$1:$C$501, 3,0)</f>
        <v>0</v>
      </c>
      <c r="M50" s="51"/>
      <c r="N50" s="51"/>
      <c r="O50" s="51"/>
      <c r="P50" s="53">
        <v>60</v>
      </c>
      <c r="Q50" s="53">
        <v>-1</v>
      </c>
      <c r="T50" s="53">
        <v>1</v>
      </c>
    </row>
    <row r="51" spans="1:20" ht="13.2" hidden="1" customHeight="1" x14ac:dyDescent="0.25">
      <c r="A51" s="53">
        <v>50</v>
      </c>
      <c r="B51" s="53" t="s">
        <v>41</v>
      </c>
      <c r="C51" s="53" t="s">
        <v>531</v>
      </c>
      <c r="D51" s="53" t="s">
        <v>75</v>
      </c>
      <c r="E51" s="57" t="s">
        <v>539</v>
      </c>
      <c r="F51" s="51"/>
      <c r="G51" s="107">
        <f>VLOOKUP($A51, Stat!$A$1:$C$501, 2,0)</f>
        <v>24</v>
      </c>
      <c r="H51" s="107">
        <f>VLOOKUP($A51, Stat!$A$1:$C$501, 3,0)</f>
        <v>1</v>
      </c>
      <c r="I51" s="49">
        <v>1</v>
      </c>
      <c r="M51" s="51"/>
      <c r="N51" s="51"/>
      <c r="O51" s="51"/>
      <c r="P51" s="53">
        <v>100</v>
      </c>
      <c r="Q51" s="53">
        <v>0</v>
      </c>
      <c r="T51" s="53">
        <v>1</v>
      </c>
    </row>
    <row r="52" spans="1:20" ht="13.2" hidden="1" customHeight="1" x14ac:dyDescent="0.25">
      <c r="A52" s="53">
        <v>51</v>
      </c>
      <c r="B52" s="53" t="s">
        <v>41</v>
      </c>
      <c r="C52" s="53" t="s">
        <v>531</v>
      </c>
      <c r="D52" s="53" t="s">
        <v>74</v>
      </c>
      <c r="E52" s="57" t="s">
        <v>542</v>
      </c>
      <c r="F52" s="51"/>
      <c r="G52" s="107">
        <f>VLOOKUP($A52, Stat!$A$1:$C$501, 2,0)</f>
        <v>19</v>
      </c>
      <c r="H52" s="107">
        <f>VLOOKUP($A52, Stat!$A$1:$C$501, 3,0)</f>
        <v>2</v>
      </c>
      <c r="I52" s="49">
        <v>1</v>
      </c>
      <c r="M52" s="51"/>
      <c r="N52" s="51"/>
      <c r="O52" s="51"/>
      <c r="P52" s="53">
        <v>30</v>
      </c>
      <c r="Q52" s="53">
        <v>-1</v>
      </c>
      <c r="T52" s="53">
        <v>1</v>
      </c>
    </row>
    <row r="53" spans="1:20" ht="13.2" customHeight="1" x14ac:dyDescent="0.25">
      <c r="A53" s="53">
        <v>121</v>
      </c>
      <c r="B53" s="53" t="s">
        <v>39</v>
      </c>
      <c r="C53" s="53" t="s">
        <v>87</v>
      </c>
      <c r="D53" s="53" t="s">
        <v>98</v>
      </c>
      <c r="E53" s="57" t="s">
        <v>4</v>
      </c>
      <c r="F53" s="51"/>
      <c r="G53" s="107">
        <f>VLOOKUP($A53, Stat!$A$1:$C$501, 2,0)</f>
        <v>50</v>
      </c>
      <c r="H53" s="107">
        <f>VLOOKUP($A53, Stat!$A$1:$C$501, 3,0)</f>
        <v>0</v>
      </c>
      <c r="K53" s="49">
        <v>999</v>
      </c>
      <c r="M53" s="50"/>
      <c r="N53" s="51"/>
      <c r="O53" s="51"/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31</v>
      </c>
      <c r="B54" s="53" t="s">
        <v>39</v>
      </c>
      <c r="C54" s="53" t="s">
        <v>16</v>
      </c>
      <c r="D54" s="53" t="s">
        <v>16</v>
      </c>
      <c r="E54" s="57" t="s">
        <v>50</v>
      </c>
      <c r="F54" s="51"/>
      <c r="G54" s="107">
        <f>VLOOKUP($A54, Stat!$A$1:$C$501, 2,0)</f>
        <v>44</v>
      </c>
      <c r="H54" s="107">
        <f>VLOOKUP($A54, Stat!$A$1:$C$501, 3,0)</f>
        <v>0</v>
      </c>
      <c r="M54" s="50" t="s">
        <v>314</v>
      </c>
      <c r="N54" s="51"/>
      <c r="O54" s="51"/>
      <c r="P54" s="53">
        <v>100</v>
      </c>
      <c r="Q54" s="53">
        <v>0</v>
      </c>
      <c r="T54" s="53">
        <v>1</v>
      </c>
    </row>
    <row r="55" spans="1:20" ht="13.2" customHeight="1" x14ac:dyDescent="0.25">
      <c r="A55" s="53">
        <v>145</v>
      </c>
      <c r="B55" s="53" t="s">
        <v>39</v>
      </c>
      <c r="C55" s="53" t="s">
        <v>87</v>
      </c>
      <c r="D55" s="53" t="s">
        <v>397</v>
      </c>
      <c r="E55" s="57" t="s">
        <v>4</v>
      </c>
      <c r="F55" s="51"/>
      <c r="G55" s="107">
        <f>VLOOKUP($A55, Stat!$A$1:$C$501, 2,0)</f>
        <v>46</v>
      </c>
      <c r="H55" s="107">
        <f>VLOOKUP($A55, Stat!$A$1:$C$501, 3,0)</f>
        <v>0</v>
      </c>
      <c r="M55" s="51"/>
      <c r="N55" s="51"/>
      <c r="O55" s="51"/>
      <c r="P55" s="53">
        <v>0</v>
      </c>
      <c r="Q55" s="53">
        <v>-1</v>
      </c>
      <c r="R55" s="53" t="s">
        <v>440</v>
      </c>
      <c r="T55" s="53">
        <v>1</v>
      </c>
    </row>
    <row r="56" spans="1:20" ht="13.2" customHeight="1" x14ac:dyDescent="0.25">
      <c r="A56" s="53">
        <v>117</v>
      </c>
      <c r="B56" s="53" t="s">
        <v>39</v>
      </c>
      <c r="C56" s="53" t="s">
        <v>86</v>
      </c>
      <c r="D56" s="53" t="s">
        <v>171</v>
      </c>
      <c r="E56" s="57" t="s">
        <v>4</v>
      </c>
      <c r="F56" s="51"/>
      <c r="G56" s="107">
        <f>VLOOKUP($A56, Stat!$A$1:$C$501, 2,0)</f>
        <v>45</v>
      </c>
      <c r="H56" s="107">
        <f>VLOOKUP($A56, Stat!$A$1:$C$501, 3,0)</f>
        <v>0</v>
      </c>
      <c r="M56" s="50" t="s">
        <v>399</v>
      </c>
      <c r="N56" s="51"/>
      <c r="O56" s="51"/>
      <c r="P56" s="53">
        <v>0</v>
      </c>
      <c r="Q56" s="53">
        <v>-1</v>
      </c>
      <c r="R56" s="53" t="s">
        <v>172</v>
      </c>
      <c r="T56" s="53">
        <v>1</v>
      </c>
    </row>
    <row r="57" spans="1:20" ht="13.2" hidden="1" customHeight="1" x14ac:dyDescent="0.25">
      <c r="A57" s="53">
        <v>57</v>
      </c>
      <c r="B57" s="53" t="s">
        <v>41</v>
      </c>
      <c r="C57" s="53" t="s">
        <v>18</v>
      </c>
      <c r="D57" s="53" t="s">
        <v>97</v>
      </c>
      <c r="E57" s="57" t="s">
        <v>314</v>
      </c>
      <c r="F57" s="50" t="s">
        <v>272</v>
      </c>
      <c r="G57" s="107">
        <f>VLOOKUP($A57, Stat!$A$1:$C$501, 2,0)</f>
        <v>430</v>
      </c>
      <c r="H57" s="107">
        <f>VLOOKUP($A57, Stat!$A$1:$C$501, 3,0)</f>
        <v>1</v>
      </c>
      <c r="I57" s="110"/>
      <c r="M57" s="50"/>
      <c r="N57" s="51"/>
      <c r="O57" s="50" t="s">
        <v>270</v>
      </c>
      <c r="P57" s="53">
        <v>0</v>
      </c>
      <c r="Q57" s="53">
        <v>-1</v>
      </c>
      <c r="T57" s="53">
        <v>1</v>
      </c>
    </row>
    <row r="58" spans="1:20" ht="13.2" hidden="1" customHeight="1" x14ac:dyDescent="0.25">
      <c r="A58" s="53">
        <v>58</v>
      </c>
      <c r="B58" s="53" t="s">
        <v>39</v>
      </c>
      <c r="C58" s="53" t="s">
        <v>83</v>
      </c>
      <c r="D58" s="53" t="s">
        <v>6</v>
      </c>
      <c r="E58" s="57" t="s">
        <v>25</v>
      </c>
      <c r="F58" s="51"/>
      <c r="G58" s="107">
        <f>VLOOKUP($A58, Stat!$A$1:$C$501, 2,0)</f>
        <v>150</v>
      </c>
      <c r="H58" s="107">
        <f>VLOOKUP($A58, Stat!$A$1:$C$501, 3,0)</f>
        <v>12</v>
      </c>
      <c r="I58" s="49">
        <v>1</v>
      </c>
      <c r="M58" s="51"/>
      <c r="N58" s="51"/>
      <c r="O58" s="51"/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53</v>
      </c>
      <c r="B59" s="53" t="s">
        <v>39</v>
      </c>
      <c r="C59" s="53" t="s">
        <v>87</v>
      </c>
      <c r="D59" s="53" t="s">
        <v>85</v>
      </c>
      <c r="E59" s="57" t="s">
        <v>3</v>
      </c>
      <c r="F59" s="51"/>
      <c r="G59" s="107">
        <f>VLOOKUP($A59, Stat!$A$1:$C$501, 2,0)</f>
        <v>35</v>
      </c>
      <c r="H59" s="107">
        <f>VLOOKUP($A59, Stat!$A$1:$C$501, 3,0)</f>
        <v>0</v>
      </c>
      <c r="M59" s="51"/>
      <c r="N59" s="51"/>
      <c r="O59" s="51"/>
      <c r="P59" s="53">
        <v>0</v>
      </c>
      <c r="Q59" s="53">
        <v>-1</v>
      </c>
      <c r="T59" s="53">
        <v>1</v>
      </c>
    </row>
    <row r="60" spans="1:20" ht="13.2" hidden="1" customHeight="1" x14ac:dyDescent="0.25">
      <c r="A60" s="53">
        <v>60</v>
      </c>
      <c r="B60" s="53" t="s">
        <v>39</v>
      </c>
      <c r="C60" s="53" t="s">
        <v>83</v>
      </c>
      <c r="D60" s="53" t="s">
        <v>128</v>
      </c>
      <c r="E60" s="57" t="s">
        <v>4</v>
      </c>
      <c r="F60" s="51"/>
      <c r="G60" s="107">
        <f>VLOOKUP($A60, Stat!$A$1:$C$501, 2,0)</f>
        <v>49</v>
      </c>
      <c r="H60" s="107">
        <f>VLOOKUP($A60, Stat!$A$1:$C$501, 3,0)</f>
        <v>1</v>
      </c>
      <c r="I60" s="110"/>
      <c r="M60" s="51"/>
      <c r="N60" s="51"/>
      <c r="O60" s="51"/>
      <c r="P60" s="53">
        <v>0</v>
      </c>
      <c r="Q60" s="53">
        <v>1</v>
      </c>
      <c r="T60" s="53">
        <v>1</v>
      </c>
    </row>
    <row r="61" spans="1:20" ht="13.2" hidden="1" customHeight="1" x14ac:dyDescent="0.25">
      <c r="A61" s="53">
        <v>61</v>
      </c>
      <c r="B61" s="53" t="s">
        <v>39</v>
      </c>
      <c r="C61" s="53" t="s">
        <v>83</v>
      </c>
      <c r="D61" s="53" t="s">
        <v>128</v>
      </c>
      <c r="E61" s="57" t="s">
        <v>5</v>
      </c>
      <c r="F61" s="51"/>
      <c r="G61" s="107">
        <f>VLOOKUP($A61, Stat!$A$1:$C$501, 2,0)</f>
        <v>44</v>
      </c>
      <c r="H61" s="107">
        <f>VLOOKUP($A61, Stat!$A$1:$C$501, 3,0)</f>
        <v>2</v>
      </c>
      <c r="I61" s="110"/>
      <c r="M61" s="50"/>
      <c r="N61" s="51"/>
      <c r="O61" s="51"/>
      <c r="P61" s="53">
        <v>40</v>
      </c>
      <c r="Q61" s="53">
        <v>1</v>
      </c>
      <c r="T61" s="53">
        <v>1</v>
      </c>
    </row>
    <row r="62" spans="1:20" ht="13.2" hidden="1" customHeight="1" x14ac:dyDescent="0.25">
      <c r="A62" s="53">
        <v>62</v>
      </c>
      <c r="B62" s="53" t="s">
        <v>39</v>
      </c>
      <c r="C62" s="53" t="s">
        <v>83</v>
      </c>
      <c r="D62" s="53" t="s">
        <v>128</v>
      </c>
      <c r="E62" s="57" t="s">
        <v>51</v>
      </c>
      <c r="F62" s="51"/>
      <c r="G62" s="107">
        <f>VLOOKUP($A62, Stat!$A$1:$C$501, 2,0)</f>
        <v>30</v>
      </c>
      <c r="H62" s="107">
        <f>VLOOKUP($A62, Stat!$A$1:$C$501, 3,0)</f>
        <v>3</v>
      </c>
      <c r="I62" s="110"/>
      <c r="M62" s="51"/>
      <c r="N62" s="51"/>
      <c r="O62" s="51"/>
      <c r="P62" s="53">
        <v>100</v>
      </c>
      <c r="Q62" s="53">
        <v>0</v>
      </c>
      <c r="T62" s="53">
        <v>1</v>
      </c>
    </row>
    <row r="63" spans="1:20" ht="13.2" hidden="1" customHeight="1" x14ac:dyDescent="0.25">
      <c r="A63" s="53">
        <v>63</v>
      </c>
      <c r="B63" s="53" t="s">
        <v>39</v>
      </c>
      <c r="C63" s="53" t="s">
        <v>83</v>
      </c>
      <c r="D63" s="53" t="s">
        <v>259</v>
      </c>
      <c r="E63" s="57" t="s">
        <v>3</v>
      </c>
      <c r="F63" s="51"/>
      <c r="G63" s="107">
        <f>VLOOKUP($A63, Stat!$A$1:$C$501, 2,0)</f>
        <v>21</v>
      </c>
      <c r="H63" s="107">
        <f>VLOOKUP($A63, Stat!$A$1:$C$501, 3,0)</f>
        <v>6</v>
      </c>
      <c r="I63" s="49">
        <v>1</v>
      </c>
      <c r="M63" s="50" t="s">
        <v>281</v>
      </c>
      <c r="N63" s="51"/>
      <c r="O63" s="51"/>
      <c r="P63" s="53">
        <v>0</v>
      </c>
      <c r="Q63" s="53">
        <v>0</v>
      </c>
      <c r="T63" s="53">
        <v>1</v>
      </c>
    </row>
    <row r="64" spans="1:20" ht="13.2" hidden="1" customHeight="1" x14ac:dyDescent="0.25">
      <c r="A64" s="53">
        <v>64</v>
      </c>
      <c r="B64" s="53" t="s">
        <v>39</v>
      </c>
      <c r="C64" s="53" t="s">
        <v>83</v>
      </c>
      <c r="D64" s="53" t="s">
        <v>259</v>
      </c>
      <c r="E64" s="57" t="s">
        <v>4</v>
      </c>
      <c r="F64" s="51"/>
      <c r="G64" s="107">
        <f>VLOOKUP($A64, Stat!$A$1:$C$501, 2,0)</f>
        <v>5</v>
      </c>
      <c r="H64" s="107">
        <f>VLOOKUP($A64, Stat!$A$1:$C$501, 3,0)</f>
        <v>1</v>
      </c>
      <c r="I64" s="49">
        <v>1</v>
      </c>
      <c r="M64" s="50" t="s">
        <v>282</v>
      </c>
      <c r="N64" s="51"/>
      <c r="O64" s="51"/>
      <c r="P64" s="53">
        <v>0</v>
      </c>
      <c r="Q64" s="53">
        <v>0</v>
      </c>
      <c r="T64" s="53">
        <v>1</v>
      </c>
    </row>
    <row r="65" spans="1:20" ht="13.2" hidden="1" customHeight="1" x14ac:dyDescent="0.25">
      <c r="A65" s="53">
        <v>65</v>
      </c>
      <c r="B65" s="53" t="s">
        <v>39</v>
      </c>
      <c r="C65" s="53" t="s">
        <v>83</v>
      </c>
      <c r="D65" s="53" t="s">
        <v>259</v>
      </c>
      <c r="E65" s="57" t="s">
        <v>5</v>
      </c>
      <c r="F65" s="51"/>
      <c r="G65" s="107">
        <f>VLOOKUP($A65, Stat!$A$1:$C$501, 2,0)</f>
        <v>7</v>
      </c>
      <c r="H65" s="107">
        <f>VLOOKUP($A65, Stat!$A$1:$C$501, 3,0)</f>
        <v>2</v>
      </c>
      <c r="I65" s="49">
        <v>1</v>
      </c>
      <c r="M65" s="50" t="s">
        <v>283</v>
      </c>
      <c r="N65" s="51"/>
      <c r="O65" s="51"/>
      <c r="P65" s="53">
        <v>60</v>
      </c>
      <c r="Q65" s="53">
        <v>0</v>
      </c>
      <c r="T65" s="53">
        <v>1</v>
      </c>
    </row>
    <row r="66" spans="1:20" ht="13.2" hidden="1" customHeight="1" x14ac:dyDescent="0.25">
      <c r="A66" s="53">
        <v>66</v>
      </c>
      <c r="B66" s="53" t="s">
        <v>39</v>
      </c>
      <c r="C66" s="53" t="s">
        <v>83</v>
      </c>
      <c r="D66" s="53" t="s">
        <v>259</v>
      </c>
      <c r="E66" s="57" t="s">
        <v>51</v>
      </c>
      <c r="F66" s="51"/>
      <c r="G66" s="107">
        <f>VLOOKUP($A66, Stat!$A$1:$C$501, 2,0)</f>
        <v>5</v>
      </c>
      <c r="H66" s="107">
        <f>VLOOKUP($A66, Stat!$A$1:$C$501, 3,0)</f>
        <v>3</v>
      </c>
      <c r="I66" s="49">
        <v>1</v>
      </c>
      <c r="M66" s="50" t="s">
        <v>284</v>
      </c>
      <c r="N66" s="51"/>
      <c r="O66" s="51"/>
      <c r="P66" s="53">
        <v>100</v>
      </c>
      <c r="Q66" s="53">
        <v>0</v>
      </c>
      <c r="T66" s="53">
        <v>1</v>
      </c>
    </row>
    <row r="67" spans="1:20" ht="13.2" hidden="1" customHeight="1" x14ac:dyDescent="0.25">
      <c r="A67" s="53">
        <v>67</v>
      </c>
      <c r="B67" s="53" t="s">
        <v>39</v>
      </c>
      <c r="C67" s="53" t="s">
        <v>17</v>
      </c>
      <c r="D67" s="53" t="s">
        <v>100</v>
      </c>
      <c r="E67" s="57" t="s">
        <v>272</v>
      </c>
      <c r="F67" s="51"/>
      <c r="G67" s="107">
        <f>VLOOKUP($A67, Stat!$A$1:$C$501, 2,0)</f>
        <v>154</v>
      </c>
      <c r="H67" s="107">
        <f>VLOOKUP($A67, Stat!$A$1:$C$501, 3,0)</f>
        <v>29</v>
      </c>
      <c r="I67" s="110">
        <v>1</v>
      </c>
      <c r="M67" s="51"/>
      <c r="N67" s="51"/>
      <c r="O67" s="51"/>
      <c r="P67" s="53">
        <v>0</v>
      </c>
      <c r="Q67" s="53">
        <v>-1</v>
      </c>
      <c r="T67" s="53">
        <v>1</v>
      </c>
    </row>
    <row r="68" spans="1:20" ht="13.2" hidden="1" customHeight="1" x14ac:dyDescent="0.25">
      <c r="A68" s="53">
        <v>68</v>
      </c>
      <c r="B68" s="53" t="s">
        <v>39</v>
      </c>
      <c r="C68" s="53" t="s">
        <v>17</v>
      </c>
      <c r="D68" s="53" t="s">
        <v>100</v>
      </c>
      <c r="E68" s="57" t="s">
        <v>101</v>
      </c>
      <c r="F68" s="51"/>
      <c r="G68" s="107">
        <f>VLOOKUP($A68, Stat!$A$1:$C$501, 2,0)</f>
        <v>19</v>
      </c>
      <c r="H68" s="107">
        <f>VLOOKUP($A68, Stat!$A$1:$C$501, 3,0)</f>
        <v>9</v>
      </c>
      <c r="I68" s="49">
        <v>1</v>
      </c>
      <c r="M68" s="51"/>
      <c r="N68" s="51"/>
      <c r="O68" s="51"/>
      <c r="P68" s="53">
        <v>70</v>
      </c>
      <c r="Q68" s="53">
        <v>-1</v>
      </c>
      <c r="T68" s="53">
        <v>1</v>
      </c>
    </row>
    <row r="69" spans="1:20" ht="13.2" hidden="1" customHeight="1" x14ac:dyDescent="0.25">
      <c r="A69" s="53">
        <v>69</v>
      </c>
      <c r="B69" s="53" t="s">
        <v>39</v>
      </c>
      <c r="C69" s="53" t="s">
        <v>17</v>
      </c>
      <c r="D69" s="53" t="s">
        <v>100</v>
      </c>
      <c r="E69" s="57" t="s">
        <v>102</v>
      </c>
      <c r="F69" s="51"/>
      <c r="G69" s="107">
        <f>VLOOKUP($A69, Stat!$A$1:$C$501, 2,0)</f>
        <v>59</v>
      </c>
      <c r="H69" s="107">
        <f>VLOOKUP($A69, Stat!$A$1:$C$501, 3,0)</f>
        <v>16</v>
      </c>
      <c r="I69" s="49">
        <v>1</v>
      </c>
      <c r="M69" s="51"/>
      <c r="N69" s="51"/>
      <c r="O69" s="51"/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116</v>
      </c>
      <c r="B70" s="53" t="s">
        <v>39</v>
      </c>
      <c r="C70" s="53" t="s">
        <v>86</v>
      </c>
      <c r="D70" s="53" t="s">
        <v>171</v>
      </c>
      <c r="E70" s="57" t="s">
        <v>3</v>
      </c>
      <c r="F70" s="51"/>
      <c r="G70" s="107">
        <f>VLOOKUP($A70, Stat!$A$1:$C$501, 2,0)</f>
        <v>38</v>
      </c>
      <c r="H70" s="107">
        <f>VLOOKUP($A70, Stat!$A$1:$C$501, 3,0)</f>
        <v>0</v>
      </c>
      <c r="M70" s="50" t="s">
        <v>398</v>
      </c>
      <c r="N70" s="51"/>
      <c r="O70" s="51"/>
      <c r="P70" s="53">
        <v>0</v>
      </c>
      <c r="Q70" s="53">
        <v>-1</v>
      </c>
      <c r="R70" s="53" t="s">
        <v>172</v>
      </c>
      <c r="T70" s="53">
        <v>1</v>
      </c>
    </row>
    <row r="71" spans="1:20" ht="13.2" hidden="1" customHeight="1" x14ac:dyDescent="0.25">
      <c r="A71" s="53">
        <v>71</v>
      </c>
      <c r="B71" s="53" t="s">
        <v>39</v>
      </c>
      <c r="C71" s="53" t="s">
        <v>7</v>
      </c>
      <c r="D71" s="53" t="s">
        <v>226</v>
      </c>
      <c r="E71" s="57" t="s">
        <v>53</v>
      </c>
      <c r="F71" s="51"/>
      <c r="G71" s="107">
        <f>VLOOKUP($A71, Stat!$A$1:$C$501, 2,0)</f>
        <v>9</v>
      </c>
      <c r="H71" s="107">
        <f>VLOOKUP($A71, Stat!$A$1:$C$501, 3,0)</f>
        <v>1</v>
      </c>
      <c r="I71" s="110"/>
      <c r="L71" s="49">
        <v>1</v>
      </c>
      <c r="M71" s="50" t="s">
        <v>268</v>
      </c>
      <c r="N71" s="51"/>
      <c r="O71" s="51"/>
      <c r="P71" s="53">
        <v>100</v>
      </c>
      <c r="Q71" s="53">
        <v>0</v>
      </c>
      <c r="T71" s="53">
        <v>1</v>
      </c>
    </row>
    <row r="72" spans="1:20" ht="13.2" customHeight="1" x14ac:dyDescent="0.25">
      <c r="A72" s="53">
        <v>55</v>
      </c>
      <c r="B72" s="53" t="s">
        <v>39</v>
      </c>
      <c r="C72" s="53" t="s">
        <v>87</v>
      </c>
      <c r="D72" s="53" t="s">
        <v>85</v>
      </c>
      <c r="E72" s="57" t="s">
        <v>5</v>
      </c>
      <c r="F72" s="51"/>
      <c r="G72" s="107">
        <f>VLOOKUP($A72, Stat!$A$1:$C$501, 2,0)</f>
        <v>36</v>
      </c>
      <c r="H72" s="107">
        <f>VLOOKUP($A72, Stat!$A$1:$C$501, 3,0)</f>
        <v>0</v>
      </c>
      <c r="M72" s="51"/>
      <c r="N72" s="51"/>
      <c r="O72" s="51"/>
      <c r="P72" s="53">
        <v>40</v>
      </c>
      <c r="Q72" s="53">
        <v>-1</v>
      </c>
      <c r="T72" s="53">
        <v>1</v>
      </c>
    </row>
    <row r="73" spans="1:20" ht="13.2" customHeight="1" x14ac:dyDescent="0.25">
      <c r="A73" s="53">
        <v>89</v>
      </c>
      <c r="B73" s="53" t="s">
        <v>41</v>
      </c>
      <c r="C73" s="53" t="s">
        <v>64</v>
      </c>
      <c r="D73" s="53" t="s">
        <v>79</v>
      </c>
      <c r="E73" s="57" t="s">
        <v>311</v>
      </c>
      <c r="F73" s="51"/>
      <c r="G73" s="107">
        <f>VLOOKUP($A73, Stat!$A$1:$C$501, 2,0)</f>
        <v>39</v>
      </c>
      <c r="H73" s="107">
        <f>VLOOKUP($A73, Stat!$A$1:$C$501, 3,0)</f>
        <v>0</v>
      </c>
      <c r="M73" s="51"/>
      <c r="N73" s="51"/>
      <c r="O73" s="51"/>
      <c r="P73" s="53">
        <v>0</v>
      </c>
      <c r="Q73" s="53">
        <v>1</v>
      </c>
      <c r="R73" s="53" t="s">
        <v>80</v>
      </c>
      <c r="T73" s="53">
        <v>1</v>
      </c>
    </row>
    <row r="74" spans="1:20" ht="13.2" hidden="1" customHeight="1" x14ac:dyDescent="0.25">
      <c r="A74" s="53">
        <v>74</v>
      </c>
      <c r="B74" s="53" t="s">
        <v>41</v>
      </c>
      <c r="C74" s="53" t="s">
        <v>60</v>
      </c>
      <c r="D74" s="53" t="s">
        <v>58</v>
      </c>
      <c r="E74" s="57" t="s">
        <v>59</v>
      </c>
      <c r="F74" s="51"/>
      <c r="G74" s="107">
        <f>VLOOKUP($A74, Stat!$A$1:$C$501, 2,0)</f>
        <v>23</v>
      </c>
      <c r="H74" s="107">
        <f>VLOOKUP($A74, Stat!$A$1:$C$501, 3,0)</f>
        <v>4</v>
      </c>
      <c r="I74" s="49">
        <v>1</v>
      </c>
      <c r="M74" s="51"/>
      <c r="N74" s="51"/>
      <c r="O74" s="51"/>
      <c r="P74" s="53">
        <v>60</v>
      </c>
      <c r="Q74" s="53">
        <v>0</v>
      </c>
      <c r="S74" s="53" t="s">
        <v>235</v>
      </c>
      <c r="T74" s="53">
        <v>1</v>
      </c>
    </row>
    <row r="75" spans="1:20" ht="13.2" hidden="1" customHeight="1" x14ac:dyDescent="0.25">
      <c r="A75" s="53">
        <v>75</v>
      </c>
      <c r="B75" s="53" t="s">
        <v>41</v>
      </c>
      <c r="C75" s="53" t="s">
        <v>64</v>
      </c>
      <c r="D75" s="53" t="s">
        <v>428</v>
      </c>
      <c r="E75" s="57" t="s">
        <v>549</v>
      </c>
      <c r="F75" s="51"/>
      <c r="G75" s="107">
        <f>VLOOKUP($A75, Stat!$A$1:$C$501, 2,0)</f>
        <v>19</v>
      </c>
      <c r="H75" s="107">
        <f>VLOOKUP($A75, Stat!$A$1:$C$501, 3,0)</f>
        <v>9</v>
      </c>
      <c r="I75" s="49">
        <v>1</v>
      </c>
      <c r="M75" s="51"/>
      <c r="N75" s="51"/>
      <c r="O75" s="51"/>
      <c r="P75" s="53">
        <v>30</v>
      </c>
      <c r="Q75" s="53">
        <v>0</v>
      </c>
      <c r="S75" s="53" t="s">
        <v>552</v>
      </c>
      <c r="T75" s="53">
        <v>1</v>
      </c>
    </row>
    <row r="76" spans="1:20" ht="13.2" hidden="1" customHeight="1" x14ac:dyDescent="0.25">
      <c r="A76" s="53">
        <v>76</v>
      </c>
      <c r="B76" s="53" t="s">
        <v>39</v>
      </c>
      <c r="C76" s="53" t="s">
        <v>15</v>
      </c>
      <c r="D76" s="53" t="s">
        <v>24</v>
      </c>
      <c r="E76" s="57" t="s">
        <v>381</v>
      </c>
      <c r="F76" s="51"/>
      <c r="G76" s="107">
        <f>VLOOKUP($A76, Stat!$A$1:$C$501, 2,0)</f>
        <v>44</v>
      </c>
      <c r="H76" s="107">
        <f>VLOOKUP($A76, Stat!$A$1:$C$501, 3,0)</f>
        <v>1</v>
      </c>
      <c r="J76" s="49">
        <v>1</v>
      </c>
      <c r="M76" s="51"/>
      <c r="N76" s="51"/>
      <c r="O76" s="51"/>
      <c r="P76" s="53">
        <v>20</v>
      </c>
      <c r="Q76" s="53">
        <v>0</v>
      </c>
      <c r="S76" s="53" t="s">
        <v>231</v>
      </c>
      <c r="T76" s="53">
        <v>1</v>
      </c>
    </row>
    <row r="77" spans="1:20" ht="13.2" customHeight="1" x14ac:dyDescent="0.25">
      <c r="A77" s="53">
        <v>103</v>
      </c>
      <c r="B77" s="53" t="s">
        <v>39</v>
      </c>
      <c r="C77" s="53" t="s">
        <v>87</v>
      </c>
      <c r="D77" s="53" t="s">
        <v>82</v>
      </c>
      <c r="E77" s="57" t="s">
        <v>51</v>
      </c>
      <c r="F77" s="51"/>
      <c r="G77" s="107">
        <f>VLOOKUP($A77, Stat!$A$1:$C$501, 2,0)</f>
        <v>39</v>
      </c>
      <c r="H77" s="107">
        <f>VLOOKUP($A77, Stat!$A$1:$C$501, 3,0)</f>
        <v>0</v>
      </c>
      <c r="M77" s="51"/>
      <c r="N77" s="51"/>
      <c r="O77" s="51"/>
      <c r="P77" s="53">
        <v>60</v>
      </c>
      <c r="Q77" s="53">
        <v>-1</v>
      </c>
      <c r="R77" s="53" t="s">
        <v>439</v>
      </c>
      <c r="T77" s="53">
        <v>1</v>
      </c>
    </row>
    <row r="78" spans="1:20" ht="13.2" hidden="1" customHeight="1" x14ac:dyDescent="0.25">
      <c r="A78" s="53">
        <v>78</v>
      </c>
      <c r="B78" s="53" t="s">
        <v>39</v>
      </c>
      <c r="C78" s="53" t="s">
        <v>15</v>
      </c>
      <c r="D78" s="53" t="s">
        <v>56</v>
      </c>
      <c r="E78" s="57" t="s">
        <v>144</v>
      </c>
      <c r="F78" s="51"/>
      <c r="G78" s="107">
        <f>VLOOKUP($A78, Stat!$A$1:$C$501, 2,0)</f>
        <v>62</v>
      </c>
      <c r="H78" s="107">
        <f>VLOOKUP($A78, Stat!$A$1:$C$501, 3,0)</f>
        <v>1</v>
      </c>
      <c r="L78" s="49">
        <v>1</v>
      </c>
      <c r="M78" s="51"/>
      <c r="N78" s="51"/>
      <c r="O78" s="51"/>
      <c r="P78" s="53">
        <v>60</v>
      </c>
      <c r="Q78" s="53">
        <v>-1</v>
      </c>
      <c r="S78" s="53" t="s">
        <v>385</v>
      </c>
      <c r="T78" s="53">
        <v>1</v>
      </c>
    </row>
    <row r="79" spans="1:20" ht="13.2" customHeight="1" x14ac:dyDescent="0.25">
      <c r="A79" s="53">
        <v>70</v>
      </c>
      <c r="B79" s="53" t="s">
        <v>39</v>
      </c>
      <c r="C79" s="53" t="s">
        <v>7</v>
      </c>
      <c r="D79" s="53" t="s">
        <v>226</v>
      </c>
      <c r="E79" s="57" t="s">
        <v>311</v>
      </c>
      <c r="F79" s="51"/>
      <c r="G79" s="107">
        <f>VLOOKUP($A79, Stat!$A$1:$C$501, 2,0)</f>
        <v>35</v>
      </c>
      <c r="H79" s="107">
        <f>VLOOKUP($A79, Stat!$A$1:$C$501, 3,0)</f>
        <v>0</v>
      </c>
      <c r="L79" s="49">
        <v>1</v>
      </c>
      <c r="M79" s="51"/>
      <c r="N79" s="51"/>
      <c r="O79" s="51"/>
      <c r="P79" s="53">
        <v>60</v>
      </c>
      <c r="Q79" s="53">
        <v>0</v>
      </c>
      <c r="T79" s="53">
        <v>1</v>
      </c>
    </row>
    <row r="80" spans="1:20" ht="13.2" hidden="1" customHeight="1" x14ac:dyDescent="0.25">
      <c r="A80" s="53">
        <v>80</v>
      </c>
      <c r="B80" s="53" t="s">
        <v>41</v>
      </c>
      <c r="C80" s="53" t="s">
        <v>64</v>
      </c>
      <c r="D80" s="53" t="s">
        <v>70</v>
      </c>
      <c r="E80" s="57" t="s">
        <v>65</v>
      </c>
      <c r="F80" s="51"/>
      <c r="G80" s="107">
        <f>VLOOKUP($A80, Stat!$A$1:$C$501, 2,0)</f>
        <v>296</v>
      </c>
      <c r="H80" s="107">
        <f>VLOOKUP($A80, Stat!$A$1:$C$501, 3,0)</f>
        <v>2</v>
      </c>
      <c r="I80" s="110"/>
      <c r="M80" s="51"/>
      <c r="N80" s="51"/>
      <c r="O80" s="51"/>
      <c r="P80" s="53">
        <v>0</v>
      </c>
      <c r="Q80" s="53">
        <v>-1</v>
      </c>
      <c r="T80" s="53">
        <v>1</v>
      </c>
    </row>
    <row r="81" spans="1:20" ht="13.2" hidden="1" customHeight="1" x14ac:dyDescent="0.25">
      <c r="A81" s="53">
        <v>81</v>
      </c>
      <c r="B81" s="53" t="s">
        <v>41</v>
      </c>
      <c r="C81" s="53" t="s">
        <v>64</v>
      </c>
      <c r="D81" s="53" t="s">
        <v>70</v>
      </c>
      <c r="E81" s="57" t="s">
        <v>66</v>
      </c>
      <c r="F81" s="51"/>
      <c r="G81" s="107">
        <f>VLOOKUP($A81, Stat!$A$1:$C$501, 2,0)</f>
        <v>51</v>
      </c>
      <c r="H81" s="107">
        <f>VLOOKUP($A81, Stat!$A$1:$C$501, 3,0)</f>
        <v>1</v>
      </c>
      <c r="M81" s="51"/>
      <c r="N81" s="51"/>
      <c r="O81" s="51"/>
      <c r="P81" s="53">
        <v>60</v>
      </c>
      <c r="Q81" s="53">
        <v>1</v>
      </c>
      <c r="T81" s="53">
        <v>1</v>
      </c>
    </row>
    <row r="82" spans="1:20" ht="13.2" hidden="1" customHeight="1" x14ac:dyDescent="0.25">
      <c r="A82" s="53">
        <v>82</v>
      </c>
      <c r="B82" s="53" t="s">
        <v>41</v>
      </c>
      <c r="C82" s="53" t="s">
        <v>64</v>
      </c>
      <c r="D82" s="53" t="s">
        <v>70</v>
      </c>
      <c r="E82" s="57" t="s">
        <v>67</v>
      </c>
      <c r="F82" s="51"/>
      <c r="G82" s="107">
        <f>VLOOKUP($A82, Stat!$A$1:$C$501, 2,0)</f>
        <v>45</v>
      </c>
      <c r="H82" s="107">
        <f>VLOOKUP($A82, Stat!$A$1:$C$501, 3,0)</f>
        <v>7</v>
      </c>
      <c r="I82" s="49">
        <v>1</v>
      </c>
      <c r="M82" s="50" t="s">
        <v>269</v>
      </c>
      <c r="N82" s="51"/>
      <c r="O82" s="51"/>
      <c r="P82" s="53">
        <v>60</v>
      </c>
      <c r="Q82" s="53">
        <v>-1</v>
      </c>
      <c r="T82" s="53">
        <v>1</v>
      </c>
    </row>
    <row r="83" spans="1:20" ht="13.2" hidden="1" customHeight="1" x14ac:dyDescent="0.25">
      <c r="A83" s="53">
        <v>83</v>
      </c>
      <c r="B83" s="53" t="s">
        <v>41</v>
      </c>
      <c r="C83" s="53" t="s">
        <v>64</v>
      </c>
      <c r="D83" s="53" t="s">
        <v>68</v>
      </c>
      <c r="E83" s="57" t="s">
        <v>65</v>
      </c>
      <c r="F83" s="51"/>
      <c r="G83" s="107">
        <f>VLOOKUP($A83, Stat!$A$1:$C$501, 2,0)</f>
        <v>164</v>
      </c>
      <c r="H83" s="107">
        <f>VLOOKUP($A83, Stat!$A$1:$C$501, 3,0)</f>
        <v>5</v>
      </c>
      <c r="I83" s="110"/>
      <c r="M83" s="50" t="s">
        <v>336</v>
      </c>
      <c r="N83" s="51"/>
      <c r="O83" s="51"/>
      <c r="P83" s="53">
        <v>100</v>
      </c>
      <c r="Q83" s="53">
        <v>0</v>
      </c>
      <c r="T83" s="53">
        <v>1</v>
      </c>
    </row>
    <row r="84" spans="1:20" ht="13.2" hidden="1" customHeight="1" x14ac:dyDescent="0.25">
      <c r="A84" s="53">
        <v>84</v>
      </c>
      <c r="B84" s="53" t="s">
        <v>41</v>
      </c>
      <c r="C84" s="53" t="s">
        <v>64</v>
      </c>
      <c r="D84" s="53" t="s">
        <v>214</v>
      </c>
      <c r="E84" s="57" t="s">
        <v>69</v>
      </c>
      <c r="F84" s="51"/>
      <c r="G84" s="107">
        <f>VLOOKUP($A84, Stat!$A$1:$C$501, 2,0)</f>
        <v>90</v>
      </c>
      <c r="H84" s="107">
        <f>VLOOKUP($A84, Stat!$A$1:$C$501, 3,0)</f>
        <v>5</v>
      </c>
      <c r="M84" s="51"/>
      <c r="N84" s="51"/>
      <c r="O84" s="51"/>
      <c r="P84" s="53">
        <v>60</v>
      </c>
      <c r="Q84" s="53">
        <v>0</v>
      </c>
      <c r="T84" s="53">
        <v>1</v>
      </c>
    </row>
    <row r="85" spans="1:20" ht="13.2" hidden="1" customHeight="1" x14ac:dyDescent="0.25">
      <c r="A85" s="53">
        <v>85</v>
      </c>
      <c r="B85" s="53" t="s">
        <v>41</v>
      </c>
      <c r="C85" s="53" t="s">
        <v>64</v>
      </c>
      <c r="D85" s="53" t="s">
        <v>214</v>
      </c>
      <c r="E85" s="57" t="s">
        <v>449</v>
      </c>
      <c r="F85" s="51"/>
      <c r="G85" s="107">
        <f>VLOOKUP($A85, Stat!$A$1:$C$501, 2,0)</f>
        <v>10</v>
      </c>
      <c r="H85" s="107">
        <f>VLOOKUP($A85, Stat!$A$1:$C$501, 3,0)</f>
        <v>2</v>
      </c>
      <c r="I85" s="49">
        <v>1</v>
      </c>
      <c r="M85" s="51"/>
      <c r="N85" s="51"/>
      <c r="O85" s="51"/>
      <c r="P85" s="53">
        <v>60</v>
      </c>
      <c r="Q85" s="53">
        <v>0</v>
      </c>
      <c r="S85" s="53" t="s">
        <v>453</v>
      </c>
      <c r="T85" s="53">
        <v>1</v>
      </c>
    </row>
    <row r="86" spans="1:20" ht="13.2" hidden="1" customHeight="1" x14ac:dyDescent="0.25">
      <c r="A86" s="53">
        <v>86</v>
      </c>
      <c r="B86" s="53" t="s">
        <v>41</v>
      </c>
      <c r="C86" s="53" t="s">
        <v>64</v>
      </c>
      <c r="D86" s="53" t="s">
        <v>214</v>
      </c>
      <c r="E86" s="57" t="s">
        <v>71</v>
      </c>
      <c r="F86" s="51"/>
      <c r="G86" s="107">
        <f>VLOOKUP($A86, Stat!$A$1:$C$501, 2,0)</f>
        <v>131</v>
      </c>
      <c r="H86" s="107">
        <f>VLOOKUP($A86, Stat!$A$1:$C$501, 3,0)</f>
        <v>1</v>
      </c>
      <c r="I86" s="110"/>
      <c r="M86" s="51"/>
      <c r="N86" s="51"/>
      <c r="O86" s="51"/>
      <c r="P86" s="53">
        <v>60</v>
      </c>
      <c r="Q86" s="53">
        <v>-1</v>
      </c>
      <c r="T86" s="53">
        <v>1</v>
      </c>
    </row>
    <row r="87" spans="1:20" ht="13.2" hidden="1" customHeight="1" x14ac:dyDescent="0.25">
      <c r="A87" s="53">
        <v>88</v>
      </c>
      <c r="B87" s="53" t="s">
        <v>41</v>
      </c>
      <c r="C87" s="53" t="s">
        <v>208</v>
      </c>
      <c r="D87" s="53" t="s">
        <v>197</v>
      </c>
      <c r="E87" s="57" t="s">
        <v>182</v>
      </c>
      <c r="F87" s="51"/>
      <c r="G87" s="107">
        <f>VLOOKUP($A87, Stat!$A$1:$C$501, 2,0)</f>
        <v>23</v>
      </c>
      <c r="H87" s="107">
        <f>VLOOKUP($A87, Stat!$A$1:$C$501, 3,0)</f>
        <v>8</v>
      </c>
      <c r="I87" s="49">
        <v>1</v>
      </c>
      <c r="M87" s="51"/>
      <c r="N87" s="51"/>
      <c r="O87" s="51"/>
      <c r="P87" s="53">
        <v>60</v>
      </c>
      <c r="Q87" s="53">
        <v>0</v>
      </c>
      <c r="S87" s="53" t="s">
        <v>249</v>
      </c>
      <c r="T87" s="53">
        <v>1</v>
      </c>
    </row>
    <row r="88" spans="1:20" ht="13.2" customHeight="1" x14ac:dyDescent="0.25">
      <c r="A88" s="53">
        <v>93</v>
      </c>
      <c r="B88" s="53" t="s">
        <v>41</v>
      </c>
      <c r="C88" s="53" t="s">
        <v>64</v>
      </c>
      <c r="D88" s="53" t="s">
        <v>164</v>
      </c>
      <c r="E88" s="57" t="s">
        <v>272</v>
      </c>
      <c r="F88" s="51"/>
      <c r="G88" s="107">
        <f>VLOOKUP($A88, Stat!$A$1:$C$501, 2,0)</f>
        <v>33</v>
      </c>
      <c r="H88" s="107">
        <f>VLOOKUP($A88, Stat!$A$1:$C$501, 3,0)</f>
        <v>0</v>
      </c>
      <c r="L88" s="49">
        <v>1</v>
      </c>
      <c r="M88" s="51"/>
      <c r="N88" s="51"/>
      <c r="O88" s="51"/>
      <c r="P88" s="53">
        <v>0</v>
      </c>
      <c r="Q88" s="53">
        <v>0</v>
      </c>
      <c r="R88" s="53" t="s">
        <v>137</v>
      </c>
      <c r="T88" s="53">
        <v>1</v>
      </c>
    </row>
    <row r="89" spans="1:20" ht="13.2" hidden="1" customHeight="1" x14ac:dyDescent="0.25">
      <c r="A89" s="53">
        <v>90</v>
      </c>
      <c r="B89" s="53" t="s">
        <v>41</v>
      </c>
      <c r="C89" s="53" t="s">
        <v>531</v>
      </c>
      <c r="D89" s="53" t="s">
        <v>538</v>
      </c>
      <c r="E89" s="57" t="s">
        <v>540</v>
      </c>
      <c r="F89" s="51"/>
      <c r="G89" s="107">
        <f>VLOOKUP($A89, Stat!$A$1:$C$501, 2,0)</f>
        <v>3</v>
      </c>
      <c r="H89" s="107">
        <f>VLOOKUP($A89, Stat!$A$1:$C$501, 3,0)</f>
        <v>1</v>
      </c>
      <c r="I89" s="49">
        <v>1</v>
      </c>
      <c r="M89" s="51"/>
      <c r="N89" s="51"/>
      <c r="O89" s="51"/>
      <c r="P89" s="53">
        <v>60</v>
      </c>
      <c r="Q89" s="53">
        <v>0</v>
      </c>
      <c r="T89" s="53">
        <v>1</v>
      </c>
    </row>
    <row r="90" spans="1:20" ht="13.2" hidden="1" customHeight="1" x14ac:dyDescent="0.25">
      <c r="A90" s="53">
        <v>91</v>
      </c>
      <c r="B90" s="53" t="s">
        <v>41</v>
      </c>
      <c r="C90" s="53" t="s">
        <v>64</v>
      </c>
      <c r="D90" s="53" t="s">
        <v>76</v>
      </c>
      <c r="E90" s="57" t="s">
        <v>307</v>
      </c>
      <c r="F90" s="51"/>
      <c r="G90" s="107">
        <f>VLOOKUP($A90, Stat!$A$1:$C$501, 2,0)</f>
        <v>5</v>
      </c>
      <c r="H90" s="107">
        <f>VLOOKUP($A90, Stat!$A$1:$C$501, 3,0)</f>
        <v>2</v>
      </c>
      <c r="I90" s="49">
        <v>1</v>
      </c>
      <c r="M90" s="51"/>
      <c r="N90" s="51"/>
      <c r="O90" s="51"/>
      <c r="P90" s="53">
        <v>60</v>
      </c>
      <c r="Q90" s="53">
        <v>0</v>
      </c>
      <c r="S90" s="53" t="s">
        <v>308</v>
      </c>
      <c r="T90" s="53">
        <v>1</v>
      </c>
    </row>
    <row r="91" spans="1:20" ht="13.2" hidden="1" customHeight="1" x14ac:dyDescent="0.25">
      <c r="A91" s="53">
        <v>92</v>
      </c>
      <c r="B91" s="53" t="s">
        <v>41</v>
      </c>
      <c r="C91" s="53" t="s">
        <v>18</v>
      </c>
      <c r="D91" s="53" t="s">
        <v>97</v>
      </c>
      <c r="E91" s="57" t="s">
        <v>96</v>
      </c>
      <c r="F91" s="50" t="s">
        <v>272</v>
      </c>
      <c r="G91" s="107">
        <f>VLOOKUP($A91, Stat!$A$1:$C$501, 2,0)</f>
        <v>85</v>
      </c>
      <c r="H91" s="107">
        <f>VLOOKUP($A91, Stat!$A$1:$C$501, 3,0)</f>
        <v>1</v>
      </c>
      <c r="M91" s="50"/>
      <c r="N91" s="51"/>
      <c r="O91" s="50" t="s">
        <v>270</v>
      </c>
      <c r="P91" s="53">
        <v>0</v>
      </c>
      <c r="Q91" s="53">
        <v>-1</v>
      </c>
      <c r="T91" s="53">
        <v>1</v>
      </c>
    </row>
    <row r="92" spans="1:20" ht="13.2" customHeight="1" x14ac:dyDescent="0.25">
      <c r="A92" s="53">
        <v>5</v>
      </c>
      <c r="B92" s="53" t="s">
        <v>39</v>
      </c>
      <c r="C92" s="53" t="s">
        <v>14</v>
      </c>
      <c r="D92" s="53" t="s">
        <v>386</v>
      </c>
      <c r="E92" s="57" t="s">
        <v>174</v>
      </c>
      <c r="F92" s="51"/>
      <c r="G92" s="107">
        <f>VLOOKUP($A92, Stat!$A$1:$C$501, 2,0)</f>
        <v>34</v>
      </c>
      <c r="H92" s="107">
        <f>VLOOKUP($A92, Stat!$A$1:$C$501, 3,0)</f>
        <v>0</v>
      </c>
      <c r="J92" s="49">
        <v>1</v>
      </c>
      <c r="M92" s="51"/>
      <c r="N92" s="51"/>
      <c r="O92" s="51"/>
      <c r="P92" s="53">
        <v>0</v>
      </c>
      <c r="Q92" s="53">
        <v>0</v>
      </c>
      <c r="S92" s="53" t="s">
        <v>468</v>
      </c>
      <c r="T92" s="53">
        <v>1</v>
      </c>
    </row>
    <row r="93" spans="1:20" ht="13.2" customHeight="1" x14ac:dyDescent="0.25">
      <c r="A93" s="53">
        <v>258</v>
      </c>
      <c r="B93" s="53" t="s">
        <v>41</v>
      </c>
      <c r="C93" s="53" t="s">
        <v>251</v>
      </c>
      <c r="D93" s="53" t="s">
        <v>319</v>
      </c>
      <c r="E93" s="53" t="s">
        <v>321</v>
      </c>
      <c r="G93" s="107">
        <f>VLOOKUP($A93, Stat!$A$1:$C$501, 2,0)</f>
        <v>31</v>
      </c>
      <c r="H93" s="107">
        <f>VLOOKUP($A93, Stat!$A$1:$C$501, 3,0)</f>
        <v>0</v>
      </c>
      <c r="N93" s="49">
        <v>1</v>
      </c>
      <c r="P93" s="53">
        <v>0</v>
      </c>
      <c r="Q93" s="53">
        <v>1</v>
      </c>
      <c r="S93" s="53" t="s">
        <v>328</v>
      </c>
      <c r="T93" s="53">
        <v>1</v>
      </c>
    </row>
    <row r="94" spans="1:20" ht="13.2" customHeight="1" x14ac:dyDescent="0.25">
      <c r="A94" s="53">
        <v>146</v>
      </c>
      <c r="B94" s="53" t="s">
        <v>39</v>
      </c>
      <c r="C94" s="53" t="s">
        <v>87</v>
      </c>
      <c r="D94" s="53" t="s">
        <v>397</v>
      </c>
      <c r="E94" s="57" t="s">
        <v>5</v>
      </c>
      <c r="F94" s="51"/>
      <c r="G94" s="107">
        <f>VLOOKUP($A94, Stat!$A$1:$C$501, 2,0)</f>
        <v>30</v>
      </c>
      <c r="H94" s="107">
        <f>VLOOKUP($A94, Stat!$A$1:$C$501, 3,0)</f>
        <v>0</v>
      </c>
      <c r="M94" s="51"/>
      <c r="N94" s="51"/>
      <c r="O94" s="51"/>
      <c r="P94" s="53">
        <v>40</v>
      </c>
      <c r="Q94" s="53">
        <v>-1</v>
      </c>
      <c r="R94" s="53" t="s">
        <v>440</v>
      </c>
      <c r="T94" s="53">
        <v>1</v>
      </c>
    </row>
    <row r="95" spans="1:20" ht="13.2" customHeight="1" x14ac:dyDescent="0.25">
      <c r="A95" s="53">
        <v>206</v>
      </c>
      <c r="B95" s="53" t="s">
        <v>39</v>
      </c>
      <c r="C95" s="53" t="s">
        <v>86</v>
      </c>
      <c r="D95" s="53" t="s">
        <v>191</v>
      </c>
      <c r="E95" s="57" t="s">
        <v>5</v>
      </c>
      <c r="F95" s="51"/>
      <c r="G95" s="107">
        <f>VLOOKUP($A95, Stat!$A$1:$C$501, 2,0)</f>
        <v>28</v>
      </c>
      <c r="H95" s="107">
        <f>VLOOKUP($A95, Stat!$A$1:$C$501, 3,0)</f>
        <v>0</v>
      </c>
      <c r="M95" s="51"/>
      <c r="N95" s="51"/>
      <c r="O95" s="51"/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341</v>
      </c>
      <c r="B96" s="53" t="s">
        <v>41</v>
      </c>
      <c r="C96" s="53" t="s">
        <v>208</v>
      </c>
      <c r="D96" s="53" t="s">
        <v>196</v>
      </c>
      <c r="E96" s="53" t="s">
        <v>498</v>
      </c>
      <c r="G96" s="107">
        <f>VLOOKUP($A96, Stat!$A$1:$C$501, 2,0)</f>
        <v>25</v>
      </c>
      <c r="H96" s="107">
        <f>VLOOKUP($A96, Stat!$A$1:$C$501, 3,0)</f>
        <v>0</v>
      </c>
      <c r="N96" s="49">
        <v>1</v>
      </c>
      <c r="P96" s="53">
        <v>0</v>
      </c>
      <c r="Q96" s="53">
        <v>0</v>
      </c>
      <c r="S96" s="53" t="s">
        <v>499</v>
      </c>
      <c r="T96" s="53">
        <v>1</v>
      </c>
    </row>
    <row r="97" spans="1:20" ht="13.2" customHeight="1" x14ac:dyDescent="0.25">
      <c r="A97" s="53">
        <v>350</v>
      </c>
      <c r="B97" s="53" t="s">
        <v>41</v>
      </c>
      <c r="C97" s="53" t="s">
        <v>60</v>
      </c>
      <c r="D97" s="53" t="s">
        <v>521</v>
      </c>
      <c r="E97" s="53" t="s">
        <v>522</v>
      </c>
      <c r="G97" s="107">
        <f>VLOOKUP($A97, Stat!$A$1:$C$501, 2,0)</f>
        <v>30</v>
      </c>
      <c r="H97" s="107">
        <f>VLOOKUP($A97, Stat!$A$1:$C$501, 3,0)</f>
        <v>0</v>
      </c>
      <c r="P97" s="53">
        <v>60</v>
      </c>
      <c r="Q97" s="53">
        <v>0</v>
      </c>
      <c r="S97" s="53" t="s">
        <v>525</v>
      </c>
      <c r="T97" s="53">
        <v>1</v>
      </c>
    </row>
    <row r="98" spans="1:20" ht="13.2" hidden="1" customHeight="1" x14ac:dyDescent="0.25">
      <c r="A98" s="53">
        <v>99</v>
      </c>
      <c r="B98" s="53" t="s">
        <v>41</v>
      </c>
      <c r="C98" s="53" t="s">
        <v>18</v>
      </c>
      <c r="D98" s="53" t="s">
        <v>97</v>
      </c>
      <c r="E98" s="57" t="s">
        <v>212</v>
      </c>
      <c r="F98" s="50" t="s">
        <v>272</v>
      </c>
      <c r="G98" s="107">
        <f>VLOOKUP($A98, Stat!$A$1:$C$501, 2,0)</f>
        <v>140</v>
      </c>
      <c r="H98" s="107">
        <f>VLOOKUP($A98, Stat!$A$1:$C$501, 3,0)</f>
        <v>4</v>
      </c>
      <c r="I98" s="110"/>
      <c r="M98" s="50"/>
      <c r="N98" s="51"/>
      <c r="O98" s="50" t="s">
        <v>270</v>
      </c>
      <c r="P98" s="53">
        <v>30</v>
      </c>
      <c r="Q98" s="53">
        <v>0</v>
      </c>
      <c r="T98" s="53">
        <v>1</v>
      </c>
    </row>
    <row r="99" spans="1:20" ht="13.2" customHeight="1" x14ac:dyDescent="0.25">
      <c r="A99" s="53">
        <v>26</v>
      </c>
      <c r="B99" s="53" t="s">
        <v>39</v>
      </c>
      <c r="C99" s="53" t="s">
        <v>15</v>
      </c>
      <c r="D99" s="53" t="s">
        <v>56</v>
      </c>
      <c r="E99" s="57" t="s">
        <v>94</v>
      </c>
      <c r="F99" s="51"/>
      <c r="G99" s="107">
        <f>VLOOKUP($A99, Stat!$A$1:$C$501, 2,0)</f>
        <v>29</v>
      </c>
      <c r="H99" s="107">
        <f>VLOOKUP($A99, Stat!$A$1:$C$501, 3,0)</f>
        <v>0</v>
      </c>
      <c r="L99" s="49">
        <v>1</v>
      </c>
      <c r="M99" s="51"/>
      <c r="N99" s="51"/>
      <c r="O99" s="51"/>
      <c r="P99" s="53">
        <v>60</v>
      </c>
      <c r="Q99" s="53">
        <v>-1</v>
      </c>
      <c r="S99" s="53" t="s">
        <v>230</v>
      </c>
      <c r="T99" s="53">
        <v>1</v>
      </c>
    </row>
    <row r="100" spans="1:20" ht="13.2" customHeight="1" x14ac:dyDescent="0.25">
      <c r="A100" s="53">
        <v>118</v>
      </c>
      <c r="B100" s="53" t="s">
        <v>39</v>
      </c>
      <c r="C100" s="53" t="s">
        <v>86</v>
      </c>
      <c r="D100" s="53" t="s">
        <v>171</v>
      </c>
      <c r="E100" s="57" t="s">
        <v>5</v>
      </c>
      <c r="F100" s="51"/>
      <c r="G100" s="107">
        <f>VLOOKUP($A100, Stat!$A$1:$C$501, 2,0)</f>
        <v>29</v>
      </c>
      <c r="H100" s="107">
        <f>VLOOKUP($A100, Stat!$A$1:$C$501, 3,0)</f>
        <v>0</v>
      </c>
      <c r="M100" s="50" t="s">
        <v>400</v>
      </c>
      <c r="N100" s="51"/>
      <c r="O100" s="51"/>
      <c r="P100" s="53">
        <v>60</v>
      </c>
      <c r="Q100" s="53">
        <v>-1</v>
      </c>
      <c r="R100" s="53" t="s">
        <v>172</v>
      </c>
      <c r="T100" s="53">
        <v>1</v>
      </c>
    </row>
    <row r="101" spans="1:20" ht="13.2" customHeight="1" x14ac:dyDescent="0.25">
      <c r="A101" s="53">
        <v>256</v>
      </c>
      <c r="B101" s="53" t="s">
        <v>41</v>
      </c>
      <c r="C101" s="53" t="s">
        <v>251</v>
      </c>
      <c r="D101" s="53" t="s">
        <v>252</v>
      </c>
      <c r="E101" s="53" t="s">
        <v>321</v>
      </c>
      <c r="G101" s="107">
        <f>VLOOKUP($A101, Stat!$A$1:$C$501, 2,0)</f>
        <v>29</v>
      </c>
      <c r="H101" s="107">
        <f>VLOOKUP($A101, Stat!$A$1:$C$501, 3,0)</f>
        <v>0</v>
      </c>
      <c r="N101" s="49">
        <v>1</v>
      </c>
      <c r="P101" s="53">
        <v>0</v>
      </c>
      <c r="Q101" s="53">
        <v>1</v>
      </c>
      <c r="S101" s="53" t="s">
        <v>322</v>
      </c>
      <c r="T101" s="53">
        <v>1</v>
      </c>
    </row>
    <row r="102" spans="1:20" ht="13.2" customHeight="1" x14ac:dyDescent="0.25">
      <c r="A102" s="53">
        <v>345</v>
      </c>
      <c r="B102" s="53" t="s">
        <v>39</v>
      </c>
      <c r="C102" s="53" t="s">
        <v>15</v>
      </c>
      <c r="D102" s="53" t="s">
        <v>507</v>
      </c>
      <c r="E102" s="53" t="s">
        <v>509</v>
      </c>
      <c r="G102" s="107">
        <f>VLOOKUP($A102, Stat!$A$1:$C$501, 2,0)</f>
        <v>27</v>
      </c>
      <c r="H102" s="107">
        <f>VLOOKUP($A102, Stat!$A$1:$C$501, 3,0)</f>
        <v>0</v>
      </c>
      <c r="P102" s="53">
        <v>0</v>
      </c>
      <c r="Q102" s="53">
        <v>0</v>
      </c>
      <c r="S102" s="53" t="s">
        <v>512</v>
      </c>
      <c r="T102" s="53">
        <v>1</v>
      </c>
    </row>
    <row r="103" spans="1:20" ht="13.2" customHeight="1" x14ac:dyDescent="0.25">
      <c r="A103" s="53">
        <v>25</v>
      </c>
      <c r="B103" s="53" t="s">
        <v>39</v>
      </c>
      <c r="C103" s="53" t="s">
        <v>7</v>
      </c>
      <c r="D103" s="53" t="s">
        <v>169</v>
      </c>
      <c r="E103" s="57" t="s">
        <v>413</v>
      </c>
      <c r="F103" s="51"/>
      <c r="G103" s="107">
        <f>VLOOKUP($A103, Stat!$A$1:$C$501, 2,0)</f>
        <v>22</v>
      </c>
      <c r="H103" s="107">
        <f>VLOOKUP($A103, Stat!$A$1:$C$501, 3,0)</f>
        <v>0</v>
      </c>
      <c r="L103" s="49">
        <v>1</v>
      </c>
      <c r="M103" s="50" t="s">
        <v>420</v>
      </c>
      <c r="N103" s="51"/>
      <c r="O103" s="51"/>
      <c r="P103" s="53">
        <v>60</v>
      </c>
      <c r="Q103" s="53">
        <v>0</v>
      </c>
      <c r="S103" s="53" t="s">
        <v>229</v>
      </c>
      <c r="T103" s="53">
        <v>1</v>
      </c>
    </row>
    <row r="104" spans="1:20" ht="13.2" customHeight="1" x14ac:dyDescent="0.25">
      <c r="A104" s="53">
        <v>105</v>
      </c>
      <c r="B104" s="53" t="s">
        <v>39</v>
      </c>
      <c r="C104" s="53" t="s">
        <v>87</v>
      </c>
      <c r="D104" s="53" t="s">
        <v>81</v>
      </c>
      <c r="E104" s="57" t="s">
        <v>4</v>
      </c>
      <c r="F104" s="51"/>
      <c r="G104" s="107">
        <f>VLOOKUP($A104, Stat!$A$1:$C$501, 2,0)</f>
        <v>22</v>
      </c>
      <c r="H104" s="107">
        <f>VLOOKUP($A104, Stat!$A$1:$C$501, 3,0)</f>
        <v>0</v>
      </c>
      <c r="M104" s="51"/>
      <c r="N104" s="51"/>
      <c r="O104" s="51"/>
      <c r="P104" s="53">
        <v>10</v>
      </c>
      <c r="Q104" s="53">
        <v>-1</v>
      </c>
      <c r="T104" s="53">
        <v>1</v>
      </c>
    </row>
    <row r="105" spans="1:20" ht="13.2" customHeight="1" x14ac:dyDescent="0.25">
      <c r="A105" s="53">
        <v>54</v>
      </c>
      <c r="B105" s="53" t="s">
        <v>39</v>
      </c>
      <c r="C105" s="53" t="s">
        <v>87</v>
      </c>
      <c r="D105" s="53" t="s">
        <v>85</v>
      </c>
      <c r="E105" s="57" t="s">
        <v>4</v>
      </c>
      <c r="F105" s="51"/>
      <c r="G105" s="107">
        <f>VLOOKUP($A105, Stat!$A$1:$C$501, 2,0)</f>
        <v>20</v>
      </c>
      <c r="H105" s="107">
        <f>VLOOKUP($A105, Stat!$A$1:$C$501, 3,0)</f>
        <v>0</v>
      </c>
      <c r="M105" s="51"/>
      <c r="N105" s="51"/>
      <c r="O105" s="51"/>
      <c r="P105" s="53">
        <v>10</v>
      </c>
      <c r="Q105" s="53">
        <v>-1</v>
      </c>
      <c r="T105" s="53">
        <v>1</v>
      </c>
    </row>
    <row r="106" spans="1:20" ht="13.2" customHeight="1" x14ac:dyDescent="0.25">
      <c r="A106" s="53">
        <v>56</v>
      </c>
      <c r="B106" s="53" t="s">
        <v>39</v>
      </c>
      <c r="C106" s="53" t="s">
        <v>87</v>
      </c>
      <c r="D106" s="53" t="s">
        <v>85</v>
      </c>
      <c r="E106" s="57" t="s">
        <v>51</v>
      </c>
      <c r="F106" s="51"/>
      <c r="G106" s="107">
        <f>VLOOKUP($A106, Stat!$A$1:$C$501, 2,0)</f>
        <v>22</v>
      </c>
      <c r="H106" s="107">
        <f>VLOOKUP($A106, Stat!$A$1:$C$501, 3,0)</f>
        <v>0</v>
      </c>
      <c r="M106" s="51"/>
      <c r="N106" s="51"/>
      <c r="O106" s="51"/>
      <c r="P106" s="53">
        <v>60</v>
      </c>
      <c r="Q106" s="53">
        <v>-1</v>
      </c>
      <c r="T106" s="53">
        <v>1</v>
      </c>
    </row>
    <row r="107" spans="1:20" ht="13.2" customHeight="1" x14ac:dyDescent="0.25">
      <c r="A107" s="53">
        <v>72</v>
      </c>
      <c r="B107" s="53" t="s">
        <v>39</v>
      </c>
      <c r="C107" s="53" t="s">
        <v>15</v>
      </c>
      <c r="D107" s="53" t="s">
        <v>24</v>
      </c>
      <c r="E107" s="57" t="s">
        <v>383</v>
      </c>
      <c r="F107" s="51"/>
      <c r="G107" s="107">
        <f>VLOOKUP($A107, Stat!$A$1:$C$501, 2,0)</f>
        <v>22</v>
      </c>
      <c r="H107" s="107">
        <f>VLOOKUP($A107, Stat!$A$1:$C$501, 3,0)</f>
        <v>0</v>
      </c>
      <c r="M107" s="51"/>
      <c r="N107" s="51"/>
      <c r="O107" s="51"/>
      <c r="P107" s="53">
        <v>60</v>
      </c>
      <c r="Q107" s="53">
        <v>0</v>
      </c>
      <c r="S107" s="53" t="s">
        <v>232</v>
      </c>
      <c r="T107" s="53">
        <v>1</v>
      </c>
    </row>
    <row r="108" spans="1:20" ht="13.2" hidden="1" customHeight="1" x14ac:dyDescent="0.25">
      <c r="A108" s="53">
        <v>109</v>
      </c>
      <c r="B108" s="53" t="s">
        <v>39</v>
      </c>
      <c r="C108" s="53" t="s">
        <v>83</v>
      </c>
      <c r="D108" s="53" t="s">
        <v>126</v>
      </c>
      <c r="E108" s="57" t="s">
        <v>4</v>
      </c>
      <c r="F108" s="51"/>
      <c r="G108" s="107">
        <f>VLOOKUP($A108, Stat!$A$1:$C$501, 2,0)</f>
        <v>11</v>
      </c>
      <c r="H108" s="107">
        <f>VLOOKUP($A108, Stat!$A$1:$C$501, 3,0)</f>
        <v>4</v>
      </c>
      <c r="I108" s="49">
        <v>1</v>
      </c>
      <c r="M108" s="50" t="s">
        <v>265</v>
      </c>
      <c r="N108" s="51"/>
      <c r="O108" s="51"/>
      <c r="P108" s="53">
        <v>0</v>
      </c>
      <c r="Q108" s="53">
        <v>0</v>
      </c>
      <c r="T108" s="53">
        <v>1</v>
      </c>
    </row>
    <row r="109" spans="1:20" ht="13.2" hidden="1" customHeight="1" x14ac:dyDescent="0.25">
      <c r="A109" s="53">
        <v>110</v>
      </c>
      <c r="B109" s="53" t="s">
        <v>39</v>
      </c>
      <c r="C109" s="53" t="s">
        <v>83</v>
      </c>
      <c r="D109" s="53" t="s">
        <v>126</v>
      </c>
      <c r="E109" s="57" t="s">
        <v>5</v>
      </c>
      <c r="F109" s="51"/>
      <c r="G109" s="107">
        <f>VLOOKUP($A109, Stat!$A$1:$C$501, 2,0)</f>
        <v>9</v>
      </c>
      <c r="H109" s="107">
        <f>VLOOKUP($A109, Stat!$A$1:$C$501, 3,0)</f>
        <v>3</v>
      </c>
      <c r="I109" s="49">
        <v>1</v>
      </c>
      <c r="M109" s="50" t="s">
        <v>266</v>
      </c>
      <c r="N109" s="51"/>
      <c r="O109" s="51"/>
      <c r="P109" s="53">
        <v>60</v>
      </c>
      <c r="Q109" s="53">
        <v>0</v>
      </c>
      <c r="T109" s="53">
        <v>1</v>
      </c>
    </row>
    <row r="110" spans="1:20" ht="13.2" customHeight="1" x14ac:dyDescent="0.25">
      <c r="A110" s="53">
        <v>73</v>
      </c>
      <c r="B110" s="53" t="s">
        <v>39</v>
      </c>
      <c r="C110" s="53" t="s">
        <v>15</v>
      </c>
      <c r="D110" s="53" t="s">
        <v>24</v>
      </c>
      <c r="E110" s="57" t="s">
        <v>384</v>
      </c>
      <c r="F110" s="51"/>
      <c r="G110" s="107">
        <f>VLOOKUP($A110, Stat!$A$1:$C$501, 2,0)</f>
        <v>22</v>
      </c>
      <c r="H110" s="107">
        <f>VLOOKUP($A110, Stat!$A$1:$C$501, 3,0)</f>
        <v>0</v>
      </c>
      <c r="M110" s="51"/>
      <c r="N110" s="51"/>
      <c r="O110" s="51"/>
      <c r="P110" s="53">
        <v>60</v>
      </c>
      <c r="Q110" s="53">
        <v>0</v>
      </c>
      <c r="S110" s="53" t="s">
        <v>232</v>
      </c>
      <c r="T110" s="53">
        <v>1</v>
      </c>
    </row>
    <row r="111" spans="1:20" ht="13.2" customHeight="1" x14ac:dyDescent="0.25">
      <c r="A111" s="53">
        <v>39</v>
      </c>
      <c r="B111" s="53" t="s">
        <v>39</v>
      </c>
      <c r="C111" s="53" t="s">
        <v>15</v>
      </c>
      <c r="D111" s="53" t="s">
        <v>168</v>
      </c>
      <c r="E111" s="57" t="s">
        <v>376</v>
      </c>
      <c r="F111" s="51"/>
      <c r="G111" s="107">
        <f>VLOOKUP($A111, Stat!$A$1:$C$501, 2,0)</f>
        <v>21</v>
      </c>
      <c r="H111" s="107">
        <f>VLOOKUP($A111, Stat!$A$1:$C$501, 3,0)</f>
        <v>0</v>
      </c>
      <c r="M111" s="51"/>
      <c r="N111" s="51"/>
      <c r="O111" s="51"/>
      <c r="P111" s="53">
        <v>60</v>
      </c>
      <c r="Q111" s="53">
        <v>0</v>
      </c>
      <c r="R111" s="53" t="s">
        <v>78</v>
      </c>
      <c r="T111" s="53">
        <v>1</v>
      </c>
    </row>
    <row r="112" spans="1:20" ht="13.2" customHeight="1" x14ac:dyDescent="0.25">
      <c r="A112" s="53">
        <v>95</v>
      </c>
      <c r="B112" s="53" t="s">
        <v>41</v>
      </c>
      <c r="C112" s="53" t="s">
        <v>64</v>
      </c>
      <c r="D112" s="53" t="s">
        <v>164</v>
      </c>
      <c r="E112" s="57" t="s">
        <v>52</v>
      </c>
      <c r="F112" s="51"/>
      <c r="G112" s="107">
        <f>VLOOKUP($A112, Stat!$A$1:$C$501, 2,0)</f>
        <v>20</v>
      </c>
      <c r="H112" s="107">
        <f>VLOOKUP($A112, Stat!$A$1:$C$501, 3,0)</f>
        <v>0</v>
      </c>
      <c r="L112" s="49">
        <v>1</v>
      </c>
      <c r="M112" s="50" t="s">
        <v>277</v>
      </c>
      <c r="N112" s="51"/>
      <c r="O112" s="51"/>
      <c r="P112" s="53">
        <v>60</v>
      </c>
      <c r="Q112" s="53">
        <v>0</v>
      </c>
      <c r="R112" s="53" t="s">
        <v>137</v>
      </c>
      <c r="T112" s="53">
        <v>1</v>
      </c>
    </row>
    <row r="113" spans="1:20" ht="13.2" customHeight="1" x14ac:dyDescent="0.25">
      <c r="A113" s="53">
        <v>119</v>
      </c>
      <c r="B113" s="53" t="s">
        <v>39</v>
      </c>
      <c r="C113" s="53" t="s">
        <v>86</v>
      </c>
      <c r="D113" s="53" t="s">
        <v>171</v>
      </c>
      <c r="E113" s="57" t="s">
        <v>51</v>
      </c>
      <c r="F113" s="51"/>
      <c r="G113" s="107">
        <f>VLOOKUP($A113, Stat!$A$1:$C$501, 2,0)</f>
        <v>21</v>
      </c>
      <c r="H113" s="107">
        <f>VLOOKUP($A113, Stat!$A$1:$C$501, 3,0)</f>
        <v>0</v>
      </c>
      <c r="M113" s="50" t="s">
        <v>401</v>
      </c>
      <c r="N113" s="51"/>
      <c r="O113" s="51"/>
      <c r="P113" s="53">
        <v>100</v>
      </c>
      <c r="Q113" s="53">
        <v>-1</v>
      </c>
      <c r="R113" s="53" t="s">
        <v>172</v>
      </c>
      <c r="T113" s="53">
        <v>1</v>
      </c>
    </row>
    <row r="114" spans="1:20" ht="13.2" customHeight="1" x14ac:dyDescent="0.25">
      <c r="A114" s="53">
        <v>115</v>
      </c>
      <c r="B114" s="53" t="s">
        <v>39</v>
      </c>
      <c r="C114" s="53" t="s">
        <v>86</v>
      </c>
      <c r="D114" s="53" t="s">
        <v>2</v>
      </c>
      <c r="E114" s="57" t="s">
        <v>51</v>
      </c>
      <c r="F114" s="50"/>
      <c r="G114" s="107">
        <f>VLOOKUP($A114, Stat!$A$1:$C$501, 2,0)</f>
        <v>19</v>
      </c>
      <c r="H114" s="107">
        <f>VLOOKUP($A114, Stat!$A$1:$C$501, 3,0)</f>
        <v>0</v>
      </c>
      <c r="I114" s="109"/>
      <c r="M114" s="50" t="s">
        <v>401</v>
      </c>
      <c r="N114" s="51"/>
      <c r="O114" s="50"/>
      <c r="P114" s="53">
        <v>100</v>
      </c>
      <c r="Q114" s="53">
        <v>0</v>
      </c>
      <c r="T114" s="53">
        <v>1</v>
      </c>
    </row>
    <row r="115" spans="1:20" ht="13.2" customHeight="1" x14ac:dyDescent="0.25">
      <c r="A115" s="53">
        <v>4</v>
      </c>
      <c r="B115" s="53" t="s">
        <v>39</v>
      </c>
      <c r="C115" s="53" t="s">
        <v>14</v>
      </c>
      <c r="D115" s="53" t="s">
        <v>386</v>
      </c>
      <c r="E115" s="57" t="s">
        <v>141</v>
      </c>
      <c r="F115" s="51"/>
      <c r="G115" s="107">
        <f>VLOOKUP($A115, Stat!$A$1:$C$501, 2,0)</f>
        <v>19</v>
      </c>
      <c r="H115" s="107">
        <f>VLOOKUP($A115, Stat!$A$1:$C$501, 3,0)</f>
        <v>0</v>
      </c>
      <c r="I115" s="110"/>
      <c r="J115" s="49">
        <v>1</v>
      </c>
      <c r="K115" s="49">
        <v>999</v>
      </c>
      <c r="M115" s="51"/>
      <c r="N115" s="51"/>
      <c r="O115" s="51"/>
      <c r="P115" s="53">
        <v>0</v>
      </c>
      <c r="Q115" s="53">
        <v>0</v>
      </c>
      <c r="S115" s="53" t="s">
        <v>467</v>
      </c>
      <c r="T115" s="53">
        <v>1</v>
      </c>
    </row>
    <row r="116" spans="1:20" ht="13.2" customHeight="1" x14ac:dyDescent="0.25">
      <c r="A116" s="53">
        <v>113</v>
      </c>
      <c r="B116" s="53" t="s">
        <v>39</v>
      </c>
      <c r="C116" s="53" t="s">
        <v>86</v>
      </c>
      <c r="D116" s="53" t="s">
        <v>2</v>
      </c>
      <c r="E116" s="57" t="s">
        <v>4</v>
      </c>
      <c r="F116" s="50"/>
      <c r="G116" s="107">
        <f>VLOOKUP($A116, Stat!$A$1:$C$501, 2,0)</f>
        <v>19</v>
      </c>
      <c r="H116" s="107">
        <f>VLOOKUP($A116, Stat!$A$1:$C$501, 3,0)</f>
        <v>0</v>
      </c>
      <c r="I116" s="109"/>
      <c r="M116" s="50" t="s">
        <v>399</v>
      </c>
      <c r="N116" s="51"/>
      <c r="O116" s="50"/>
      <c r="P116" s="53">
        <v>0</v>
      </c>
      <c r="Q116" s="53">
        <v>-1</v>
      </c>
      <c r="T116" s="53">
        <v>1</v>
      </c>
    </row>
    <row r="117" spans="1:20" ht="13.2" customHeight="1" x14ac:dyDescent="0.25">
      <c r="A117" s="53">
        <v>18</v>
      </c>
      <c r="B117" s="53" t="s">
        <v>39</v>
      </c>
      <c r="C117" s="53" t="s">
        <v>16</v>
      </c>
      <c r="D117" s="53" t="s">
        <v>502</v>
      </c>
      <c r="E117" s="57" t="s">
        <v>49</v>
      </c>
      <c r="F117" s="51"/>
      <c r="G117" s="107">
        <f>VLOOKUP($A117, Stat!$A$1:$C$501, 2,0)</f>
        <v>18</v>
      </c>
      <c r="H117" s="107">
        <f>VLOOKUP($A117, Stat!$A$1:$C$501, 3,0)</f>
        <v>0</v>
      </c>
      <c r="I117" s="49">
        <v>1</v>
      </c>
      <c r="M117" s="51"/>
      <c r="N117" s="51"/>
      <c r="O117" s="51"/>
      <c r="P117" s="53">
        <v>0</v>
      </c>
      <c r="Q117" s="53">
        <v>1</v>
      </c>
      <c r="R117" s="53" t="s">
        <v>504</v>
      </c>
      <c r="T117" s="53">
        <v>1</v>
      </c>
    </row>
    <row r="118" spans="1:20" ht="13.2" customHeight="1" x14ac:dyDescent="0.25">
      <c r="A118" s="53">
        <v>279</v>
      </c>
      <c r="B118" s="53" t="s">
        <v>41</v>
      </c>
      <c r="C118" s="53" t="s">
        <v>251</v>
      </c>
      <c r="D118" s="53" t="s">
        <v>252</v>
      </c>
      <c r="E118" s="53" t="s">
        <v>315</v>
      </c>
      <c r="G118" s="107">
        <f>VLOOKUP($A118, Stat!$A$1:$C$501, 2,0)</f>
        <v>18</v>
      </c>
      <c r="H118" s="107">
        <f>VLOOKUP($A118, Stat!$A$1:$C$501, 3,0)</f>
        <v>0</v>
      </c>
      <c r="I118" s="109"/>
      <c r="N118" s="49">
        <v>1</v>
      </c>
      <c r="P118" s="53">
        <v>40</v>
      </c>
      <c r="Q118" s="53">
        <v>1</v>
      </c>
      <c r="T118" s="53">
        <v>1</v>
      </c>
    </row>
    <row r="119" spans="1:20" ht="13.2" customHeight="1" x14ac:dyDescent="0.25">
      <c r="A119" s="53">
        <v>98</v>
      </c>
      <c r="B119" s="53" t="s">
        <v>39</v>
      </c>
      <c r="C119" s="53" t="s">
        <v>17</v>
      </c>
      <c r="D119" s="53" t="s">
        <v>158</v>
      </c>
      <c r="E119" s="57" t="s">
        <v>515</v>
      </c>
      <c r="F119" s="51"/>
      <c r="G119" s="107">
        <f>VLOOKUP($A119, Stat!$A$1:$C$501, 2,0)</f>
        <v>17</v>
      </c>
      <c r="H119" s="107">
        <f>VLOOKUP($A119, Stat!$A$1:$C$501, 3,0)</f>
        <v>0</v>
      </c>
      <c r="I119" s="110"/>
      <c r="J119" s="49">
        <v>1</v>
      </c>
      <c r="M119" s="51"/>
      <c r="N119" s="51"/>
      <c r="O119" s="51"/>
      <c r="P119" s="53">
        <v>0</v>
      </c>
      <c r="Q119" s="53">
        <v>0</v>
      </c>
      <c r="S119" s="53" t="s">
        <v>234</v>
      </c>
      <c r="T119" s="53">
        <v>1</v>
      </c>
    </row>
    <row r="120" spans="1:20" ht="13.2" customHeight="1" x14ac:dyDescent="0.25">
      <c r="A120" s="53">
        <v>207</v>
      </c>
      <c r="B120" s="53" t="s">
        <v>39</v>
      </c>
      <c r="C120" s="53" t="s">
        <v>86</v>
      </c>
      <c r="D120" s="53" t="s">
        <v>191</v>
      </c>
      <c r="E120" s="57" t="s">
        <v>51</v>
      </c>
      <c r="F120" s="51"/>
      <c r="G120" s="107">
        <f>VLOOKUP($A120, Stat!$A$1:$C$501, 2,0)</f>
        <v>17</v>
      </c>
      <c r="H120" s="107">
        <f>VLOOKUP($A120, Stat!$A$1:$C$501, 3,0)</f>
        <v>0</v>
      </c>
      <c r="I120" s="109"/>
      <c r="M120" s="51"/>
      <c r="N120" s="51"/>
      <c r="O120" s="51"/>
      <c r="P120" s="53">
        <v>100</v>
      </c>
      <c r="Q120" s="53">
        <v>-1</v>
      </c>
      <c r="T120" s="53">
        <v>1</v>
      </c>
    </row>
    <row r="121" spans="1:20" ht="13.2" customHeight="1" x14ac:dyDescent="0.25">
      <c r="A121" s="53">
        <v>344</v>
      </c>
      <c r="B121" s="53" t="s">
        <v>39</v>
      </c>
      <c r="C121" s="53" t="s">
        <v>15</v>
      </c>
      <c r="D121" s="53" t="s">
        <v>507</v>
      </c>
      <c r="E121" s="53" t="s">
        <v>508</v>
      </c>
      <c r="G121" s="107">
        <f>VLOOKUP($A121, Stat!$A$1:$C$501, 2,0)</f>
        <v>17</v>
      </c>
      <c r="H121" s="107">
        <f>VLOOKUP($A121, Stat!$A$1:$C$501, 3,0)</f>
        <v>0</v>
      </c>
      <c r="I121" s="110"/>
      <c r="P121" s="53">
        <v>0</v>
      </c>
      <c r="Q121" s="53">
        <v>0</v>
      </c>
      <c r="S121" s="53" t="s">
        <v>512</v>
      </c>
      <c r="T121" s="53">
        <v>1</v>
      </c>
    </row>
    <row r="122" spans="1:20" ht="13.2" customHeight="1" x14ac:dyDescent="0.25">
      <c r="A122" s="53">
        <v>205</v>
      </c>
      <c r="B122" s="53" t="s">
        <v>39</v>
      </c>
      <c r="C122" s="53" t="s">
        <v>86</v>
      </c>
      <c r="D122" s="53" t="s">
        <v>191</v>
      </c>
      <c r="E122" s="57" t="s">
        <v>4</v>
      </c>
      <c r="F122" s="51"/>
      <c r="G122" s="107">
        <f>VLOOKUP($A122, Stat!$A$1:$C$501, 2,0)</f>
        <v>14</v>
      </c>
      <c r="H122" s="107">
        <f>VLOOKUP($A122, Stat!$A$1:$C$501, 3,0)</f>
        <v>0</v>
      </c>
      <c r="I122" s="109"/>
      <c r="M122" s="51"/>
      <c r="N122" s="51"/>
      <c r="O122" s="51"/>
      <c r="P122" s="53">
        <v>0</v>
      </c>
      <c r="Q122" s="53">
        <v>-1</v>
      </c>
      <c r="T122" s="53">
        <v>1</v>
      </c>
    </row>
    <row r="123" spans="1:20" ht="13.2" hidden="1" customHeight="1" x14ac:dyDescent="0.25">
      <c r="A123" s="53">
        <v>124</v>
      </c>
      <c r="B123" s="53" t="s">
        <v>39</v>
      </c>
      <c r="C123" s="53" t="s">
        <v>86</v>
      </c>
      <c r="D123" s="53" t="s">
        <v>86</v>
      </c>
      <c r="E123" s="57" t="s">
        <v>3</v>
      </c>
      <c r="F123" s="51"/>
      <c r="G123" s="107">
        <f>VLOOKUP($A123, Stat!$A$1:$C$501, 2,0)</f>
        <v>29</v>
      </c>
      <c r="H123" s="107">
        <f>VLOOKUP($A123, Stat!$A$1:$C$501, 3,0)</f>
        <v>1</v>
      </c>
      <c r="M123" s="50" t="s">
        <v>398</v>
      </c>
      <c r="N123" s="51"/>
      <c r="O123" s="51"/>
      <c r="P123" s="53">
        <v>0</v>
      </c>
      <c r="Q123" s="53">
        <v>-1</v>
      </c>
      <c r="R123" s="53" t="s">
        <v>173</v>
      </c>
      <c r="T123" s="53">
        <v>1</v>
      </c>
    </row>
    <row r="124" spans="1:20" ht="13.2" hidden="1" customHeight="1" x14ac:dyDescent="0.25">
      <c r="A124" s="53">
        <v>125</v>
      </c>
      <c r="B124" s="53" t="s">
        <v>39</v>
      </c>
      <c r="C124" s="53" t="s">
        <v>86</v>
      </c>
      <c r="D124" s="53" t="s">
        <v>86</v>
      </c>
      <c r="E124" s="57" t="s">
        <v>4</v>
      </c>
      <c r="F124" s="51"/>
      <c r="G124" s="107">
        <f>VLOOKUP($A124, Stat!$A$1:$C$501, 2,0)</f>
        <v>22</v>
      </c>
      <c r="H124" s="107">
        <f>VLOOKUP($A124, Stat!$A$1:$C$501, 3,0)</f>
        <v>1</v>
      </c>
      <c r="M124" s="50" t="s">
        <v>399</v>
      </c>
      <c r="N124" s="51"/>
      <c r="O124" s="51"/>
      <c r="P124" s="53">
        <v>0</v>
      </c>
      <c r="Q124" s="53">
        <v>0</v>
      </c>
      <c r="R124" s="53" t="s">
        <v>173</v>
      </c>
      <c r="S124" s="53" t="s">
        <v>445</v>
      </c>
      <c r="T124" s="53">
        <v>1</v>
      </c>
    </row>
    <row r="125" spans="1:20" ht="13.2" hidden="1" customHeight="1" x14ac:dyDescent="0.25">
      <c r="A125" s="53">
        <v>126</v>
      </c>
      <c r="B125" s="53" t="s">
        <v>39</v>
      </c>
      <c r="C125" s="53" t="s">
        <v>86</v>
      </c>
      <c r="D125" s="53" t="s">
        <v>86</v>
      </c>
      <c r="E125" s="57" t="s">
        <v>5</v>
      </c>
      <c r="F125" s="51"/>
      <c r="G125" s="107">
        <f>VLOOKUP($A125, Stat!$A$1:$C$501, 2,0)</f>
        <v>82</v>
      </c>
      <c r="H125" s="107">
        <f>VLOOKUP($A125, Stat!$A$1:$C$501, 3,0)</f>
        <v>1</v>
      </c>
      <c r="M125" s="50" t="s">
        <v>400</v>
      </c>
      <c r="N125" s="51"/>
      <c r="O125" s="51"/>
      <c r="P125" s="53">
        <v>60</v>
      </c>
      <c r="Q125" s="53">
        <v>0</v>
      </c>
      <c r="R125" s="53" t="s">
        <v>173</v>
      </c>
      <c r="T125" s="53">
        <v>1</v>
      </c>
    </row>
    <row r="126" spans="1:20" ht="13.2" hidden="1" customHeight="1" x14ac:dyDescent="0.25">
      <c r="A126" s="53">
        <v>127</v>
      </c>
      <c r="B126" s="53" t="s">
        <v>39</v>
      </c>
      <c r="C126" s="53" t="s">
        <v>86</v>
      </c>
      <c r="D126" s="53" t="s">
        <v>86</v>
      </c>
      <c r="E126" s="57" t="s">
        <v>51</v>
      </c>
      <c r="F126" s="51"/>
      <c r="G126" s="107">
        <f>VLOOKUP($A126, Stat!$A$1:$C$501, 2,0)</f>
        <v>96</v>
      </c>
      <c r="H126" s="107">
        <f>VLOOKUP($A126, Stat!$A$1:$C$501, 3,0)</f>
        <v>1</v>
      </c>
      <c r="M126" s="50" t="s">
        <v>401</v>
      </c>
      <c r="N126" s="51"/>
      <c r="O126" s="51"/>
      <c r="P126" s="53">
        <v>100</v>
      </c>
      <c r="Q126" s="53">
        <v>0</v>
      </c>
      <c r="R126" s="53" t="s">
        <v>173</v>
      </c>
      <c r="T126" s="53">
        <v>1</v>
      </c>
    </row>
    <row r="127" spans="1:20" ht="13.2" customHeight="1" x14ac:dyDescent="0.25">
      <c r="A127" s="53">
        <v>114</v>
      </c>
      <c r="B127" s="53" t="s">
        <v>39</v>
      </c>
      <c r="C127" s="53" t="s">
        <v>86</v>
      </c>
      <c r="D127" s="53" t="s">
        <v>2</v>
      </c>
      <c r="E127" s="57" t="s">
        <v>5</v>
      </c>
      <c r="F127" s="50"/>
      <c r="G127" s="107">
        <f>VLOOKUP($A127, Stat!$A$1:$C$501, 2,0)</f>
        <v>15</v>
      </c>
      <c r="H127" s="107">
        <f>VLOOKUP($A127, Stat!$A$1:$C$501, 3,0)</f>
        <v>0</v>
      </c>
      <c r="I127" s="109"/>
      <c r="M127" s="50" t="s">
        <v>400</v>
      </c>
      <c r="N127" s="51"/>
      <c r="O127" s="50"/>
      <c r="P127" s="53">
        <v>60</v>
      </c>
      <c r="Q127" s="53">
        <v>0</v>
      </c>
      <c r="T127" s="53">
        <v>1</v>
      </c>
    </row>
    <row r="128" spans="1:20" ht="13.2" hidden="1" customHeight="1" x14ac:dyDescent="0.25">
      <c r="A128" s="53">
        <v>129</v>
      </c>
      <c r="B128" s="53" t="s">
        <v>39</v>
      </c>
      <c r="C128" s="53" t="s">
        <v>83</v>
      </c>
      <c r="D128" s="53" t="s">
        <v>124</v>
      </c>
      <c r="E128" s="57" t="s">
        <v>4</v>
      </c>
      <c r="F128" s="51"/>
      <c r="G128" s="107">
        <f>VLOOKUP($A128, Stat!$A$1:$C$501, 2,0)</f>
        <v>58</v>
      </c>
      <c r="H128" s="107">
        <f>VLOOKUP($A128, Stat!$A$1:$C$501, 3,0)</f>
        <v>6</v>
      </c>
      <c r="I128" s="110"/>
      <c r="M128" s="51"/>
      <c r="N128" s="51"/>
      <c r="O128" s="51"/>
      <c r="P128" s="53">
        <v>0</v>
      </c>
      <c r="Q128" s="53">
        <v>-1</v>
      </c>
      <c r="T128" s="53">
        <v>1</v>
      </c>
    </row>
    <row r="129" spans="1:20" ht="13.2" hidden="1" customHeight="1" x14ac:dyDescent="0.25">
      <c r="A129" s="53">
        <v>130</v>
      </c>
      <c r="B129" s="53" t="s">
        <v>39</v>
      </c>
      <c r="C129" s="53" t="s">
        <v>83</v>
      </c>
      <c r="D129" s="53" t="s">
        <v>124</v>
      </c>
      <c r="E129" s="57" t="s">
        <v>5</v>
      </c>
      <c r="F129" s="51"/>
      <c r="G129" s="107">
        <f>VLOOKUP($A129, Stat!$A$1:$C$501, 2,0)</f>
        <v>37</v>
      </c>
      <c r="H129" s="107">
        <f>VLOOKUP($A129, Stat!$A$1:$C$501, 3,0)</f>
        <v>4</v>
      </c>
      <c r="I129" s="110"/>
      <c r="M129" s="51"/>
      <c r="N129" s="51"/>
      <c r="O129" s="51"/>
      <c r="P129" s="53">
        <v>40</v>
      </c>
      <c r="Q129" s="53">
        <v>-1</v>
      </c>
      <c r="T129" s="53">
        <v>1</v>
      </c>
    </row>
    <row r="130" spans="1:20" ht="13.2" hidden="1" customHeight="1" x14ac:dyDescent="0.25">
      <c r="A130" s="53">
        <v>131</v>
      </c>
      <c r="B130" s="53" t="s">
        <v>39</v>
      </c>
      <c r="C130" s="53" t="s">
        <v>83</v>
      </c>
      <c r="D130" s="53" t="s">
        <v>124</v>
      </c>
      <c r="E130" s="57" t="s">
        <v>51</v>
      </c>
      <c r="F130" s="51"/>
      <c r="G130" s="107">
        <f>VLOOKUP($A130, Stat!$A$1:$C$501, 2,0)</f>
        <v>27</v>
      </c>
      <c r="H130" s="107">
        <f>VLOOKUP($A130, Stat!$A$1:$C$501, 3,0)</f>
        <v>14</v>
      </c>
      <c r="I130" s="49">
        <v>1</v>
      </c>
      <c r="M130" s="51"/>
      <c r="N130" s="51"/>
      <c r="O130" s="51"/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261</v>
      </c>
      <c r="B131" s="53" t="s">
        <v>41</v>
      </c>
      <c r="C131" s="53" t="s">
        <v>251</v>
      </c>
      <c r="D131" s="53" t="s">
        <v>252</v>
      </c>
      <c r="E131" s="57" t="s">
        <v>255</v>
      </c>
      <c r="F131" s="51"/>
      <c r="G131" s="107">
        <f>VLOOKUP($A131, Stat!$A$1:$C$501, 2,0)</f>
        <v>15</v>
      </c>
      <c r="H131" s="107">
        <f>VLOOKUP($A131, Stat!$A$1:$C$501, 3,0)</f>
        <v>0</v>
      </c>
      <c r="I131" s="109"/>
      <c r="M131" s="51"/>
      <c r="N131" s="50" t="s">
        <v>272</v>
      </c>
      <c r="O131" s="51"/>
      <c r="P131" s="53">
        <v>40</v>
      </c>
      <c r="Q131" s="53">
        <v>1</v>
      </c>
      <c r="T131" s="53">
        <v>1</v>
      </c>
    </row>
    <row r="132" spans="1:20" ht="13.2" hidden="1" customHeight="1" x14ac:dyDescent="0.25">
      <c r="A132" s="53">
        <v>133</v>
      </c>
      <c r="B132" s="53" t="s">
        <v>39</v>
      </c>
      <c r="C132" s="53" t="s">
        <v>83</v>
      </c>
      <c r="D132" s="53" t="s">
        <v>127</v>
      </c>
      <c r="E132" s="57" t="s">
        <v>4</v>
      </c>
      <c r="F132" s="51"/>
      <c r="G132" s="107">
        <f>VLOOKUP($A132, Stat!$A$1:$C$501, 2,0)</f>
        <v>53</v>
      </c>
      <c r="H132" s="107">
        <f>VLOOKUP($A132, Stat!$A$1:$C$501, 3,0)</f>
        <v>4</v>
      </c>
      <c r="I132" s="110"/>
      <c r="M132" s="51"/>
      <c r="N132" s="51"/>
      <c r="O132" s="51"/>
      <c r="P132" s="53">
        <v>0</v>
      </c>
      <c r="Q132" s="53">
        <v>1</v>
      </c>
      <c r="T132" s="53">
        <v>1</v>
      </c>
    </row>
    <row r="133" spans="1:20" ht="13.2" hidden="1" customHeight="1" x14ac:dyDescent="0.25">
      <c r="A133" s="53">
        <v>134</v>
      </c>
      <c r="B133" s="53" t="s">
        <v>39</v>
      </c>
      <c r="C133" s="53" t="s">
        <v>83</v>
      </c>
      <c r="D133" s="53" t="s">
        <v>127</v>
      </c>
      <c r="E133" s="57" t="s">
        <v>5</v>
      </c>
      <c r="F133" s="51"/>
      <c r="G133" s="107">
        <f>VLOOKUP($A133, Stat!$A$1:$C$501, 2,0)</f>
        <v>32</v>
      </c>
      <c r="H133" s="107">
        <f>VLOOKUP($A133, Stat!$A$1:$C$501, 3,0)</f>
        <v>3</v>
      </c>
      <c r="I133" s="110"/>
      <c r="M133" s="50"/>
      <c r="N133" s="51"/>
      <c r="O133" s="51"/>
      <c r="P133" s="53">
        <v>40</v>
      </c>
      <c r="Q133" s="53">
        <v>1</v>
      </c>
      <c r="T133" s="53">
        <v>1</v>
      </c>
    </row>
    <row r="134" spans="1:20" ht="13.2" hidden="1" customHeight="1" x14ac:dyDescent="0.25">
      <c r="A134" s="53">
        <v>135</v>
      </c>
      <c r="B134" s="53" t="s">
        <v>39</v>
      </c>
      <c r="C134" s="53" t="s">
        <v>83</v>
      </c>
      <c r="D134" s="53" t="s">
        <v>127</v>
      </c>
      <c r="E134" s="57" t="s">
        <v>51</v>
      </c>
      <c r="F134" s="51"/>
      <c r="G134" s="107">
        <f>VLOOKUP($A134, Stat!$A$1:$C$501, 2,0)</f>
        <v>12</v>
      </c>
      <c r="H134" s="107">
        <f>VLOOKUP($A134, Stat!$A$1:$C$501, 3,0)</f>
        <v>4</v>
      </c>
      <c r="I134" s="49">
        <v>1</v>
      </c>
      <c r="M134" s="51"/>
      <c r="N134" s="51"/>
      <c r="O134" s="51"/>
      <c r="P134" s="53">
        <v>100</v>
      </c>
      <c r="Q134" s="53">
        <v>0</v>
      </c>
      <c r="T134" s="53">
        <v>1</v>
      </c>
    </row>
    <row r="135" spans="1:20" ht="13.2" hidden="1" customHeight="1" x14ac:dyDescent="0.25">
      <c r="A135" s="53">
        <v>136</v>
      </c>
      <c r="B135" s="53" t="s">
        <v>41</v>
      </c>
      <c r="C135" s="53" t="s">
        <v>64</v>
      </c>
      <c r="D135" s="53" t="s">
        <v>334</v>
      </c>
      <c r="E135" s="53" t="s">
        <v>535</v>
      </c>
      <c r="G135" s="107">
        <f>VLOOKUP($A135, Stat!$A$1:$C$501, 2,0)</f>
        <v>7</v>
      </c>
      <c r="H135" s="107">
        <f>VLOOKUP($A135, Stat!$A$1:$C$501, 3,0)</f>
        <v>2</v>
      </c>
      <c r="I135" s="49">
        <v>1</v>
      </c>
      <c r="P135" s="53">
        <v>0</v>
      </c>
      <c r="Q135" s="53">
        <v>1</v>
      </c>
      <c r="S135" s="53" t="s">
        <v>533</v>
      </c>
      <c r="T135" s="53">
        <v>1</v>
      </c>
    </row>
    <row r="136" spans="1:20" ht="13.2" hidden="1" customHeight="1" x14ac:dyDescent="0.25">
      <c r="A136" s="53">
        <v>137</v>
      </c>
      <c r="B136" s="53" t="s">
        <v>41</v>
      </c>
      <c r="C136" s="53" t="s">
        <v>64</v>
      </c>
      <c r="D136" s="53" t="s">
        <v>334</v>
      </c>
      <c r="E136" s="53" t="s">
        <v>352</v>
      </c>
      <c r="G136" s="107">
        <f>VLOOKUP($A136, Stat!$A$1:$C$501, 2,0)</f>
        <v>12</v>
      </c>
      <c r="H136" s="107">
        <f>VLOOKUP($A136, Stat!$A$1:$C$501, 3,0)</f>
        <v>2</v>
      </c>
      <c r="I136" s="49">
        <v>1</v>
      </c>
      <c r="P136" s="53">
        <v>0</v>
      </c>
      <c r="Q136" s="53">
        <v>1</v>
      </c>
      <c r="T136" s="53">
        <v>1</v>
      </c>
    </row>
    <row r="137" spans="1:20" ht="13.2" hidden="1" customHeight="1" x14ac:dyDescent="0.25">
      <c r="A137" s="53">
        <v>138</v>
      </c>
      <c r="B137" s="53" t="s">
        <v>41</v>
      </c>
      <c r="C137" s="53" t="s">
        <v>64</v>
      </c>
      <c r="D137" s="53" t="s">
        <v>334</v>
      </c>
      <c r="E137" s="53" t="s">
        <v>353</v>
      </c>
      <c r="G137" s="107">
        <f>VLOOKUP($A137, Stat!$A$1:$C$501, 2,0)</f>
        <v>9</v>
      </c>
      <c r="H137" s="107">
        <f>VLOOKUP($A137, Stat!$A$1:$C$501, 3,0)</f>
        <v>4</v>
      </c>
      <c r="I137" s="49">
        <v>1</v>
      </c>
      <c r="P137" s="53">
        <v>0</v>
      </c>
      <c r="Q137" s="53">
        <v>1</v>
      </c>
      <c r="T137" s="53">
        <v>1</v>
      </c>
    </row>
    <row r="138" spans="1:20" ht="13.2" hidden="1" customHeight="1" x14ac:dyDescent="0.25">
      <c r="A138" s="53">
        <v>139</v>
      </c>
      <c r="B138" s="53" t="s">
        <v>41</v>
      </c>
      <c r="C138" s="53" t="s">
        <v>208</v>
      </c>
      <c r="D138" s="53" t="s">
        <v>196</v>
      </c>
      <c r="E138" s="53" t="s">
        <v>365</v>
      </c>
      <c r="G138" s="107">
        <f>VLOOKUP($A138, Stat!$A$1:$C$501, 2,0)</f>
        <v>7</v>
      </c>
      <c r="H138" s="107">
        <f>VLOOKUP($A138, Stat!$A$1:$C$501, 3,0)</f>
        <v>7</v>
      </c>
      <c r="I138" s="49">
        <v>1</v>
      </c>
      <c r="P138" s="53">
        <v>0</v>
      </c>
      <c r="Q138" s="53">
        <v>0</v>
      </c>
      <c r="S138" s="53" t="s">
        <v>474</v>
      </c>
      <c r="T138" s="53">
        <v>1</v>
      </c>
    </row>
    <row r="139" spans="1:20" ht="13.2" hidden="1" customHeight="1" x14ac:dyDescent="0.25">
      <c r="A139" s="53">
        <v>140</v>
      </c>
      <c r="B139" s="53" t="s">
        <v>39</v>
      </c>
      <c r="C139" s="53" t="s">
        <v>83</v>
      </c>
      <c r="D139" s="53" t="s">
        <v>125</v>
      </c>
      <c r="E139" s="57" t="s">
        <v>3</v>
      </c>
      <c r="F139" s="51"/>
      <c r="G139" s="107">
        <f>VLOOKUP($A139, Stat!$A$1:$C$501, 2,0)</f>
        <v>68</v>
      </c>
      <c r="H139" s="107">
        <f>VLOOKUP($A139, Stat!$A$1:$C$501, 3,0)</f>
        <v>1</v>
      </c>
      <c r="I139" s="110"/>
      <c r="M139" s="50" t="s">
        <v>260</v>
      </c>
      <c r="N139" s="51"/>
      <c r="O139" s="51"/>
      <c r="P139" s="53">
        <v>0</v>
      </c>
      <c r="Q139" s="53">
        <v>-1</v>
      </c>
      <c r="T139" s="53">
        <v>1</v>
      </c>
    </row>
    <row r="140" spans="1:20" ht="13.2" hidden="1" customHeight="1" x14ac:dyDescent="0.25">
      <c r="A140" s="53">
        <v>141</v>
      </c>
      <c r="B140" s="53" t="s">
        <v>39</v>
      </c>
      <c r="C140" s="53" t="s">
        <v>83</v>
      </c>
      <c r="D140" s="53" t="s">
        <v>125</v>
      </c>
      <c r="E140" s="57" t="s">
        <v>4</v>
      </c>
      <c r="F140" s="51"/>
      <c r="G140" s="107">
        <f>VLOOKUP($A140, Stat!$A$1:$C$501, 2,0)</f>
        <v>27</v>
      </c>
      <c r="H140" s="107">
        <f>VLOOKUP($A140, Stat!$A$1:$C$501, 3,0)</f>
        <v>1</v>
      </c>
      <c r="I140" s="110"/>
      <c r="M140" s="50" t="s">
        <v>261</v>
      </c>
      <c r="N140" s="51"/>
      <c r="O140" s="51"/>
      <c r="P140" s="53">
        <v>0</v>
      </c>
      <c r="Q140" s="53">
        <v>-1</v>
      </c>
      <c r="T140" s="53">
        <v>1</v>
      </c>
    </row>
    <row r="141" spans="1:20" ht="13.2" hidden="1" customHeight="1" x14ac:dyDescent="0.25">
      <c r="A141" s="53">
        <v>142</v>
      </c>
      <c r="B141" s="53" t="s">
        <v>39</v>
      </c>
      <c r="C141" s="53" t="s">
        <v>83</v>
      </c>
      <c r="D141" s="53" t="s">
        <v>125</v>
      </c>
      <c r="E141" s="57" t="s">
        <v>5</v>
      </c>
      <c r="F141" s="51"/>
      <c r="G141" s="107">
        <f>VLOOKUP($A141, Stat!$A$1:$C$501, 2,0)</f>
        <v>11</v>
      </c>
      <c r="H141" s="107">
        <f>VLOOKUP($A141, Stat!$A$1:$C$501, 3,0)</f>
        <v>3</v>
      </c>
      <c r="I141" s="49">
        <v>1</v>
      </c>
      <c r="M141" s="50" t="s">
        <v>262</v>
      </c>
      <c r="N141" s="51"/>
      <c r="O141" s="51"/>
      <c r="P141" s="53">
        <v>60</v>
      </c>
      <c r="Q141" s="53">
        <v>0</v>
      </c>
      <c r="T141" s="53">
        <v>1</v>
      </c>
    </row>
    <row r="142" spans="1:20" ht="13.2" hidden="1" customHeight="1" x14ac:dyDescent="0.25">
      <c r="A142" s="53">
        <v>143</v>
      </c>
      <c r="B142" s="53" t="s">
        <v>39</v>
      </c>
      <c r="C142" s="53" t="s">
        <v>83</v>
      </c>
      <c r="D142" s="53" t="s">
        <v>125</v>
      </c>
      <c r="E142" s="57" t="s">
        <v>51</v>
      </c>
      <c r="F142" s="51"/>
      <c r="G142" s="107">
        <f>VLOOKUP($A142, Stat!$A$1:$C$501, 2,0)</f>
        <v>5</v>
      </c>
      <c r="H142" s="107">
        <f>VLOOKUP($A142, Stat!$A$1:$C$501, 3,0)</f>
        <v>4</v>
      </c>
      <c r="I142" s="49">
        <v>1</v>
      </c>
      <c r="M142" s="50" t="s">
        <v>263</v>
      </c>
      <c r="N142" s="51"/>
      <c r="O142" s="51"/>
      <c r="P142" s="53">
        <v>100</v>
      </c>
      <c r="Q142" s="53">
        <v>0</v>
      </c>
      <c r="T142" s="53">
        <v>1</v>
      </c>
    </row>
    <row r="143" spans="1:20" ht="13.2" customHeight="1" x14ac:dyDescent="0.25">
      <c r="A143" s="53">
        <v>45</v>
      </c>
      <c r="B143" s="53" t="s">
        <v>39</v>
      </c>
      <c r="C143" s="53" t="s">
        <v>87</v>
      </c>
      <c r="D143" s="53" t="s">
        <v>99</v>
      </c>
      <c r="E143" s="57" t="s">
        <v>51</v>
      </c>
      <c r="F143" s="51"/>
      <c r="G143" s="107">
        <f>VLOOKUP($A143, Stat!$A$1:$C$501, 2,0)</f>
        <v>13</v>
      </c>
      <c r="H143" s="107">
        <f>VLOOKUP($A143, Stat!$A$1:$C$501, 3,0)</f>
        <v>0</v>
      </c>
      <c r="I143" s="109"/>
      <c r="K143" s="49">
        <v>999</v>
      </c>
      <c r="M143" s="51"/>
      <c r="N143" s="51"/>
      <c r="O143" s="51"/>
      <c r="P143" s="53">
        <v>60</v>
      </c>
      <c r="Q143" s="53">
        <v>-1</v>
      </c>
      <c r="R143" s="53" t="s">
        <v>88</v>
      </c>
      <c r="T143" s="53">
        <v>1</v>
      </c>
    </row>
    <row r="144" spans="1:20" ht="13.2" customHeight="1" x14ac:dyDescent="0.25">
      <c r="A144" s="53">
        <v>96</v>
      </c>
      <c r="B144" s="53" t="s">
        <v>41</v>
      </c>
      <c r="C144" s="53" t="s">
        <v>64</v>
      </c>
      <c r="D144" s="53" t="s">
        <v>79</v>
      </c>
      <c r="E144" s="57" t="s">
        <v>53</v>
      </c>
      <c r="F144" s="51"/>
      <c r="G144" s="107">
        <f>VLOOKUP($A144, Stat!$A$1:$C$501, 2,0)</f>
        <v>14</v>
      </c>
      <c r="H144" s="107">
        <f>VLOOKUP($A144, Stat!$A$1:$C$501, 3,0)</f>
        <v>0</v>
      </c>
      <c r="I144" s="110"/>
      <c r="M144" s="51"/>
      <c r="N144" s="51"/>
      <c r="O144" s="51"/>
      <c r="P144" s="53">
        <v>0</v>
      </c>
      <c r="Q144" s="53">
        <v>0</v>
      </c>
      <c r="R144" s="53" t="s">
        <v>80</v>
      </c>
      <c r="T144" s="53">
        <v>1</v>
      </c>
    </row>
    <row r="145" spans="1:20" ht="13.2" customHeight="1" x14ac:dyDescent="0.25">
      <c r="A145" s="53">
        <v>189</v>
      </c>
      <c r="B145" s="53" t="s">
        <v>41</v>
      </c>
      <c r="C145" s="53" t="s">
        <v>64</v>
      </c>
      <c r="D145" s="53" t="s">
        <v>140</v>
      </c>
      <c r="E145" s="57" t="s">
        <v>314</v>
      </c>
      <c r="F145" s="51"/>
      <c r="G145" s="107">
        <f>VLOOKUP($A145, Stat!$A$1:$C$501, 2,0)</f>
        <v>14</v>
      </c>
      <c r="H145" s="107">
        <f>VLOOKUP($A145, Stat!$A$1:$C$501, 3,0)</f>
        <v>0</v>
      </c>
      <c r="I145" s="110"/>
      <c r="L145" s="49">
        <v>1</v>
      </c>
      <c r="M145" s="50" t="s">
        <v>276</v>
      </c>
      <c r="N145" s="51"/>
      <c r="O145" s="51"/>
      <c r="P145" s="53">
        <v>40</v>
      </c>
      <c r="Q145" s="53">
        <v>1</v>
      </c>
      <c r="R145" s="53" t="s">
        <v>138</v>
      </c>
      <c r="T145" s="53">
        <v>1</v>
      </c>
    </row>
    <row r="146" spans="1:20" ht="13.2" customHeight="1" x14ac:dyDescent="0.25">
      <c r="A146" s="53">
        <v>312</v>
      </c>
      <c r="B146" s="53" t="s">
        <v>39</v>
      </c>
      <c r="C146" s="53" t="s">
        <v>7</v>
      </c>
      <c r="D146" s="53" t="s">
        <v>169</v>
      </c>
      <c r="E146" s="53" t="s">
        <v>369</v>
      </c>
      <c r="G146" s="107">
        <f>VLOOKUP($A146, Stat!$A$1:$C$501, 2,0)</f>
        <v>11</v>
      </c>
      <c r="H146" s="107">
        <f>VLOOKUP($A146, Stat!$A$1:$C$501, 3,0)</f>
        <v>0</v>
      </c>
      <c r="I146" s="110"/>
      <c r="L146" s="49">
        <v>1</v>
      </c>
      <c r="P146" s="53">
        <v>0</v>
      </c>
      <c r="Q146" s="53">
        <v>0</v>
      </c>
      <c r="S146" s="53" t="s">
        <v>416</v>
      </c>
      <c r="T146" s="53">
        <v>1</v>
      </c>
    </row>
    <row r="147" spans="1:20" ht="13.2" hidden="1" customHeight="1" x14ac:dyDescent="0.25">
      <c r="A147" s="53">
        <v>148</v>
      </c>
      <c r="B147" s="53" t="s">
        <v>39</v>
      </c>
      <c r="C147" s="53" t="s">
        <v>83</v>
      </c>
      <c r="D147" s="53" t="s">
        <v>279</v>
      </c>
      <c r="E147" s="57" t="s">
        <v>3</v>
      </c>
      <c r="F147" s="51"/>
      <c r="G147" s="107">
        <f>VLOOKUP($A147, Stat!$A$1:$C$501, 2,0)</f>
        <v>45</v>
      </c>
      <c r="H147" s="107">
        <f>VLOOKUP($A147, Stat!$A$1:$C$501, 3,0)</f>
        <v>2</v>
      </c>
      <c r="I147" s="110"/>
      <c r="M147" s="50" t="s">
        <v>285</v>
      </c>
      <c r="N147" s="51"/>
      <c r="O147" s="51"/>
      <c r="P147" s="53">
        <v>0</v>
      </c>
      <c r="Q147" s="53">
        <v>0</v>
      </c>
      <c r="R147" s="53" t="s">
        <v>280</v>
      </c>
      <c r="T147" s="53">
        <v>1</v>
      </c>
    </row>
    <row r="148" spans="1:20" ht="13.2" hidden="1" customHeight="1" x14ac:dyDescent="0.25">
      <c r="A148" s="53">
        <v>149</v>
      </c>
      <c r="B148" s="53" t="s">
        <v>39</v>
      </c>
      <c r="C148" s="53" t="s">
        <v>83</v>
      </c>
      <c r="D148" s="53" t="s">
        <v>279</v>
      </c>
      <c r="E148" s="57" t="s">
        <v>4</v>
      </c>
      <c r="F148" s="51"/>
      <c r="G148" s="107">
        <f>VLOOKUP($A148, Stat!$A$1:$C$501, 2,0)</f>
        <v>5</v>
      </c>
      <c r="H148" s="107">
        <f>VLOOKUP($A148, Stat!$A$1:$C$501, 3,0)</f>
        <v>1</v>
      </c>
      <c r="I148" s="49">
        <v>1</v>
      </c>
      <c r="M148" s="50" t="s">
        <v>286</v>
      </c>
      <c r="N148" s="51"/>
      <c r="O148" s="51"/>
      <c r="P148" s="53">
        <v>0</v>
      </c>
      <c r="Q148" s="53">
        <v>0</v>
      </c>
      <c r="R148" s="53" t="s">
        <v>280</v>
      </c>
      <c r="T148" s="53">
        <v>1</v>
      </c>
    </row>
    <row r="149" spans="1:20" ht="13.2" hidden="1" customHeight="1" x14ac:dyDescent="0.25">
      <c r="A149" s="53">
        <v>150</v>
      </c>
      <c r="B149" s="53" t="s">
        <v>39</v>
      </c>
      <c r="C149" s="53" t="s">
        <v>83</v>
      </c>
      <c r="D149" s="53" t="s">
        <v>279</v>
      </c>
      <c r="E149" s="57" t="s">
        <v>5</v>
      </c>
      <c r="F149" s="51"/>
      <c r="G149" s="107">
        <f>VLOOKUP($A149, Stat!$A$1:$C$501, 2,0)</f>
        <v>11</v>
      </c>
      <c r="H149" s="107">
        <f>VLOOKUP($A149, Stat!$A$1:$C$501, 3,0)</f>
        <v>5</v>
      </c>
      <c r="I149" s="49">
        <v>1</v>
      </c>
      <c r="M149" s="50" t="s">
        <v>287</v>
      </c>
      <c r="N149" s="51"/>
      <c r="O149" s="51"/>
      <c r="P149" s="53">
        <v>60</v>
      </c>
      <c r="Q149" s="53">
        <v>0</v>
      </c>
      <c r="R149" s="53" t="s">
        <v>280</v>
      </c>
      <c r="T149" s="53">
        <v>1</v>
      </c>
    </row>
    <row r="150" spans="1:20" ht="13.2" hidden="1" customHeight="1" x14ac:dyDescent="0.25">
      <c r="A150" s="53">
        <v>151</v>
      </c>
      <c r="B150" s="53" t="s">
        <v>39</v>
      </c>
      <c r="C150" s="53" t="s">
        <v>83</v>
      </c>
      <c r="D150" s="53" t="s">
        <v>279</v>
      </c>
      <c r="E150" s="57" t="s">
        <v>51</v>
      </c>
      <c r="F150" s="51"/>
      <c r="G150" s="107">
        <f>VLOOKUP($A150, Stat!$A$1:$C$501, 2,0)</f>
        <v>2</v>
      </c>
      <c r="H150" s="107">
        <f>VLOOKUP($A150, Stat!$A$1:$C$501, 3,0)</f>
        <v>1</v>
      </c>
      <c r="I150" s="49">
        <v>1</v>
      </c>
      <c r="M150" s="50" t="s">
        <v>288</v>
      </c>
      <c r="N150" s="51"/>
      <c r="O150" s="51"/>
      <c r="P150" s="53">
        <v>100</v>
      </c>
      <c r="Q150" s="53">
        <v>0</v>
      </c>
      <c r="R150" s="53" t="s">
        <v>280</v>
      </c>
      <c r="T150" s="53">
        <v>1</v>
      </c>
    </row>
    <row r="151" spans="1:20" ht="13.2" hidden="1" customHeight="1" x14ac:dyDescent="0.25">
      <c r="A151" s="53">
        <v>152</v>
      </c>
      <c r="B151" s="53" t="s">
        <v>41</v>
      </c>
      <c r="C151" s="53" t="s">
        <v>60</v>
      </c>
      <c r="D151" s="53" t="s">
        <v>104</v>
      </c>
      <c r="E151" s="57" t="s">
        <v>105</v>
      </c>
      <c r="F151" s="51"/>
      <c r="G151" s="107">
        <f>VLOOKUP($A151, Stat!$A$1:$C$501, 2,0)</f>
        <v>1</v>
      </c>
      <c r="H151" s="107">
        <f>VLOOKUP($A151, Stat!$A$1:$C$501, 3,0)</f>
        <v>1</v>
      </c>
      <c r="I151" s="49">
        <v>1</v>
      </c>
      <c r="M151" s="51"/>
      <c r="N151" s="51"/>
      <c r="O151" s="51"/>
      <c r="P151" s="53">
        <v>30</v>
      </c>
      <c r="Q151" s="53">
        <v>0</v>
      </c>
      <c r="S151" s="53" t="s">
        <v>237</v>
      </c>
      <c r="T151" s="53">
        <v>1</v>
      </c>
    </row>
    <row r="152" spans="1:20" ht="13.2" hidden="1" customHeight="1" x14ac:dyDescent="0.25">
      <c r="A152" s="53">
        <v>153</v>
      </c>
      <c r="B152" s="53" t="s">
        <v>41</v>
      </c>
      <c r="C152" s="53" t="s">
        <v>60</v>
      </c>
      <c r="D152" s="53" t="s">
        <v>104</v>
      </c>
      <c r="E152" s="57" t="s">
        <v>106</v>
      </c>
      <c r="F152" s="51"/>
      <c r="G152" s="107">
        <f>VLOOKUP($A152, Stat!$A$1:$C$501, 2,0)</f>
        <v>3</v>
      </c>
      <c r="H152" s="107">
        <f>VLOOKUP($A152, Stat!$A$1:$C$501, 3,0)</f>
        <v>2</v>
      </c>
      <c r="I152" s="49">
        <v>1</v>
      </c>
      <c r="M152" s="51"/>
      <c r="N152" s="51"/>
      <c r="O152" s="51"/>
      <c r="P152" s="53">
        <v>30</v>
      </c>
      <c r="Q152" s="53">
        <v>0</v>
      </c>
      <c r="S152" s="53" t="s">
        <v>237</v>
      </c>
      <c r="T152" s="53">
        <v>1</v>
      </c>
    </row>
    <row r="153" spans="1:20" ht="13.2" hidden="1" customHeight="1" x14ac:dyDescent="0.25">
      <c r="A153" s="53">
        <v>154</v>
      </c>
      <c r="B153" s="53" t="s">
        <v>41</v>
      </c>
      <c r="C153" s="53" t="s">
        <v>60</v>
      </c>
      <c r="D153" s="53" t="s">
        <v>104</v>
      </c>
      <c r="E153" s="57" t="s">
        <v>107</v>
      </c>
      <c r="F153" s="51"/>
      <c r="G153" s="107">
        <f>VLOOKUP($A153, Stat!$A$1:$C$501, 2,0)</f>
        <v>11</v>
      </c>
      <c r="H153" s="107">
        <f>VLOOKUP($A153, Stat!$A$1:$C$501, 3,0)</f>
        <v>3</v>
      </c>
      <c r="I153" s="49">
        <v>1</v>
      </c>
      <c r="M153" s="51"/>
      <c r="N153" s="51"/>
      <c r="O153" s="51"/>
      <c r="P153" s="53">
        <v>30</v>
      </c>
      <c r="Q153" s="53">
        <v>0</v>
      </c>
      <c r="S153" s="53" t="s">
        <v>238</v>
      </c>
      <c r="T153" s="53">
        <v>1</v>
      </c>
    </row>
    <row r="154" spans="1:20" ht="13.2" hidden="1" customHeight="1" x14ac:dyDescent="0.25">
      <c r="A154" s="53">
        <v>155</v>
      </c>
      <c r="B154" s="53" t="s">
        <v>41</v>
      </c>
      <c r="C154" s="53" t="s">
        <v>60</v>
      </c>
      <c r="D154" s="53" t="s">
        <v>104</v>
      </c>
      <c r="E154" s="57" t="s">
        <v>108</v>
      </c>
      <c r="F154" s="51"/>
      <c r="G154" s="107">
        <f>VLOOKUP($A154, Stat!$A$1:$C$501, 2,0)</f>
        <v>2</v>
      </c>
      <c r="H154" s="107">
        <f>VLOOKUP($A154, Stat!$A$1:$C$501, 3,0)</f>
        <v>1</v>
      </c>
      <c r="I154" s="49">
        <v>1</v>
      </c>
      <c r="M154" s="51"/>
      <c r="N154" s="51"/>
      <c r="O154" s="51"/>
      <c r="P154" s="53">
        <v>30</v>
      </c>
      <c r="Q154" s="53">
        <v>0</v>
      </c>
      <c r="S154" s="53" t="s">
        <v>238</v>
      </c>
      <c r="T154" s="53">
        <v>1</v>
      </c>
    </row>
    <row r="155" spans="1:20" ht="13.2" hidden="1" customHeight="1" x14ac:dyDescent="0.25">
      <c r="A155" s="53">
        <v>156</v>
      </c>
      <c r="B155" s="53" t="s">
        <v>41</v>
      </c>
      <c r="C155" s="53" t="s">
        <v>60</v>
      </c>
      <c r="D155" s="53" t="s">
        <v>104</v>
      </c>
      <c r="E155" s="57" t="s">
        <v>109</v>
      </c>
      <c r="F155" s="51"/>
      <c r="G155" s="107">
        <f>VLOOKUP($A155, Stat!$A$1:$C$501, 2,0)</f>
        <v>4</v>
      </c>
      <c r="H155" s="107">
        <f>VLOOKUP($A155, Stat!$A$1:$C$501, 3,0)</f>
        <v>3</v>
      </c>
      <c r="I155" s="49">
        <v>1</v>
      </c>
      <c r="M155" s="51"/>
      <c r="N155" s="51"/>
      <c r="O155" s="51"/>
      <c r="P155" s="53">
        <v>30</v>
      </c>
      <c r="Q155" s="53">
        <v>0</v>
      </c>
      <c r="S155" s="53" t="s">
        <v>238</v>
      </c>
      <c r="T155" s="53">
        <v>1</v>
      </c>
    </row>
    <row r="156" spans="1:20" ht="13.2" hidden="1" customHeight="1" x14ac:dyDescent="0.25">
      <c r="A156" s="53">
        <v>157</v>
      </c>
      <c r="B156" s="53" t="s">
        <v>41</v>
      </c>
      <c r="C156" s="53" t="s">
        <v>60</v>
      </c>
      <c r="D156" s="53" t="s">
        <v>104</v>
      </c>
      <c r="E156" s="57" t="s">
        <v>110</v>
      </c>
      <c r="F156" s="51"/>
      <c r="G156" s="107">
        <f>VLOOKUP($A156, Stat!$A$1:$C$501, 2,0)</f>
        <v>1</v>
      </c>
      <c r="H156" s="107">
        <f>VLOOKUP($A156, Stat!$A$1:$C$501, 3,0)</f>
        <v>1</v>
      </c>
      <c r="I156" s="49">
        <v>1</v>
      </c>
      <c r="M156" s="51"/>
      <c r="N156" s="51"/>
      <c r="O156" s="51"/>
      <c r="P156" s="53">
        <v>30</v>
      </c>
      <c r="Q156" s="53">
        <v>0</v>
      </c>
      <c r="S156" s="53" t="s">
        <v>238</v>
      </c>
      <c r="T156" s="53">
        <v>1</v>
      </c>
    </row>
    <row r="157" spans="1:20" ht="13.2" hidden="1" customHeight="1" x14ac:dyDescent="0.25">
      <c r="A157" s="53">
        <v>158</v>
      </c>
      <c r="B157" s="53" t="s">
        <v>41</v>
      </c>
      <c r="C157" s="53" t="s">
        <v>60</v>
      </c>
      <c r="D157" s="53" t="s">
        <v>111</v>
      </c>
      <c r="E157" s="57" t="s">
        <v>105</v>
      </c>
      <c r="F157" s="51"/>
      <c r="G157" s="107">
        <f>VLOOKUP($A157, Stat!$A$1:$C$501, 2,0)</f>
        <v>7</v>
      </c>
      <c r="H157" s="107">
        <f>VLOOKUP($A157, Stat!$A$1:$C$501, 3,0)</f>
        <v>3</v>
      </c>
      <c r="I157" s="49">
        <v>1</v>
      </c>
      <c r="M157" s="51"/>
      <c r="N157" s="51"/>
      <c r="O157" s="51"/>
      <c r="P157" s="53">
        <v>30</v>
      </c>
      <c r="Q157" s="53">
        <v>0</v>
      </c>
      <c r="T157" s="53">
        <v>1</v>
      </c>
    </row>
    <row r="158" spans="1:20" ht="13.2" hidden="1" customHeight="1" x14ac:dyDescent="0.25">
      <c r="A158" s="53">
        <v>159</v>
      </c>
      <c r="B158" s="53" t="s">
        <v>41</v>
      </c>
      <c r="C158" s="53" t="s">
        <v>60</v>
      </c>
      <c r="D158" s="53" t="s">
        <v>111</v>
      </c>
      <c r="E158" s="57" t="s">
        <v>106</v>
      </c>
      <c r="F158" s="51"/>
      <c r="G158" s="107">
        <f>VLOOKUP($A158, Stat!$A$1:$C$501, 2,0)</f>
        <v>3</v>
      </c>
      <c r="H158" s="107">
        <f>VLOOKUP($A158, Stat!$A$1:$C$501, 3,0)</f>
        <v>1</v>
      </c>
      <c r="I158" s="49">
        <v>1</v>
      </c>
      <c r="M158" s="51"/>
      <c r="N158" s="51"/>
      <c r="O158" s="51"/>
      <c r="P158" s="53">
        <v>30</v>
      </c>
      <c r="Q158" s="53">
        <v>0</v>
      </c>
      <c r="T158" s="53">
        <v>1</v>
      </c>
    </row>
    <row r="159" spans="1:20" ht="13.2" hidden="1" customHeight="1" x14ac:dyDescent="0.25">
      <c r="A159" s="53">
        <v>160</v>
      </c>
      <c r="B159" s="53" t="s">
        <v>41</v>
      </c>
      <c r="C159" s="53" t="s">
        <v>60</v>
      </c>
      <c r="D159" s="53" t="s">
        <v>111</v>
      </c>
      <c r="E159" s="57" t="s">
        <v>107</v>
      </c>
      <c r="F159" s="51"/>
      <c r="G159" s="107">
        <f>VLOOKUP($A159, Stat!$A$1:$C$501, 2,0)</f>
        <v>16</v>
      </c>
      <c r="H159" s="107">
        <f>VLOOKUP($A159, Stat!$A$1:$C$501, 3,0)</f>
        <v>3</v>
      </c>
      <c r="I159" s="49">
        <v>1</v>
      </c>
      <c r="M159" s="51"/>
      <c r="N159" s="51"/>
      <c r="O159" s="51"/>
      <c r="P159" s="53">
        <v>0</v>
      </c>
      <c r="Q159" s="53">
        <v>-1</v>
      </c>
      <c r="T159" s="53">
        <v>1</v>
      </c>
    </row>
    <row r="160" spans="1:20" ht="13.2" hidden="1" customHeight="1" x14ac:dyDescent="0.25">
      <c r="A160" s="53">
        <v>161</v>
      </c>
      <c r="B160" s="53" t="s">
        <v>41</v>
      </c>
      <c r="C160" s="53" t="s">
        <v>60</v>
      </c>
      <c r="D160" s="53" t="s">
        <v>111</v>
      </c>
      <c r="E160" s="57" t="s">
        <v>108</v>
      </c>
      <c r="F160" s="51"/>
      <c r="G160" s="107">
        <f>VLOOKUP($A160, Stat!$A$1:$C$501, 2,0)</f>
        <v>18</v>
      </c>
      <c r="H160" s="107">
        <f>VLOOKUP($A160, Stat!$A$1:$C$501, 3,0)</f>
        <v>4</v>
      </c>
      <c r="I160" s="49">
        <v>1</v>
      </c>
      <c r="M160" s="51"/>
      <c r="N160" s="51"/>
      <c r="O160" s="51"/>
      <c r="P160" s="53">
        <v>0</v>
      </c>
      <c r="Q160" s="53">
        <v>-1</v>
      </c>
      <c r="T160" s="53">
        <v>1</v>
      </c>
    </row>
    <row r="161" spans="1:20" ht="13.2" hidden="1" customHeight="1" x14ac:dyDescent="0.25">
      <c r="A161" s="53">
        <v>162</v>
      </c>
      <c r="B161" s="53" t="s">
        <v>41</v>
      </c>
      <c r="C161" s="53" t="s">
        <v>60</v>
      </c>
      <c r="D161" s="53" t="s">
        <v>111</v>
      </c>
      <c r="E161" s="57" t="s">
        <v>109</v>
      </c>
      <c r="F161" s="51"/>
      <c r="G161" s="107">
        <f>VLOOKUP($A161, Stat!$A$1:$C$501, 2,0)</f>
        <v>9</v>
      </c>
      <c r="H161" s="107">
        <f>VLOOKUP($A161, Stat!$A$1:$C$501, 3,0)</f>
        <v>1</v>
      </c>
      <c r="I161" s="49">
        <v>1</v>
      </c>
      <c r="M161" s="51"/>
      <c r="N161" s="51"/>
      <c r="O161" s="51"/>
      <c r="P161" s="53">
        <v>0</v>
      </c>
      <c r="Q161" s="53">
        <v>-1</v>
      </c>
      <c r="T161" s="53">
        <v>1</v>
      </c>
    </row>
    <row r="162" spans="1:20" ht="13.2" hidden="1" customHeight="1" x14ac:dyDescent="0.25">
      <c r="A162" s="53">
        <v>163</v>
      </c>
      <c r="B162" s="53" t="s">
        <v>41</v>
      </c>
      <c r="C162" s="53" t="s">
        <v>60</v>
      </c>
      <c r="D162" s="53" t="s">
        <v>111</v>
      </c>
      <c r="E162" s="57" t="s">
        <v>110</v>
      </c>
      <c r="F162" s="51"/>
      <c r="G162" s="107">
        <f>VLOOKUP($A162, Stat!$A$1:$C$501, 2,0)</f>
        <v>18</v>
      </c>
      <c r="H162" s="107">
        <f>VLOOKUP($A162, Stat!$A$1:$C$501, 3,0)</f>
        <v>2</v>
      </c>
      <c r="I162" s="49">
        <v>1</v>
      </c>
      <c r="M162" s="51"/>
      <c r="N162" s="51"/>
      <c r="O162" s="51"/>
      <c r="P162" s="53">
        <v>0</v>
      </c>
      <c r="Q162" s="53">
        <v>-1</v>
      </c>
      <c r="T162" s="53">
        <v>1</v>
      </c>
    </row>
    <row r="163" spans="1:20" ht="13.2" hidden="1" customHeight="1" x14ac:dyDescent="0.25">
      <c r="A163" s="53">
        <v>164</v>
      </c>
      <c r="B163" s="53" t="s">
        <v>41</v>
      </c>
      <c r="C163" s="53" t="s">
        <v>60</v>
      </c>
      <c r="D163" s="53" t="s">
        <v>112</v>
      </c>
      <c r="E163" s="57" t="s">
        <v>105</v>
      </c>
      <c r="F163" s="51"/>
      <c r="G163" s="107">
        <f>VLOOKUP($A163, Stat!$A$1:$C$501, 2,0)</f>
        <v>9</v>
      </c>
      <c r="H163" s="107">
        <f>VLOOKUP($A163, Stat!$A$1:$C$501, 3,0)</f>
        <v>2</v>
      </c>
      <c r="I163" s="49">
        <v>1</v>
      </c>
      <c r="M163" s="51"/>
      <c r="N163" s="51"/>
      <c r="O163" s="51"/>
      <c r="P163" s="53">
        <v>30</v>
      </c>
      <c r="Q163" s="53">
        <v>0</v>
      </c>
      <c r="T163" s="53">
        <v>1</v>
      </c>
    </row>
    <row r="164" spans="1:20" ht="13.2" hidden="1" customHeight="1" x14ac:dyDescent="0.25">
      <c r="A164" s="53">
        <v>165</v>
      </c>
      <c r="B164" s="53" t="s">
        <v>41</v>
      </c>
      <c r="C164" s="53" t="s">
        <v>60</v>
      </c>
      <c r="D164" s="53" t="s">
        <v>112</v>
      </c>
      <c r="E164" s="57" t="s">
        <v>106</v>
      </c>
      <c r="F164" s="51"/>
      <c r="G164" s="107">
        <f>VLOOKUP($A164, Stat!$A$1:$C$501, 2,0)</f>
        <v>11</v>
      </c>
      <c r="H164" s="107">
        <f>VLOOKUP($A164, Stat!$A$1:$C$501, 3,0)</f>
        <v>4</v>
      </c>
      <c r="I164" s="49">
        <v>1</v>
      </c>
      <c r="M164" s="51"/>
      <c r="N164" s="51"/>
      <c r="O164" s="51"/>
      <c r="P164" s="53">
        <v>30</v>
      </c>
      <c r="Q164" s="53">
        <v>0</v>
      </c>
      <c r="T164" s="53">
        <v>1</v>
      </c>
    </row>
    <row r="165" spans="1:20" ht="13.2" hidden="1" customHeight="1" x14ac:dyDescent="0.25">
      <c r="A165" s="53">
        <v>166</v>
      </c>
      <c r="B165" s="53" t="s">
        <v>41</v>
      </c>
      <c r="C165" s="53" t="s">
        <v>60</v>
      </c>
      <c r="D165" s="53" t="s">
        <v>112</v>
      </c>
      <c r="E165" s="57" t="s">
        <v>107</v>
      </c>
      <c r="F165" s="51"/>
      <c r="G165" s="107">
        <f>VLOOKUP($A165, Stat!$A$1:$C$501, 2,0)</f>
        <v>30</v>
      </c>
      <c r="H165" s="107">
        <f>VLOOKUP($A165, Stat!$A$1:$C$501, 3,0)</f>
        <v>3</v>
      </c>
      <c r="I165" s="49">
        <v>1</v>
      </c>
      <c r="M165" s="51"/>
      <c r="N165" s="51"/>
      <c r="O165" s="51"/>
      <c r="P165" s="53">
        <v>0</v>
      </c>
      <c r="Q165" s="53">
        <v>-1</v>
      </c>
      <c r="T165" s="53">
        <v>1</v>
      </c>
    </row>
    <row r="166" spans="1:20" ht="13.2" hidden="1" customHeight="1" x14ac:dyDescent="0.25">
      <c r="A166" s="53">
        <v>167</v>
      </c>
      <c r="B166" s="53" t="s">
        <v>41</v>
      </c>
      <c r="C166" s="53" t="s">
        <v>60</v>
      </c>
      <c r="D166" s="53" t="s">
        <v>112</v>
      </c>
      <c r="E166" s="57" t="s">
        <v>108</v>
      </c>
      <c r="F166" s="51"/>
      <c r="G166" s="107">
        <f>VLOOKUP($A166, Stat!$A$1:$C$501, 2,0)</f>
        <v>23</v>
      </c>
      <c r="H166" s="107">
        <f>VLOOKUP($A166, Stat!$A$1:$C$501, 3,0)</f>
        <v>3</v>
      </c>
      <c r="I166" s="49">
        <v>1</v>
      </c>
      <c r="M166" s="51"/>
      <c r="N166" s="51"/>
      <c r="O166" s="51"/>
      <c r="P166" s="53">
        <v>0</v>
      </c>
      <c r="Q166" s="53">
        <v>-1</v>
      </c>
      <c r="T166" s="53">
        <v>1</v>
      </c>
    </row>
    <row r="167" spans="1:20" ht="13.2" hidden="1" customHeight="1" x14ac:dyDescent="0.25">
      <c r="A167" s="53">
        <v>168</v>
      </c>
      <c r="B167" s="53" t="s">
        <v>41</v>
      </c>
      <c r="C167" s="53" t="s">
        <v>60</v>
      </c>
      <c r="D167" s="53" t="s">
        <v>112</v>
      </c>
      <c r="E167" s="57" t="s">
        <v>114</v>
      </c>
      <c r="F167" s="51"/>
      <c r="G167" s="107">
        <f>VLOOKUP($A167, Stat!$A$1:$C$501, 2,0)</f>
        <v>61</v>
      </c>
      <c r="H167" s="107">
        <f>VLOOKUP($A167, Stat!$A$1:$C$501, 3,0)</f>
        <v>4</v>
      </c>
      <c r="I167" s="49">
        <v>1</v>
      </c>
      <c r="M167" s="51"/>
      <c r="N167" s="51"/>
      <c r="O167" s="51"/>
      <c r="P167" s="53">
        <v>0</v>
      </c>
      <c r="Q167" s="53">
        <v>-1</v>
      </c>
      <c r="T167" s="53">
        <v>1</v>
      </c>
    </row>
    <row r="168" spans="1:20" ht="13.2" hidden="1" customHeight="1" x14ac:dyDescent="0.25">
      <c r="A168" s="53">
        <v>169</v>
      </c>
      <c r="B168" s="53" t="s">
        <v>41</v>
      </c>
      <c r="C168" s="53" t="s">
        <v>64</v>
      </c>
      <c r="D168" s="53" t="s">
        <v>131</v>
      </c>
      <c r="E168" s="57" t="s">
        <v>132</v>
      </c>
      <c r="F168" s="51"/>
      <c r="G168" s="107">
        <f>VLOOKUP($A168, Stat!$A$1:$C$501, 2,0)</f>
        <v>684</v>
      </c>
      <c r="H168" s="107">
        <f>VLOOKUP($A168, Stat!$A$1:$C$501, 3,0)</f>
        <v>3</v>
      </c>
      <c r="I168" s="110"/>
      <c r="M168" s="51"/>
      <c r="N168" s="51"/>
      <c r="O168" s="51"/>
      <c r="P168" s="53">
        <v>0</v>
      </c>
      <c r="Q168" s="53">
        <v>-1</v>
      </c>
      <c r="T168" s="53">
        <v>1</v>
      </c>
    </row>
    <row r="169" spans="1:20" ht="13.2" hidden="1" customHeight="1" x14ac:dyDescent="0.25">
      <c r="A169" s="53">
        <v>170</v>
      </c>
      <c r="B169" s="53" t="s">
        <v>41</v>
      </c>
      <c r="C169" s="53" t="s">
        <v>60</v>
      </c>
      <c r="D169" s="53" t="s">
        <v>103</v>
      </c>
      <c r="E169" s="57" t="s">
        <v>105</v>
      </c>
      <c r="F169" s="51"/>
      <c r="G169" s="107">
        <f>VLOOKUP($A169, Stat!$A$1:$C$501, 2,0)</f>
        <v>4</v>
      </c>
      <c r="H169" s="107">
        <f>VLOOKUP($A169, Stat!$A$1:$C$501, 3,0)</f>
        <v>1</v>
      </c>
      <c r="I169" s="49">
        <v>1</v>
      </c>
      <c r="M169" s="51"/>
      <c r="N169" s="51"/>
      <c r="O169" s="51"/>
      <c r="P169" s="53">
        <v>30</v>
      </c>
      <c r="Q169" s="53">
        <v>0</v>
      </c>
      <c r="R169" s="53" t="s">
        <v>113</v>
      </c>
      <c r="T169" s="53">
        <v>1</v>
      </c>
    </row>
    <row r="170" spans="1:20" ht="13.2" hidden="1" customHeight="1" x14ac:dyDescent="0.25">
      <c r="A170" s="53">
        <v>171</v>
      </c>
      <c r="B170" s="53" t="s">
        <v>41</v>
      </c>
      <c r="C170" s="53" t="s">
        <v>60</v>
      </c>
      <c r="D170" s="53" t="s">
        <v>103</v>
      </c>
      <c r="E170" s="57" t="s">
        <v>106</v>
      </c>
      <c r="F170" s="51"/>
      <c r="G170" s="107">
        <f>VLOOKUP($A170, Stat!$A$1:$C$501, 2,0)</f>
        <v>6</v>
      </c>
      <c r="H170" s="107">
        <f>VLOOKUP($A170, Stat!$A$1:$C$501, 3,0)</f>
        <v>2</v>
      </c>
      <c r="I170" s="49">
        <v>1</v>
      </c>
      <c r="M170" s="51"/>
      <c r="N170" s="51"/>
      <c r="O170" s="51"/>
      <c r="P170" s="53">
        <v>30</v>
      </c>
      <c r="Q170" s="53">
        <v>0</v>
      </c>
      <c r="R170" s="53" t="s">
        <v>113</v>
      </c>
      <c r="T170" s="53">
        <v>1</v>
      </c>
    </row>
    <row r="171" spans="1:20" ht="13.2" hidden="1" customHeight="1" x14ac:dyDescent="0.25">
      <c r="A171" s="53">
        <v>172</v>
      </c>
      <c r="B171" s="53" t="s">
        <v>41</v>
      </c>
      <c r="C171" s="53" t="s">
        <v>60</v>
      </c>
      <c r="D171" s="53" t="s">
        <v>103</v>
      </c>
      <c r="E171" s="57" t="s">
        <v>107</v>
      </c>
      <c r="F171" s="51"/>
      <c r="G171" s="107">
        <f>VLOOKUP($A171, Stat!$A$1:$C$501, 2,0)</f>
        <v>10</v>
      </c>
      <c r="H171" s="107">
        <f>VLOOKUP($A171, Stat!$A$1:$C$501, 3,0)</f>
        <v>2</v>
      </c>
      <c r="I171" s="49">
        <v>1</v>
      </c>
      <c r="M171" s="51"/>
      <c r="N171" s="51"/>
      <c r="O171" s="51"/>
      <c r="P171" s="53">
        <v>30</v>
      </c>
      <c r="Q171" s="53">
        <v>0</v>
      </c>
      <c r="R171" s="53" t="s">
        <v>113</v>
      </c>
      <c r="T171" s="53">
        <v>1</v>
      </c>
    </row>
    <row r="172" spans="1:20" ht="13.2" hidden="1" customHeight="1" x14ac:dyDescent="0.25">
      <c r="A172" s="53">
        <v>173</v>
      </c>
      <c r="B172" s="53" t="s">
        <v>41</v>
      </c>
      <c r="C172" s="53" t="s">
        <v>60</v>
      </c>
      <c r="D172" s="53" t="s">
        <v>103</v>
      </c>
      <c r="E172" s="57" t="s">
        <v>108</v>
      </c>
      <c r="F172" s="51"/>
      <c r="G172" s="107">
        <f>VLOOKUP($A172, Stat!$A$1:$C$501, 2,0)</f>
        <v>7</v>
      </c>
      <c r="H172" s="107">
        <f>VLOOKUP($A172, Stat!$A$1:$C$501, 3,0)</f>
        <v>3</v>
      </c>
      <c r="I172" s="49">
        <v>1</v>
      </c>
      <c r="M172" s="51"/>
      <c r="N172" s="51"/>
      <c r="O172" s="51"/>
      <c r="P172" s="53">
        <v>30</v>
      </c>
      <c r="Q172" s="53">
        <v>0</v>
      </c>
      <c r="R172" s="53" t="s">
        <v>113</v>
      </c>
      <c r="T172" s="53">
        <v>1</v>
      </c>
    </row>
    <row r="173" spans="1:20" ht="13.2" hidden="1" customHeight="1" x14ac:dyDescent="0.25">
      <c r="A173" s="53">
        <v>174</v>
      </c>
      <c r="B173" s="53" t="s">
        <v>41</v>
      </c>
      <c r="C173" s="53" t="s">
        <v>60</v>
      </c>
      <c r="D173" s="53" t="s">
        <v>103</v>
      </c>
      <c r="E173" s="57" t="s">
        <v>114</v>
      </c>
      <c r="F173" s="51"/>
      <c r="G173" s="107">
        <f>VLOOKUP($A173, Stat!$A$1:$C$501, 2,0)</f>
        <v>11</v>
      </c>
      <c r="H173" s="107">
        <f>VLOOKUP($A173, Stat!$A$1:$C$501, 3,0)</f>
        <v>2</v>
      </c>
      <c r="I173" s="49">
        <v>1</v>
      </c>
      <c r="M173" s="51"/>
      <c r="N173" s="51"/>
      <c r="O173" s="51"/>
      <c r="P173" s="53">
        <v>30</v>
      </c>
      <c r="Q173" s="53">
        <v>0</v>
      </c>
      <c r="R173" s="53" t="s">
        <v>113</v>
      </c>
      <c r="T173" s="53">
        <v>1</v>
      </c>
    </row>
    <row r="174" spans="1:20" ht="13.2" hidden="1" customHeight="1" x14ac:dyDescent="0.25">
      <c r="A174" s="53">
        <v>175</v>
      </c>
      <c r="B174" s="53" t="s">
        <v>39</v>
      </c>
      <c r="C174" s="53" t="s">
        <v>7</v>
      </c>
      <c r="D174" s="53" t="s">
        <v>118</v>
      </c>
      <c r="E174" s="57" t="s">
        <v>120</v>
      </c>
      <c r="F174" s="51"/>
      <c r="G174" s="107">
        <f>VLOOKUP($A174, Stat!$A$1:$C$501, 2,0)</f>
        <v>60</v>
      </c>
      <c r="H174" s="107">
        <f>VLOOKUP($A174, Stat!$A$1:$C$501, 3,0)</f>
        <v>5</v>
      </c>
      <c r="I174" s="49">
        <v>1</v>
      </c>
      <c r="M174" s="51"/>
      <c r="N174" s="51"/>
      <c r="O174" s="51"/>
      <c r="P174" s="53">
        <v>0</v>
      </c>
      <c r="Q174" s="53">
        <v>-1</v>
      </c>
      <c r="T174" s="53">
        <v>1</v>
      </c>
    </row>
    <row r="175" spans="1:20" ht="13.2" hidden="1" customHeight="1" x14ac:dyDescent="0.25">
      <c r="A175" s="53">
        <v>176</v>
      </c>
      <c r="B175" s="53" t="s">
        <v>39</v>
      </c>
      <c r="C175" s="53" t="s">
        <v>7</v>
      </c>
      <c r="D175" s="53" t="s">
        <v>118</v>
      </c>
      <c r="E175" s="57" t="s">
        <v>121</v>
      </c>
      <c r="F175" s="51"/>
      <c r="G175" s="107">
        <f>VLOOKUP($A175, Stat!$A$1:$C$501, 2,0)</f>
        <v>68</v>
      </c>
      <c r="H175" s="107">
        <f>VLOOKUP($A175, Stat!$A$1:$C$501, 3,0)</f>
        <v>4</v>
      </c>
      <c r="I175" s="49">
        <v>1</v>
      </c>
      <c r="M175" s="51"/>
      <c r="N175" s="51"/>
      <c r="O175" s="51"/>
      <c r="P175" s="53">
        <v>0</v>
      </c>
      <c r="Q175" s="53">
        <v>-1</v>
      </c>
      <c r="T175" s="53">
        <v>1</v>
      </c>
    </row>
    <row r="176" spans="1:20" ht="13.2" hidden="1" customHeight="1" x14ac:dyDescent="0.25">
      <c r="A176" s="53">
        <v>177</v>
      </c>
      <c r="B176" s="53" t="s">
        <v>39</v>
      </c>
      <c r="C176" s="53" t="s">
        <v>7</v>
      </c>
      <c r="D176" s="53" t="s">
        <v>118</v>
      </c>
      <c r="E176" s="57" t="s">
        <v>8</v>
      </c>
      <c r="F176" s="51"/>
      <c r="G176" s="107">
        <f>VLOOKUP($A176, Stat!$A$1:$C$501, 2,0)</f>
        <v>6</v>
      </c>
      <c r="H176" s="107">
        <f>VLOOKUP($A176, Stat!$A$1:$C$501, 3,0)</f>
        <v>3</v>
      </c>
      <c r="I176" s="49">
        <v>1</v>
      </c>
      <c r="M176" s="51"/>
      <c r="N176" s="51"/>
      <c r="O176" s="51"/>
      <c r="P176" s="53">
        <v>30</v>
      </c>
      <c r="Q176" s="53">
        <v>0</v>
      </c>
      <c r="T176" s="53">
        <v>1</v>
      </c>
    </row>
    <row r="177" spans="1:20" ht="13.2" hidden="1" customHeight="1" x14ac:dyDescent="0.25">
      <c r="A177" s="53">
        <v>178</v>
      </c>
      <c r="B177" s="53" t="s">
        <v>39</v>
      </c>
      <c r="C177" s="53" t="s">
        <v>7</v>
      </c>
      <c r="D177" s="53" t="s">
        <v>118</v>
      </c>
      <c r="E177" s="57" t="s">
        <v>9</v>
      </c>
      <c r="F177" s="51"/>
      <c r="G177" s="107">
        <f>VLOOKUP($A177, Stat!$A$1:$C$501, 2,0)</f>
        <v>6</v>
      </c>
      <c r="H177" s="107">
        <f>VLOOKUP($A177, Stat!$A$1:$C$501, 3,0)</f>
        <v>4</v>
      </c>
      <c r="I177" s="49">
        <v>1</v>
      </c>
      <c r="M177" s="51"/>
      <c r="N177" s="51"/>
      <c r="O177" s="51"/>
      <c r="P177" s="53">
        <v>100</v>
      </c>
      <c r="Q177" s="53">
        <v>0</v>
      </c>
      <c r="T177" s="53">
        <v>1</v>
      </c>
    </row>
    <row r="178" spans="1:20" ht="13.2" hidden="1" customHeight="1" x14ac:dyDescent="0.25">
      <c r="A178" s="53">
        <v>179</v>
      </c>
      <c r="B178" s="53" t="s">
        <v>39</v>
      </c>
      <c r="C178" s="53" t="s">
        <v>7</v>
      </c>
      <c r="D178" s="53" t="s">
        <v>118</v>
      </c>
      <c r="E178" s="57" t="s">
        <v>123</v>
      </c>
      <c r="F178" s="51"/>
      <c r="G178" s="107">
        <f>VLOOKUP($A178, Stat!$A$1:$C$501, 2,0)</f>
        <v>32</v>
      </c>
      <c r="H178" s="107">
        <f>VLOOKUP($A178, Stat!$A$1:$C$501, 3,0)</f>
        <v>6</v>
      </c>
      <c r="I178" s="49">
        <v>1</v>
      </c>
      <c r="M178" s="51"/>
      <c r="N178" s="51"/>
      <c r="O178" s="51"/>
      <c r="P178" s="53">
        <v>0</v>
      </c>
      <c r="Q178" s="53">
        <v>-1</v>
      </c>
      <c r="T178" s="53">
        <v>1</v>
      </c>
    </row>
    <row r="179" spans="1:20" ht="13.2" hidden="1" customHeight="1" x14ac:dyDescent="0.25">
      <c r="A179" s="53">
        <v>180</v>
      </c>
      <c r="B179" s="53" t="s">
        <v>39</v>
      </c>
      <c r="C179" s="53" t="s">
        <v>7</v>
      </c>
      <c r="D179" s="53" t="s">
        <v>118</v>
      </c>
      <c r="E179" s="57" t="s">
        <v>122</v>
      </c>
      <c r="F179" s="51"/>
      <c r="G179" s="107">
        <f>VLOOKUP($A179, Stat!$A$1:$C$501, 2,0)</f>
        <v>6</v>
      </c>
      <c r="H179" s="107">
        <f>VLOOKUP($A179, Stat!$A$1:$C$501, 3,0)</f>
        <v>6</v>
      </c>
      <c r="I179" s="49">
        <v>1</v>
      </c>
      <c r="M179" s="51"/>
      <c r="N179" s="51"/>
      <c r="O179" s="51"/>
      <c r="P179" s="53">
        <v>100</v>
      </c>
      <c r="Q179" s="53">
        <v>0</v>
      </c>
      <c r="T179" s="53">
        <v>1</v>
      </c>
    </row>
    <row r="180" spans="1:20" ht="13.2" hidden="1" customHeight="1" x14ac:dyDescent="0.25">
      <c r="A180" s="53">
        <v>181</v>
      </c>
      <c r="B180" s="53" t="s">
        <v>39</v>
      </c>
      <c r="C180" s="53" t="s">
        <v>7</v>
      </c>
      <c r="D180" s="53" t="s">
        <v>119</v>
      </c>
      <c r="E180" s="57" t="s">
        <v>120</v>
      </c>
      <c r="F180" s="51"/>
      <c r="G180" s="107">
        <f>VLOOKUP($A180, Stat!$A$1:$C$501, 2,0)</f>
        <v>46</v>
      </c>
      <c r="H180" s="107">
        <f>VLOOKUP($A180, Stat!$A$1:$C$501, 3,0)</f>
        <v>5</v>
      </c>
      <c r="I180" s="49">
        <v>1</v>
      </c>
      <c r="M180" s="51"/>
      <c r="N180" s="51"/>
      <c r="O180" s="51"/>
      <c r="P180" s="53">
        <v>0</v>
      </c>
      <c r="Q180" s="53">
        <v>-1</v>
      </c>
      <c r="T180" s="53">
        <v>1</v>
      </c>
    </row>
    <row r="181" spans="1:20" ht="13.2" hidden="1" customHeight="1" x14ac:dyDescent="0.25">
      <c r="A181" s="53">
        <v>182</v>
      </c>
      <c r="B181" s="53" t="s">
        <v>39</v>
      </c>
      <c r="C181" s="53" t="s">
        <v>7</v>
      </c>
      <c r="D181" s="53" t="s">
        <v>119</v>
      </c>
      <c r="E181" s="57" t="s">
        <v>121</v>
      </c>
      <c r="F181" s="51"/>
      <c r="G181" s="107">
        <f>VLOOKUP($A181, Stat!$A$1:$C$501, 2,0)</f>
        <v>33</v>
      </c>
      <c r="H181" s="107">
        <f>VLOOKUP($A181, Stat!$A$1:$C$501, 3,0)</f>
        <v>5</v>
      </c>
      <c r="I181" s="49">
        <v>1</v>
      </c>
      <c r="M181" s="51"/>
      <c r="N181" s="51"/>
      <c r="O181" s="51"/>
      <c r="P181" s="53">
        <v>0</v>
      </c>
      <c r="Q181" s="53">
        <v>-1</v>
      </c>
      <c r="T181" s="53">
        <v>1</v>
      </c>
    </row>
    <row r="182" spans="1:20" ht="13.2" hidden="1" customHeight="1" x14ac:dyDescent="0.25">
      <c r="A182" s="53">
        <v>183</v>
      </c>
      <c r="B182" s="53" t="s">
        <v>39</v>
      </c>
      <c r="C182" s="53" t="s">
        <v>7</v>
      </c>
      <c r="D182" s="53" t="s">
        <v>119</v>
      </c>
      <c r="E182" s="57" t="s">
        <v>8</v>
      </c>
      <c r="F182" s="51"/>
      <c r="G182" s="107">
        <f>VLOOKUP($A182, Stat!$A$1:$C$501, 2,0)</f>
        <v>6</v>
      </c>
      <c r="H182" s="107">
        <f>VLOOKUP($A182, Stat!$A$1:$C$501, 3,0)</f>
        <v>4</v>
      </c>
      <c r="I182" s="49">
        <v>1</v>
      </c>
      <c r="M182" s="51"/>
      <c r="N182" s="51"/>
      <c r="O182" s="51"/>
      <c r="P182" s="53">
        <v>30</v>
      </c>
      <c r="Q182" s="53">
        <v>0</v>
      </c>
      <c r="T182" s="53">
        <v>1</v>
      </c>
    </row>
    <row r="183" spans="1:20" ht="13.2" hidden="1" customHeight="1" x14ac:dyDescent="0.25">
      <c r="A183" s="53">
        <v>184</v>
      </c>
      <c r="B183" s="53" t="s">
        <v>39</v>
      </c>
      <c r="C183" s="53" t="s">
        <v>7</v>
      </c>
      <c r="D183" s="53" t="s">
        <v>119</v>
      </c>
      <c r="E183" s="57" t="s">
        <v>9</v>
      </c>
      <c r="F183" s="51"/>
      <c r="G183" s="107">
        <f>VLOOKUP($A183, Stat!$A$1:$C$501, 2,0)</f>
        <v>3</v>
      </c>
      <c r="H183" s="107">
        <f>VLOOKUP($A183, Stat!$A$1:$C$501, 3,0)</f>
        <v>1</v>
      </c>
      <c r="I183" s="49">
        <v>1</v>
      </c>
      <c r="M183" s="51"/>
      <c r="N183" s="51"/>
      <c r="O183" s="51"/>
      <c r="P183" s="53">
        <v>100</v>
      </c>
      <c r="Q183" s="53">
        <v>0</v>
      </c>
      <c r="T183" s="53">
        <v>1</v>
      </c>
    </row>
    <row r="184" spans="1:20" ht="13.2" hidden="1" customHeight="1" x14ac:dyDescent="0.25">
      <c r="A184" s="53">
        <v>185</v>
      </c>
      <c r="B184" s="53" t="s">
        <v>39</v>
      </c>
      <c r="C184" s="53" t="s">
        <v>7</v>
      </c>
      <c r="D184" s="53" t="s">
        <v>119</v>
      </c>
      <c r="E184" s="57" t="s">
        <v>123</v>
      </c>
      <c r="F184" s="51"/>
      <c r="G184" s="107">
        <f>VLOOKUP($A184, Stat!$A$1:$C$501, 2,0)</f>
        <v>31</v>
      </c>
      <c r="H184" s="107">
        <f>VLOOKUP($A184, Stat!$A$1:$C$501, 3,0)</f>
        <v>6</v>
      </c>
      <c r="I184" s="49">
        <v>1</v>
      </c>
      <c r="M184" s="51"/>
      <c r="N184" s="51"/>
      <c r="O184" s="51"/>
      <c r="P184" s="53">
        <v>0</v>
      </c>
      <c r="Q184" s="53">
        <v>-1</v>
      </c>
      <c r="T184" s="53">
        <v>1</v>
      </c>
    </row>
    <row r="185" spans="1:20" ht="13.2" hidden="1" customHeight="1" x14ac:dyDescent="0.25">
      <c r="A185" s="53">
        <v>186</v>
      </c>
      <c r="B185" s="53" t="s">
        <v>39</v>
      </c>
      <c r="C185" s="53" t="s">
        <v>7</v>
      </c>
      <c r="D185" s="53" t="s">
        <v>119</v>
      </c>
      <c r="E185" s="57" t="s">
        <v>122</v>
      </c>
      <c r="F185" s="51"/>
      <c r="G185" s="107">
        <f>VLOOKUP($A185, Stat!$A$1:$C$501, 2,0)</f>
        <v>5</v>
      </c>
      <c r="H185" s="107">
        <f>VLOOKUP($A185, Stat!$A$1:$C$501, 3,0)</f>
        <v>4</v>
      </c>
      <c r="I185" s="49">
        <v>1</v>
      </c>
      <c r="M185" s="51"/>
      <c r="N185" s="51"/>
      <c r="O185" s="51"/>
      <c r="P185" s="53">
        <v>100</v>
      </c>
      <c r="Q185" s="53">
        <v>0</v>
      </c>
      <c r="T185" s="53">
        <v>1</v>
      </c>
    </row>
    <row r="186" spans="1:20" ht="13.2" hidden="1" customHeight="1" x14ac:dyDescent="0.25">
      <c r="A186" s="53">
        <v>187</v>
      </c>
      <c r="B186" s="53" t="s">
        <v>41</v>
      </c>
      <c r="C186" s="53" t="s">
        <v>64</v>
      </c>
      <c r="D186" s="53" t="s">
        <v>131</v>
      </c>
      <c r="E186" s="57" t="s">
        <v>182</v>
      </c>
      <c r="F186" s="51"/>
      <c r="G186" s="107">
        <f>VLOOKUP($A186, Stat!$A$1:$C$501, 2,0)</f>
        <v>99</v>
      </c>
      <c r="H186" s="107">
        <f>VLOOKUP($A186, Stat!$A$1:$C$501, 3,0)</f>
        <v>6</v>
      </c>
      <c r="I186" s="110"/>
      <c r="M186" s="50" t="s">
        <v>335</v>
      </c>
      <c r="N186" s="51"/>
      <c r="O186" s="51"/>
      <c r="P186" s="53">
        <v>60</v>
      </c>
      <c r="Q186" s="53">
        <v>0</v>
      </c>
      <c r="T186" s="53">
        <v>1</v>
      </c>
    </row>
    <row r="187" spans="1:20" ht="13.2" hidden="1" customHeight="1" x14ac:dyDescent="0.25">
      <c r="A187" s="53">
        <v>188</v>
      </c>
      <c r="B187" s="53" t="s">
        <v>41</v>
      </c>
      <c r="C187" s="53" t="s">
        <v>64</v>
      </c>
      <c r="D187" s="53" t="s">
        <v>140</v>
      </c>
      <c r="E187" s="57" t="s">
        <v>272</v>
      </c>
      <c r="F187" s="51"/>
      <c r="G187" s="107">
        <f>VLOOKUP($A187, Stat!$A$1:$C$501, 2,0)</f>
        <v>17</v>
      </c>
      <c r="H187" s="107">
        <f>VLOOKUP($A187, Stat!$A$1:$C$501, 3,0)</f>
        <v>1</v>
      </c>
      <c r="I187" s="110"/>
      <c r="L187" s="49">
        <v>1</v>
      </c>
      <c r="M187" s="51"/>
      <c r="N187" s="51"/>
      <c r="O187" s="51"/>
      <c r="P187" s="53">
        <v>0</v>
      </c>
      <c r="Q187" s="53">
        <v>1</v>
      </c>
      <c r="R187" s="53" t="s">
        <v>138</v>
      </c>
      <c r="T187" s="53">
        <v>1</v>
      </c>
    </row>
    <row r="188" spans="1:20" ht="13.2" customHeight="1" x14ac:dyDescent="0.25">
      <c r="A188" s="53">
        <v>310</v>
      </c>
      <c r="B188" s="53" t="s">
        <v>41</v>
      </c>
      <c r="C188" s="53" t="s">
        <v>18</v>
      </c>
      <c r="D188" s="53" t="s">
        <v>407</v>
      </c>
      <c r="E188" s="53" t="s">
        <v>447</v>
      </c>
      <c r="F188" s="49">
        <v>1</v>
      </c>
      <c r="G188" s="107">
        <f>VLOOKUP($A188, Stat!$A$1:$C$501, 2,0)</f>
        <v>13</v>
      </c>
      <c r="H188" s="107">
        <f>VLOOKUP($A188, Stat!$A$1:$C$501, 3,0)</f>
        <v>0</v>
      </c>
      <c r="I188" s="110"/>
      <c r="P188" s="53">
        <v>20</v>
      </c>
      <c r="Q188" s="53">
        <v>0</v>
      </c>
      <c r="S188" s="53" t="s">
        <v>408</v>
      </c>
      <c r="T188" s="53">
        <v>1</v>
      </c>
    </row>
    <row r="189" spans="1:20" ht="13.2" customHeight="1" x14ac:dyDescent="0.25">
      <c r="A189" s="53">
        <v>122</v>
      </c>
      <c r="B189" s="53" t="s">
        <v>39</v>
      </c>
      <c r="C189" s="53" t="s">
        <v>87</v>
      </c>
      <c r="D189" s="53" t="s">
        <v>98</v>
      </c>
      <c r="E189" s="57" t="s">
        <v>5</v>
      </c>
      <c r="F189" s="51"/>
      <c r="G189" s="107">
        <f>VLOOKUP($A189, Stat!$A$1:$C$501, 2,0)</f>
        <v>11</v>
      </c>
      <c r="H189" s="107">
        <f>VLOOKUP($A189, Stat!$A$1:$C$501, 3,0)</f>
        <v>0</v>
      </c>
      <c r="I189" s="109"/>
      <c r="K189" s="49">
        <v>999</v>
      </c>
      <c r="M189" s="50"/>
      <c r="N189" s="51"/>
      <c r="O189" s="51"/>
      <c r="P189" s="53">
        <v>60</v>
      </c>
      <c r="Q189" s="53">
        <v>-1</v>
      </c>
      <c r="T189" s="53">
        <v>1</v>
      </c>
    </row>
    <row r="190" spans="1:20" ht="13.2" customHeight="1" x14ac:dyDescent="0.25">
      <c r="A190" s="53">
        <v>302</v>
      </c>
      <c r="B190" s="53" t="s">
        <v>39</v>
      </c>
      <c r="C190" s="53" t="s">
        <v>14</v>
      </c>
      <c r="D190" s="53" t="s">
        <v>409</v>
      </c>
      <c r="E190" s="53" t="s">
        <v>387</v>
      </c>
      <c r="G190" s="107">
        <f>VLOOKUP($A190, Stat!$A$1:$C$501, 2,0)</f>
        <v>12</v>
      </c>
      <c r="H190" s="107">
        <f>VLOOKUP($A190, Stat!$A$1:$C$501, 3,0)</f>
        <v>0</v>
      </c>
      <c r="I190" s="110"/>
      <c r="P190" s="53">
        <v>60</v>
      </c>
      <c r="Q190" s="53">
        <v>0</v>
      </c>
      <c r="S190" s="53" t="s">
        <v>366</v>
      </c>
      <c r="T190" s="53">
        <v>1</v>
      </c>
    </row>
    <row r="191" spans="1:20" ht="13.2" customHeight="1" x14ac:dyDescent="0.25">
      <c r="A191" s="53">
        <v>3</v>
      </c>
      <c r="B191" s="53" t="s">
        <v>39</v>
      </c>
      <c r="C191" s="53" t="s">
        <v>7</v>
      </c>
      <c r="D191" s="53" t="s">
        <v>169</v>
      </c>
      <c r="E191" s="57" t="s">
        <v>411</v>
      </c>
      <c r="F191" s="51"/>
      <c r="G191" s="107">
        <f>VLOOKUP($A191, Stat!$A$1:$C$501, 2,0)</f>
        <v>7</v>
      </c>
      <c r="H191" s="107">
        <f>VLOOKUP($A191, Stat!$A$1:$C$501, 3,0)</f>
        <v>0</v>
      </c>
      <c r="I191" s="110"/>
      <c r="L191" s="49">
        <v>1</v>
      </c>
      <c r="M191" s="50" t="s">
        <v>419</v>
      </c>
      <c r="N191" s="51"/>
      <c r="O191" s="51"/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28</v>
      </c>
      <c r="B192" s="53" t="s">
        <v>39</v>
      </c>
      <c r="C192" s="53" t="s">
        <v>7</v>
      </c>
      <c r="D192" s="53" t="s">
        <v>11</v>
      </c>
      <c r="E192" s="57" t="s">
        <v>13</v>
      </c>
      <c r="F192" s="51"/>
      <c r="G192" s="107">
        <f>VLOOKUP($A192, Stat!$A$1:$C$501, 2,0)</f>
        <v>10</v>
      </c>
      <c r="H192" s="107">
        <f>VLOOKUP($A192, Stat!$A$1:$C$501, 3,0)</f>
        <v>0</v>
      </c>
      <c r="I192" s="49">
        <v>1</v>
      </c>
      <c r="M192" s="51"/>
      <c r="N192" s="51"/>
      <c r="O192" s="51"/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147</v>
      </c>
      <c r="B193" s="53" t="s">
        <v>39</v>
      </c>
      <c r="C193" s="53" t="s">
        <v>87</v>
      </c>
      <c r="D193" s="53" t="s">
        <v>397</v>
      </c>
      <c r="E193" s="57" t="s">
        <v>51</v>
      </c>
      <c r="F193" s="51"/>
      <c r="G193" s="107">
        <f>VLOOKUP($A193, Stat!$A$1:$C$501, 2,0)</f>
        <v>10</v>
      </c>
      <c r="H193" s="107">
        <f>VLOOKUP($A193, Stat!$A$1:$C$501, 3,0)</f>
        <v>0</v>
      </c>
      <c r="I193" s="110"/>
      <c r="M193" s="51"/>
      <c r="N193" s="51"/>
      <c r="O193" s="51"/>
      <c r="P193" s="53">
        <v>100</v>
      </c>
      <c r="Q193" s="53">
        <v>-1</v>
      </c>
      <c r="R193" s="53" t="s">
        <v>440</v>
      </c>
      <c r="T193" s="53">
        <v>1</v>
      </c>
    </row>
    <row r="194" spans="1:20" ht="13.2" customHeight="1" x14ac:dyDescent="0.25">
      <c r="A194" s="53">
        <v>265</v>
      </c>
      <c r="B194" s="53" t="s">
        <v>41</v>
      </c>
      <c r="C194" s="53" t="s">
        <v>251</v>
      </c>
      <c r="D194" s="53" t="s">
        <v>252</v>
      </c>
      <c r="E194" s="57" t="s">
        <v>258</v>
      </c>
      <c r="F194" s="51"/>
      <c r="G194" s="107">
        <f>VLOOKUP($A194, Stat!$A$1:$C$501, 2,0)</f>
        <v>11</v>
      </c>
      <c r="H194" s="107">
        <f>VLOOKUP($A194, Stat!$A$1:$C$501, 3,0)</f>
        <v>0</v>
      </c>
      <c r="I194" s="109"/>
      <c r="M194" s="51"/>
      <c r="N194" s="50" t="s">
        <v>272</v>
      </c>
      <c r="O194" s="51"/>
      <c r="P194" s="53">
        <v>40</v>
      </c>
      <c r="Q194" s="53">
        <v>1</v>
      </c>
      <c r="S194" s="53" t="s">
        <v>318</v>
      </c>
      <c r="T194" s="53">
        <v>1</v>
      </c>
    </row>
    <row r="195" spans="1:20" ht="13.2" customHeight="1" x14ac:dyDescent="0.25">
      <c r="A195" s="53">
        <v>314</v>
      </c>
      <c r="B195" s="53" t="s">
        <v>39</v>
      </c>
      <c r="C195" s="53" t="s">
        <v>7</v>
      </c>
      <c r="D195" s="53" t="s">
        <v>170</v>
      </c>
      <c r="E195" s="53" t="s">
        <v>370</v>
      </c>
      <c r="G195" s="107">
        <f>VLOOKUP($A195, Stat!$A$1:$C$501, 2,0)</f>
        <v>11</v>
      </c>
      <c r="H195" s="107">
        <f>VLOOKUP($A195, Stat!$A$1:$C$501, 3,0)</f>
        <v>0</v>
      </c>
      <c r="I195" s="110"/>
      <c r="L195" s="49">
        <v>1</v>
      </c>
      <c r="P195" s="53">
        <v>0</v>
      </c>
      <c r="Q195" s="53">
        <v>0</v>
      </c>
      <c r="S195" s="53" t="s">
        <v>416</v>
      </c>
      <c r="T195" s="53">
        <v>1</v>
      </c>
    </row>
    <row r="196" spans="1:20" ht="13.2" hidden="1" customHeight="1" x14ac:dyDescent="0.25">
      <c r="A196" s="53">
        <v>197</v>
      </c>
      <c r="B196" s="53" t="s">
        <v>41</v>
      </c>
      <c r="C196" s="53" t="s">
        <v>208</v>
      </c>
      <c r="D196" s="53" t="s">
        <v>208</v>
      </c>
      <c r="E196" s="57" t="s">
        <v>224</v>
      </c>
      <c r="F196" s="51"/>
      <c r="G196" s="107">
        <f>VLOOKUP($A196, Stat!$A$1:$C$501, 2,0)</f>
        <v>2</v>
      </c>
      <c r="H196" s="107">
        <f>VLOOKUP($A196, Stat!$A$1:$C$501, 3,0)</f>
        <v>1</v>
      </c>
      <c r="I196" s="49">
        <v>1</v>
      </c>
      <c r="M196" s="51"/>
      <c r="N196" s="51"/>
      <c r="O196" s="51"/>
      <c r="P196" s="53">
        <v>60</v>
      </c>
      <c r="Q196" s="53">
        <v>0</v>
      </c>
      <c r="S196" s="53" t="s">
        <v>246</v>
      </c>
      <c r="T196" s="53">
        <v>1</v>
      </c>
    </row>
    <row r="197" spans="1:20" ht="13.2" customHeight="1" x14ac:dyDescent="0.25">
      <c r="A197" s="53">
        <v>203</v>
      </c>
      <c r="B197" s="53" t="s">
        <v>39</v>
      </c>
      <c r="C197" s="53" t="s">
        <v>7</v>
      </c>
      <c r="D197" s="53" t="s">
        <v>170</v>
      </c>
      <c r="E197" s="57" t="s">
        <v>414</v>
      </c>
      <c r="F197" s="51"/>
      <c r="G197" s="107">
        <f>VLOOKUP($A197, Stat!$A$1:$C$501, 2,0)</f>
        <v>8</v>
      </c>
      <c r="H197" s="107">
        <f>VLOOKUP($A197, Stat!$A$1:$C$501, 3,0)</f>
        <v>0</v>
      </c>
      <c r="I197" s="110"/>
      <c r="L197" s="49">
        <v>1</v>
      </c>
      <c r="M197" s="50" t="s">
        <v>418</v>
      </c>
      <c r="N197" s="51"/>
      <c r="O197" s="51"/>
      <c r="P197" s="53">
        <v>60</v>
      </c>
      <c r="Q197" s="53">
        <v>0</v>
      </c>
      <c r="S197" s="53" t="s">
        <v>229</v>
      </c>
      <c r="T197" s="53">
        <v>1</v>
      </c>
    </row>
    <row r="198" spans="1:20" ht="13.2" hidden="1" customHeight="1" x14ac:dyDescent="0.25">
      <c r="A198" s="53">
        <v>199</v>
      </c>
      <c r="B198" s="53" t="s">
        <v>41</v>
      </c>
      <c r="C198" s="53" t="s">
        <v>60</v>
      </c>
      <c r="D198" s="53" t="s">
        <v>161</v>
      </c>
      <c r="E198" s="57" t="s">
        <v>520</v>
      </c>
      <c r="F198" s="51"/>
      <c r="G198" s="107">
        <f>VLOOKUP($A198, Stat!$A$1:$C$501, 2,0)</f>
        <v>44</v>
      </c>
      <c r="H198" s="107">
        <f>VLOOKUP($A198, Stat!$A$1:$C$501, 3,0)</f>
        <v>2</v>
      </c>
      <c r="M198" s="51"/>
      <c r="N198" s="51"/>
      <c r="O198" s="51"/>
      <c r="P198" s="53">
        <v>60</v>
      </c>
      <c r="Q198" s="53">
        <v>0</v>
      </c>
      <c r="T198" s="53">
        <v>1</v>
      </c>
    </row>
    <row r="199" spans="1:20" ht="13.2" hidden="1" customHeight="1" x14ac:dyDescent="0.25">
      <c r="A199" s="53">
        <v>200</v>
      </c>
      <c r="B199" s="53" t="s">
        <v>41</v>
      </c>
      <c r="C199" s="53" t="s">
        <v>60</v>
      </c>
      <c r="D199" s="53" t="s">
        <v>58</v>
      </c>
      <c r="E199" s="57" t="s">
        <v>150</v>
      </c>
      <c r="F199" s="51"/>
      <c r="G199" s="107">
        <f>VLOOKUP($A199, Stat!$A$1:$C$501, 2,0)</f>
        <v>24</v>
      </c>
      <c r="H199" s="107">
        <f>VLOOKUP($A199, Stat!$A$1:$C$501, 3,0)</f>
        <v>6</v>
      </c>
      <c r="M199" s="51"/>
      <c r="N199" s="51"/>
      <c r="O199" s="51"/>
      <c r="P199" s="53">
        <v>60</v>
      </c>
      <c r="Q199" s="53">
        <v>0</v>
      </c>
      <c r="S199" s="53" t="s">
        <v>236</v>
      </c>
      <c r="T199" s="53">
        <v>1</v>
      </c>
    </row>
    <row r="200" spans="1:20" ht="13.2" hidden="1" customHeight="1" x14ac:dyDescent="0.25">
      <c r="A200" s="53">
        <v>201</v>
      </c>
      <c r="B200" s="53" t="s">
        <v>41</v>
      </c>
      <c r="C200" s="53" t="s">
        <v>60</v>
      </c>
      <c r="D200" s="53" t="s">
        <v>152</v>
      </c>
      <c r="E200" s="57" t="s">
        <v>149</v>
      </c>
      <c r="F200" s="51"/>
      <c r="G200" s="107">
        <f>VLOOKUP($A200, Stat!$A$1:$C$501, 2,0)</f>
        <v>6</v>
      </c>
      <c r="H200" s="107">
        <f>VLOOKUP($A200, Stat!$A$1:$C$501, 3,0)</f>
        <v>2</v>
      </c>
      <c r="I200" s="110"/>
      <c r="M200" s="51"/>
      <c r="N200" s="51"/>
      <c r="O200" s="51"/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196</v>
      </c>
      <c r="B201" s="53" t="s">
        <v>39</v>
      </c>
      <c r="C201" s="53" t="s">
        <v>15</v>
      </c>
      <c r="D201" s="53" t="s">
        <v>148</v>
      </c>
      <c r="E201" s="57" t="s">
        <v>373</v>
      </c>
      <c r="F201" s="51"/>
      <c r="G201" s="107">
        <f>VLOOKUP($A201, Stat!$A$1:$C$501, 2,0)</f>
        <v>7</v>
      </c>
      <c r="H201" s="107">
        <f>VLOOKUP($A201, Stat!$A$1:$C$501, 3,0)</f>
        <v>0</v>
      </c>
      <c r="I201" s="110"/>
      <c r="M201" s="51"/>
      <c r="N201" s="51"/>
      <c r="O201" s="51"/>
      <c r="P201" s="53">
        <v>20</v>
      </c>
      <c r="Q201" s="53">
        <v>0</v>
      </c>
      <c r="S201" s="53" t="s">
        <v>448</v>
      </c>
      <c r="T201" s="53">
        <v>1</v>
      </c>
    </row>
    <row r="202" spans="1:20" ht="13.2" customHeight="1" x14ac:dyDescent="0.25">
      <c r="A202" s="53">
        <v>198</v>
      </c>
      <c r="B202" s="53" t="s">
        <v>39</v>
      </c>
      <c r="C202" s="53" t="s">
        <v>17</v>
      </c>
      <c r="D202" s="53" t="s">
        <v>158</v>
      </c>
      <c r="E202" s="57" t="s">
        <v>389</v>
      </c>
      <c r="F202" s="51"/>
      <c r="G202" s="107">
        <f>VLOOKUP($A202, Stat!$A$1:$C$501, 2,0)</f>
        <v>7</v>
      </c>
      <c r="H202" s="107">
        <f>VLOOKUP($A202, Stat!$A$1:$C$501, 3,0)</f>
        <v>0</v>
      </c>
      <c r="I202" s="110"/>
      <c r="J202" s="49">
        <v>1</v>
      </c>
      <c r="M202" s="51"/>
      <c r="N202" s="51"/>
      <c r="O202" s="51"/>
      <c r="P202" s="53">
        <v>0</v>
      </c>
      <c r="Q202" s="53">
        <v>0</v>
      </c>
      <c r="S202" s="53" t="s">
        <v>234</v>
      </c>
      <c r="T202" s="53">
        <v>1</v>
      </c>
    </row>
    <row r="203" spans="1:20" ht="13.2" customHeight="1" x14ac:dyDescent="0.25">
      <c r="A203" s="53">
        <v>257</v>
      </c>
      <c r="B203" s="53" t="s">
        <v>41</v>
      </c>
      <c r="C203" s="53" t="s">
        <v>251</v>
      </c>
      <c r="D203" s="53" t="s">
        <v>252</v>
      </c>
      <c r="E203" s="57" t="s">
        <v>253</v>
      </c>
      <c r="F203" s="51"/>
      <c r="G203" s="107">
        <f>VLOOKUP($A203, Stat!$A$1:$C$501, 2,0)</f>
        <v>7</v>
      </c>
      <c r="H203" s="107">
        <f>VLOOKUP($A203, Stat!$A$1:$C$501, 3,0)</f>
        <v>0</v>
      </c>
      <c r="I203" s="109"/>
      <c r="M203" s="51"/>
      <c r="N203" s="50" t="s">
        <v>272</v>
      </c>
      <c r="O203" s="51"/>
      <c r="P203" s="53">
        <v>60</v>
      </c>
      <c r="Q203" s="53">
        <v>1</v>
      </c>
      <c r="S203" s="53" t="s">
        <v>320</v>
      </c>
      <c r="T203" s="53">
        <v>1</v>
      </c>
    </row>
    <row r="204" spans="1:20" ht="13.2" customHeight="1" x14ac:dyDescent="0.25">
      <c r="A204" s="53">
        <v>259</v>
      </c>
      <c r="B204" s="53" t="s">
        <v>41</v>
      </c>
      <c r="C204" s="53" t="s">
        <v>251</v>
      </c>
      <c r="D204" s="53" t="s">
        <v>252</v>
      </c>
      <c r="E204" s="57" t="s">
        <v>254</v>
      </c>
      <c r="F204" s="51"/>
      <c r="G204" s="107">
        <f>VLOOKUP($A204, Stat!$A$1:$C$501, 2,0)</f>
        <v>7</v>
      </c>
      <c r="H204" s="107">
        <f>VLOOKUP($A204, Stat!$A$1:$C$501, 3,0)</f>
        <v>0</v>
      </c>
      <c r="I204" s="109"/>
      <c r="M204" s="51"/>
      <c r="N204" s="50" t="s">
        <v>272</v>
      </c>
      <c r="O204" s="51"/>
      <c r="P204" s="53">
        <v>60</v>
      </c>
      <c r="Q204" s="53">
        <v>0</v>
      </c>
      <c r="T204" s="53">
        <v>1</v>
      </c>
    </row>
    <row r="205" spans="1:20" ht="13.2" customHeight="1" x14ac:dyDescent="0.25">
      <c r="A205" s="53">
        <v>202</v>
      </c>
      <c r="B205" s="53" t="s">
        <v>39</v>
      </c>
      <c r="C205" s="53" t="s">
        <v>7</v>
      </c>
      <c r="D205" s="53" t="s">
        <v>170</v>
      </c>
      <c r="E205" s="57" t="s">
        <v>412</v>
      </c>
      <c r="F205" s="51"/>
      <c r="G205" s="107">
        <f>VLOOKUP($A205, Stat!$A$1:$C$501, 2,0)</f>
        <v>5</v>
      </c>
      <c r="H205" s="107">
        <f>VLOOKUP($A205, Stat!$A$1:$C$501, 3,0)</f>
        <v>0</v>
      </c>
      <c r="I205" s="110"/>
      <c r="L205" s="49">
        <v>1</v>
      </c>
      <c r="M205" s="50" t="s">
        <v>417</v>
      </c>
      <c r="N205" s="51"/>
      <c r="O205" s="51"/>
      <c r="P205" s="53">
        <v>60</v>
      </c>
      <c r="Q205" s="53">
        <v>0</v>
      </c>
      <c r="T205" s="53">
        <v>1</v>
      </c>
    </row>
    <row r="206" spans="1:20" ht="13.2" customHeight="1" x14ac:dyDescent="0.25">
      <c r="A206" s="53">
        <v>297</v>
      </c>
      <c r="B206" s="53" t="s">
        <v>41</v>
      </c>
      <c r="C206" s="53" t="s">
        <v>251</v>
      </c>
      <c r="D206" s="53" t="s">
        <v>332</v>
      </c>
      <c r="E206" s="53" t="s">
        <v>355</v>
      </c>
      <c r="G206" s="107">
        <f>VLOOKUP($A206, Stat!$A$1:$C$501, 2,0)</f>
        <v>6</v>
      </c>
      <c r="H206" s="107">
        <f>VLOOKUP($A206, Stat!$A$1:$C$501, 3,0)</f>
        <v>0</v>
      </c>
      <c r="I206" s="109"/>
      <c r="N206" s="49">
        <v>1</v>
      </c>
      <c r="P206" s="53">
        <v>40</v>
      </c>
      <c r="Q206" s="53">
        <v>0</v>
      </c>
      <c r="R206" s="53" t="s">
        <v>371</v>
      </c>
      <c r="S206" s="53" t="s">
        <v>357</v>
      </c>
      <c r="T206" s="53">
        <v>1</v>
      </c>
    </row>
    <row r="207" spans="1:20" ht="13.2" hidden="1" customHeight="1" x14ac:dyDescent="0.25">
      <c r="A207" s="53">
        <v>208</v>
      </c>
      <c r="B207" s="53" t="s">
        <v>41</v>
      </c>
      <c r="C207" s="53" t="s">
        <v>64</v>
      </c>
      <c r="D207" s="53" t="s">
        <v>175</v>
      </c>
      <c r="E207" s="57" t="s">
        <v>177</v>
      </c>
      <c r="F207" s="51"/>
      <c r="G207" s="107">
        <f>VLOOKUP($A207, Stat!$A$1:$C$501, 2,0)</f>
        <v>1</v>
      </c>
      <c r="H207" s="107">
        <f>VLOOKUP($A207, Stat!$A$1:$C$501, 3,0)</f>
        <v>1</v>
      </c>
      <c r="I207" s="49">
        <v>1</v>
      </c>
      <c r="M207" s="51"/>
      <c r="N207" s="51"/>
      <c r="O207" s="51"/>
      <c r="P207" s="53">
        <v>0</v>
      </c>
      <c r="Q207" s="53">
        <v>1</v>
      </c>
      <c r="R207" s="53" t="s">
        <v>179</v>
      </c>
      <c r="T207" s="53">
        <v>1</v>
      </c>
    </row>
    <row r="208" spans="1:20" ht="13.2" hidden="1" customHeight="1" x14ac:dyDescent="0.25">
      <c r="A208" s="53">
        <v>209</v>
      </c>
      <c r="B208" s="53" t="s">
        <v>41</v>
      </c>
      <c r="C208" s="53" t="s">
        <v>64</v>
      </c>
      <c r="D208" s="53" t="s">
        <v>175</v>
      </c>
      <c r="E208" s="57" t="s">
        <v>178</v>
      </c>
      <c r="F208" s="51"/>
      <c r="G208" s="107">
        <f>VLOOKUP($A208, Stat!$A$1:$C$501, 2,0)</f>
        <v>26</v>
      </c>
      <c r="H208" s="107">
        <f>VLOOKUP($A208, Stat!$A$1:$C$501, 3,0)</f>
        <v>2</v>
      </c>
      <c r="I208" s="49">
        <v>1</v>
      </c>
      <c r="M208" s="51"/>
      <c r="N208" s="51"/>
      <c r="O208" s="51"/>
      <c r="P208" s="53">
        <v>40</v>
      </c>
      <c r="Q208" s="53">
        <v>1</v>
      </c>
      <c r="R208" s="53" t="s">
        <v>179</v>
      </c>
      <c r="T208" s="53">
        <v>1</v>
      </c>
    </row>
    <row r="209" spans="1:20" ht="13.2" hidden="1" customHeight="1" x14ac:dyDescent="0.25">
      <c r="A209" s="53">
        <v>210</v>
      </c>
      <c r="B209" s="53" t="s">
        <v>41</v>
      </c>
      <c r="C209" s="53" t="s">
        <v>64</v>
      </c>
      <c r="D209" s="53" t="s">
        <v>175</v>
      </c>
      <c r="E209" s="57" t="s">
        <v>312</v>
      </c>
      <c r="F209" s="51"/>
      <c r="G209" s="107">
        <f>VLOOKUP($A209, Stat!$A$1:$C$501, 2,0)</f>
        <v>15</v>
      </c>
      <c r="H209" s="107">
        <f>VLOOKUP($A209, Stat!$A$1:$C$501, 3,0)</f>
        <v>5</v>
      </c>
      <c r="I209" s="49">
        <v>1</v>
      </c>
      <c r="M209" s="51"/>
      <c r="N209" s="51"/>
      <c r="O209" s="51"/>
      <c r="P209" s="53">
        <v>40</v>
      </c>
      <c r="Q209" s="53">
        <v>0</v>
      </c>
      <c r="R209" s="53" t="s">
        <v>179</v>
      </c>
      <c r="T209" s="53">
        <v>1</v>
      </c>
    </row>
    <row r="210" spans="1:20" ht="13.2" hidden="1" customHeight="1" x14ac:dyDescent="0.25">
      <c r="A210" s="53">
        <v>211</v>
      </c>
      <c r="B210" s="53" t="s">
        <v>41</v>
      </c>
      <c r="C210" s="53" t="s">
        <v>64</v>
      </c>
      <c r="D210" s="53" t="s">
        <v>175</v>
      </c>
      <c r="E210" s="57" t="s">
        <v>313</v>
      </c>
      <c r="F210" s="51"/>
      <c r="G210" s="107">
        <f>VLOOKUP($A210, Stat!$A$1:$C$501, 2,0)</f>
        <v>7</v>
      </c>
      <c r="H210" s="107">
        <f>VLOOKUP($A210, Stat!$A$1:$C$501, 3,0)</f>
        <v>3</v>
      </c>
      <c r="I210" s="49">
        <v>1</v>
      </c>
      <c r="M210" s="51"/>
      <c r="N210" s="51"/>
      <c r="O210" s="51"/>
      <c r="P210" s="53">
        <v>60</v>
      </c>
      <c r="Q210" s="53">
        <v>1</v>
      </c>
      <c r="R210" s="53" t="s">
        <v>179</v>
      </c>
      <c r="T210" s="53">
        <v>1</v>
      </c>
    </row>
    <row r="211" spans="1:20" ht="13.2" hidden="1" customHeight="1" x14ac:dyDescent="0.25">
      <c r="A211" s="53">
        <v>212</v>
      </c>
      <c r="B211" s="53" t="s">
        <v>41</v>
      </c>
      <c r="C211" s="53" t="s">
        <v>64</v>
      </c>
      <c r="D211" s="53" t="s">
        <v>176</v>
      </c>
      <c r="E211" s="57" t="s">
        <v>177</v>
      </c>
      <c r="F211" s="51"/>
      <c r="G211" s="107">
        <f>VLOOKUP($A211, Stat!$A$1:$C$501, 2,0)</f>
        <v>4</v>
      </c>
      <c r="H211" s="107">
        <f>VLOOKUP($A211, Stat!$A$1:$C$501, 3,0)</f>
        <v>1</v>
      </c>
      <c r="I211" s="49">
        <v>1</v>
      </c>
      <c r="M211" s="51"/>
      <c r="N211" s="51"/>
      <c r="O211" s="51"/>
      <c r="P211" s="53">
        <v>0</v>
      </c>
      <c r="Q211" s="53">
        <v>0</v>
      </c>
      <c r="R211" s="53" t="s">
        <v>180</v>
      </c>
      <c r="T211" s="53">
        <v>1</v>
      </c>
    </row>
    <row r="212" spans="1:20" ht="13.2" hidden="1" customHeight="1" x14ac:dyDescent="0.25">
      <c r="A212" s="53">
        <v>213</v>
      </c>
      <c r="B212" s="53" t="s">
        <v>41</v>
      </c>
      <c r="C212" s="53" t="s">
        <v>64</v>
      </c>
      <c r="D212" s="53" t="s">
        <v>176</v>
      </c>
      <c r="E212" s="57" t="s">
        <v>178</v>
      </c>
      <c r="F212" s="51"/>
      <c r="G212" s="107">
        <f>VLOOKUP($A212, Stat!$A$1:$C$501, 2,0)</f>
        <v>19</v>
      </c>
      <c r="H212" s="107">
        <f>VLOOKUP($A212, Stat!$A$1:$C$501, 3,0)</f>
        <v>7</v>
      </c>
      <c r="I212" s="49">
        <v>1</v>
      </c>
      <c r="M212" s="51"/>
      <c r="N212" s="51"/>
      <c r="O212" s="51"/>
      <c r="P212" s="53">
        <v>40</v>
      </c>
      <c r="Q212" s="53">
        <v>0</v>
      </c>
      <c r="R212" s="53" t="s">
        <v>180</v>
      </c>
      <c r="T212" s="53">
        <v>1</v>
      </c>
    </row>
    <row r="213" spans="1:20" ht="13.2" hidden="1" customHeight="1" x14ac:dyDescent="0.25">
      <c r="A213" s="53">
        <v>214</v>
      </c>
      <c r="B213" s="53" t="s">
        <v>41</v>
      </c>
      <c r="C213" s="53" t="s">
        <v>64</v>
      </c>
      <c r="D213" s="53" t="s">
        <v>176</v>
      </c>
      <c r="E213" s="57" t="s">
        <v>312</v>
      </c>
      <c r="F213" s="51"/>
      <c r="G213" s="107">
        <f>VLOOKUP($A213, Stat!$A$1:$C$501, 2,0)</f>
        <v>16</v>
      </c>
      <c r="H213" s="107">
        <f>VLOOKUP($A213, Stat!$A$1:$C$501, 3,0)</f>
        <v>5</v>
      </c>
      <c r="I213" s="49">
        <v>1</v>
      </c>
      <c r="M213" s="51"/>
      <c r="N213" s="51"/>
      <c r="O213" s="51"/>
      <c r="P213" s="53">
        <v>40</v>
      </c>
      <c r="Q213" s="53">
        <v>0</v>
      </c>
      <c r="R213" s="53" t="s">
        <v>180</v>
      </c>
      <c r="T213" s="53">
        <v>1</v>
      </c>
    </row>
    <row r="214" spans="1:20" ht="13.2" hidden="1" customHeight="1" x14ac:dyDescent="0.25">
      <c r="A214" s="53">
        <v>215</v>
      </c>
      <c r="B214" s="53" t="s">
        <v>41</v>
      </c>
      <c r="C214" s="53" t="s">
        <v>64</v>
      </c>
      <c r="D214" s="53" t="s">
        <v>176</v>
      </c>
      <c r="E214" s="57" t="s">
        <v>313</v>
      </c>
      <c r="F214" s="51"/>
      <c r="G214" s="107">
        <f>VLOOKUP($A214, Stat!$A$1:$C$501, 2,0)</f>
        <v>8</v>
      </c>
      <c r="H214" s="107">
        <f>VLOOKUP($A214, Stat!$A$1:$C$501, 3,0)</f>
        <v>8</v>
      </c>
      <c r="I214" s="49">
        <v>1</v>
      </c>
      <c r="M214" s="51"/>
      <c r="N214" s="51"/>
      <c r="O214" s="51"/>
      <c r="P214" s="53">
        <v>60</v>
      </c>
      <c r="Q214" s="53">
        <v>0</v>
      </c>
      <c r="R214" s="53" t="s">
        <v>180</v>
      </c>
      <c r="T214" s="53">
        <v>1</v>
      </c>
    </row>
    <row r="215" spans="1:20" ht="13.2" hidden="1" customHeight="1" x14ac:dyDescent="0.25">
      <c r="A215" s="53">
        <v>216</v>
      </c>
      <c r="B215" s="53" t="s">
        <v>41</v>
      </c>
      <c r="C215" s="53" t="s">
        <v>64</v>
      </c>
      <c r="D215" s="53" t="s">
        <v>181</v>
      </c>
      <c r="E215" s="57" t="s">
        <v>186</v>
      </c>
      <c r="F215" s="51"/>
      <c r="G215" s="107">
        <f>VLOOKUP($A215, Stat!$A$1:$C$501, 2,0)</f>
        <v>1</v>
      </c>
      <c r="H215" s="107">
        <f>VLOOKUP($A215, Stat!$A$1:$C$501, 3,0)</f>
        <v>1</v>
      </c>
      <c r="I215" s="49">
        <v>1</v>
      </c>
      <c r="M215" s="51"/>
      <c r="N215" s="51"/>
      <c r="O215" s="51"/>
      <c r="P215" s="53">
        <v>60</v>
      </c>
      <c r="Q215" s="53">
        <v>0</v>
      </c>
      <c r="S215" s="53" t="s">
        <v>516</v>
      </c>
      <c r="T215" s="53">
        <v>1</v>
      </c>
    </row>
    <row r="216" spans="1:20" ht="13.2" hidden="1" customHeight="1" x14ac:dyDescent="0.25">
      <c r="A216" s="53">
        <v>217</v>
      </c>
      <c r="B216" s="53" t="s">
        <v>41</v>
      </c>
      <c r="C216" s="53" t="s">
        <v>64</v>
      </c>
      <c r="D216" s="53" t="s">
        <v>181</v>
      </c>
      <c r="E216" s="57" t="s">
        <v>185</v>
      </c>
      <c r="F216" s="51"/>
      <c r="G216" s="107">
        <f>VLOOKUP($A216, Stat!$A$1:$C$501, 2,0)</f>
        <v>3</v>
      </c>
      <c r="H216" s="107">
        <f>VLOOKUP($A216, Stat!$A$1:$C$501, 3,0)</f>
        <v>1</v>
      </c>
      <c r="I216" s="49">
        <v>1</v>
      </c>
      <c r="M216" s="51"/>
      <c r="N216" s="51"/>
      <c r="O216" s="51"/>
      <c r="P216" s="53">
        <v>0</v>
      </c>
      <c r="Q216" s="53">
        <v>0</v>
      </c>
      <c r="S216" s="53" t="s">
        <v>517</v>
      </c>
      <c r="T216" s="53">
        <v>1</v>
      </c>
    </row>
    <row r="217" spans="1:20" ht="13.2" hidden="1" customHeight="1" x14ac:dyDescent="0.25">
      <c r="A217" s="53">
        <v>218</v>
      </c>
      <c r="B217" s="53" t="s">
        <v>41</v>
      </c>
      <c r="C217" s="53" t="s">
        <v>64</v>
      </c>
      <c r="D217" s="53" t="s">
        <v>181</v>
      </c>
      <c r="E217" s="57" t="s">
        <v>184</v>
      </c>
      <c r="F217" s="51"/>
      <c r="G217" s="107">
        <f>VLOOKUP($A217, Stat!$A$1:$C$501, 2,0)</f>
        <v>0</v>
      </c>
      <c r="H217" s="107">
        <f>VLOOKUP($A217, Stat!$A$1:$C$501, 3,0)</f>
        <v>0</v>
      </c>
      <c r="I217" s="49">
        <v>1</v>
      </c>
      <c r="M217" s="51"/>
      <c r="N217" s="51"/>
      <c r="O217" s="51"/>
      <c r="P217" s="53">
        <v>60</v>
      </c>
      <c r="Q217" s="53">
        <v>0</v>
      </c>
      <c r="S217" s="53" t="s">
        <v>241</v>
      </c>
      <c r="T217" s="53">
        <v>1</v>
      </c>
    </row>
    <row r="218" spans="1:20" ht="13.2" hidden="1" customHeight="1" x14ac:dyDescent="0.25">
      <c r="A218" s="53">
        <v>219</v>
      </c>
      <c r="B218" s="53" t="s">
        <v>41</v>
      </c>
      <c r="C218" s="53" t="s">
        <v>64</v>
      </c>
      <c r="D218" s="53" t="s">
        <v>181</v>
      </c>
      <c r="E218" s="57" t="s">
        <v>183</v>
      </c>
      <c r="F218" s="51"/>
      <c r="G218" s="107">
        <f>VLOOKUP($A218, Stat!$A$1:$C$501, 2,0)</f>
        <v>21</v>
      </c>
      <c r="H218" s="107">
        <f>VLOOKUP($A218, Stat!$A$1:$C$501, 3,0)</f>
        <v>3</v>
      </c>
      <c r="I218" s="49">
        <v>1</v>
      </c>
      <c r="M218" s="51"/>
      <c r="N218" s="51"/>
      <c r="O218" s="51"/>
      <c r="P218" s="53">
        <v>60</v>
      </c>
      <c r="Q218" s="53">
        <v>0</v>
      </c>
      <c r="S218" s="53" t="s">
        <v>240</v>
      </c>
      <c r="T218" s="53">
        <v>1</v>
      </c>
    </row>
    <row r="219" spans="1:20" ht="13.2" hidden="1" customHeight="1" x14ac:dyDescent="0.25">
      <c r="A219" s="53">
        <v>220</v>
      </c>
      <c r="B219" s="53" t="s">
        <v>41</v>
      </c>
      <c r="C219" s="53" t="s">
        <v>64</v>
      </c>
      <c r="D219" s="53" t="s">
        <v>181</v>
      </c>
      <c r="E219" s="57" t="s">
        <v>50</v>
      </c>
      <c r="F219" s="51"/>
      <c r="G219" s="107">
        <f>VLOOKUP($A219, Stat!$A$1:$C$501, 2,0)</f>
        <v>13</v>
      </c>
      <c r="H219" s="107">
        <f>VLOOKUP($A219, Stat!$A$1:$C$501, 3,0)</f>
        <v>10</v>
      </c>
      <c r="I219" s="49">
        <v>1</v>
      </c>
      <c r="M219" s="51"/>
      <c r="N219" s="51"/>
      <c r="O219" s="51"/>
      <c r="P219" s="53">
        <v>100</v>
      </c>
      <c r="Q219" s="53">
        <v>0</v>
      </c>
      <c r="T219" s="53">
        <v>1</v>
      </c>
    </row>
    <row r="220" spans="1:20" ht="13.2" hidden="1" customHeight="1" x14ac:dyDescent="0.25">
      <c r="A220" s="53">
        <v>221</v>
      </c>
      <c r="B220" s="53" t="s">
        <v>41</v>
      </c>
      <c r="C220" s="53" t="s">
        <v>64</v>
      </c>
      <c r="D220" s="53" t="s">
        <v>181</v>
      </c>
      <c r="E220" s="57" t="s">
        <v>182</v>
      </c>
      <c r="F220" s="51"/>
      <c r="G220" s="107">
        <f>VLOOKUP($A220, Stat!$A$1:$C$501, 2,0)</f>
        <v>9</v>
      </c>
      <c r="H220" s="107">
        <f>VLOOKUP($A220, Stat!$A$1:$C$501, 3,0)</f>
        <v>3</v>
      </c>
      <c r="I220" s="49">
        <v>1</v>
      </c>
      <c r="M220" s="51"/>
      <c r="N220" s="51"/>
      <c r="O220" s="51"/>
      <c r="P220" s="53">
        <v>100</v>
      </c>
      <c r="Q220" s="53">
        <v>0</v>
      </c>
      <c r="T220" s="53">
        <v>1</v>
      </c>
    </row>
    <row r="221" spans="1:20" ht="13.2" hidden="1" customHeight="1" x14ac:dyDescent="0.25">
      <c r="A221" s="53">
        <v>222</v>
      </c>
      <c r="B221" s="53" t="s">
        <v>41</v>
      </c>
      <c r="C221" s="53" t="s">
        <v>64</v>
      </c>
      <c r="D221" s="53" t="s">
        <v>181</v>
      </c>
      <c r="E221" s="57" t="s">
        <v>187</v>
      </c>
      <c r="F221" s="51"/>
      <c r="G221" s="107">
        <f>VLOOKUP($A221, Stat!$A$1:$C$501, 2,0)</f>
        <v>4</v>
      </c>
      <c r="H221" s="107">
        <f>VLOOKUP($A221, Stat!$A$1:$C$501, 3,0)</f>
        <v>3</v>
      </c>
      <c r="I221" s="49">
        <v>1</v>
      </c>
      <c r="M221" s="51"/>
      <c r="N221" s="51"/>
      <c r="O221" s="51"/>
      <c r="P221" s="53">
        <v>0</v>
      </c>
      <c r="Q221" s="53">
        <v>1</v>
      </c>
      <c r="S221" s="53" t="s">
        <v>302</v>
      </c>
      <c r="T221" s="53">
        <v>1</v>
      </c>
    </row>
    <row r="222" spans="1:20" ht="13.2" hidden="1" customHeight="1" x14ac:dyDescent="0.25">
      <c r="A222" s="53">
        <v>223</v>
      </c>
      <c r="B222" s="53" t="s">
        <v>41</v>
      </c>
      <c r="C222" s="53" t="s">
        <v>64</v>
      </c>
      <c r="D222" s="53" t="s">
        <v>68</v>
      </c>
      <c r="E222" s="57" t="s">
        <v>475</v>
      </c>
      <c r="F222" s="51"/>
      <c r="G222" s="107">
        <f>VLOOKUP($A222, Stat!$A$1:$C$501, 2,0)</f>
        <v>15</v>
      </c>
      <c r="H222" s="107">
        <f>VLOOKUP($A222, Stat!$A$1:$C$501, 3,0)</f>
        <v>1</v>
      </c>
      <c r="I222" s="49">
        <v>1</v>
      </c>
      <c r="M222" s="51"/>
      <c r="N222" s="51"/>
      <c r="O222" s="51"/>
      <c r="P222" s="53">
        <v>60</v>
      </c>
      <c r="Q222" s="53">
        <v>0</v>
      </c>
      <c r="S222" s="53" t="s">
        <v>242</v>
      </c>
      <c r="T222" s="53">
        <v>1</v>
      </c>
    </row>
    <row r="223" spans="1:20" ht="13.2" hidden="1" customHeight="1" x14ac:dyDescent="0.25">
      <c r="A223" s="53">
        <v>224</v>
      </c>
      <c r="B223" s="53" t="s">
        <v>41</v>
      </c>
      <c r="C223" s="53" t="s">
        <v>64</v>
      </c>
      <c r="D223" s="53" t="s">
        <v>68</v>
      </c>
      <c r="E223" s="57" t="s">
        <v>341</v>
      </c>
      <c r="F223" s="51"/>
      <c r="G223" s="107">
        <f>VLOOKUP($A223, Stat!$A$1:$C$501, 2,0)</f>
        <v>6</v>
      </c>
      <c r="H223" s="107">
        <f>VLOOKUP($A223, Stat!$A$1:$C$501, 3,0)</f>
        <v>4</v>
      </c>
      <c r="I223" s="49">
        <v>1</v>
      </c>
      <c r="M223" s="51"/>
      <c r="N223" s="51"/>
      <c r="O223" s="51"/>
      <c r="P223" s="53">
        <v>100</v>
      </c>
      <c r="Q223" s="53">
        <v>0</v>
      </c>
      <c r="S223" s="53" t="s">
        <v>342</v>
      </c>
      <c r="T223" s="53">
        <v>1</v>
      </c>
    </row>
    <row r="224" spans="1:20" ht="13.2" hidden="1" customHeight="1" x14ac:dyDescent="0.25">
      <c r="A224" s="53">
        <v>225</v>
      </c>
      <c r="B224" s="53" t="s">
        <v>41</v>
      </c>
      <c r="C224" s="53" t="s">
        <v>64</v>
      </c>
      <c r="D224" s="53" t="s">
        <v>139</v>
      </c>
      <c r="E224" s="57" t="s">
        <v>188</v>
      </c>
      <c r="F224" s="51"/>
      <c r="G224" s="107">
        <f>VLOOKUP($A224, Stat!$A$1:$C$501, 2,0)</f>
        <v>364</v>
      </c>
      <c r="H224" s="107">
        <f>VLOOKUP($A224, Stat!$A$1:$C$501, 3,0)</f>
        <v>2</v>
      </c>
      <c r="I224" s="110"/>
      <c r="M224" s="51"/>
      <c r="N224" s="51"/>
      <c r="O224" s="51"/>
      <c r="P224" s="53">
        <v>0</v>
      </c>
      <c r="Q224" s="53">
        <v>1</v>
      </c>
      <c r="T224" s="53">
        <v>1</v>
      </c>
    </row>
    <row r="225" spans="1:20" ht="13.2" hidden="1" customHeight="1" x14ac:dyDescent="0.25">
      <c r="A225" s="53">
        <v>226</v>
      </c>
      <c r="B225" s="53" t="s">
        <v>41</v>
      </c>
      <c r="C225" s="53" t="s">
        <v>208</v>
      </c>
      <c r="D225" s="53" t="s">
        <v>197</v>
      </c>
      <c r="E225" s="57" t="s">
        <v>199</v>
      </c>
      <c r="F225" s="51"/>
      <c r="G225" s="107">
        <f>VLOOKUP($A225, Stat!$A$1:$C$501, 2,0)</f>
        <v>6</v>
      </c>
      <c r="H225" s="107">
        <f>VLOOKUP($A225, Stat!$A$1:$C$501, 3,0)</f>
        <v>4</v>
      </c>
      <c r="I225" s="49">
        <v>1</v>
      </c>
      <c r="M225" s="51"/>
      <c r="N225" s="51"/>
      <c r="O225" s="51"/>
      <c r="P225" s="53">
        <v>60</v>
      </c>
      <c r="Q225" s="53">
        <v>0</v>
      </c>
      <c r="T225" s="53">
        <v>1</v>
      </c>
    </row>
    <row r="226" spans="1:20" ht="13.2" hidden="1" customHeight="1" x14ac:dyDescent="0.25">
      <c r="A226" s="53">
        <v>227</v>
      </c>
      <c r="B226" s="53" t="s">
        <v>41</v>
      </c>
      <c r="C226" s="53" t="s">
        <v>208</v>
      </c>
      <c r="D226" s="53" t="s">
        <v>197</v>
      </c>
      <c r="E226" s="57" t="s">
        <v>200</v>
      </c>
      <c r="F226" s="51"/>
      <c r="G226" s="107">
        <f>VLOOKUP($A226, Stat!$A$1:$C$501, 2,0)</f>
        <v>44</v>
      </c>
      <c r="H226" s="107">
        <f>VLOOKUP($A226, Stat!$A$1:$C$501, 3,0)</f>
        <v>5</v>
      </c>
      <c r="I226" s="49">
        <v>1</v>
      </c>
      <c r="M226" s="51"/>
      <c r="N226" s="51"/>
      <c r="O226" s="51"/>
      <c r="P226" s="53">
        <v>0</v>
      </c>
      <c r="Q226" s="53">
        <v>1</v>
      </c>
      <c r="T226" s="53">
        <v>1</v>
      </c>
    </row>
    <row r="227" spans="1:20" ht="13.2" hidden="1" customHeight="1" x14ac:dyDescent="0.25">
      <c r="A227" s="53">
        <v>228</v>
      </c>
      <c r="B227" s="53" t="s">
        <v>41</v>
      </c>
      <c r="C227" s="53" t="s">
        <v>208</v>
      </c>
      <c r="D227" s="53" t="s">
        <v>197</v>
      </c>
      <c r="E227" s="57" t="s">
        <v>201</v>
      </c>
      <c r="F227" s="51"/>
      <c r="G227" s="107">
        <f>VLOOKUP($A227, Stat!$A$1:$C$501, 2,0)</f>
        <v>16</v>
      </c>
      <c r="H227" s="107">
        <f>VLOOKUP($A227, Stat!$A$1:$C$501, 3,0)</f>
        <v>7</v>
      </c>
      <c r="I227" s="49">
        <v>1</v>
      </c>
      <c r="M227" s="51"/>
      <c r="N227" s="51"/>
      <c r="O227" s="51"/>
      <c r="P227" s="53">
        <v>60</v>
      </c>
      <c r="Q227" s="53">
        <v>0</v>
      </c>
      <c r="T227" s="53">
        <v>1</v>
      </c>
    </row>
    <row r="228" spans="1:20" ht="13.2" hidden="1" customHeight="1" x14ac:dyDescent="0.25">
      <c r="A228" s="53">
        <v>229</v>
      </c>
      <c r="B228" s="53" t="s">
        <v>41</v>
      </c>
      <c r="C228" s="53" t="s">
        <v>208</v>
      </c>
      <c r="D228" s="53" t="s">
        <v>197</v>
      </c>
      <c r="E228" s="57" t="s">
        <v>202</v>
      </c>
      <c r="F228" s="51"/>
      <c r="G228" s="107">
        <f>VLOOKUP($A228, Stat!$A$1:$C$501, 2,0)</f>
        <v>37</v>
      </c>
      <c r="H228" s="107">
        <f>VLOOKUP($A228, Stat!$A$1:$C$501, 3,0)</f>
        <v>5</v>
      </c>
      <c r="I228" s="49">
        <v>1</v>
      </c>
      <c r="M228" s="51"/>
      <c r="N228" s="51"/>
      <c r="O228" s="51"/>
      <c r="P228" s="53">
        <v>0</v>
      </c>
      <c r="Q228" s="53">
        <v>1</v>
      </c>
      <c r="T228" s="53">
        <v>1</v>
      </c>
    </row>
    <row r="229" spans="1:20" ht="13.2" hidden="1" customHeight="1" x14ac:dyDescent="0.25">
      <c r="A229" s="53">
        <v>230</v>
      </c>
      <c r="B229" s="53" t="s">
        <v>41</v>
      </c>
      <c r="C229" s="53" t="s">
        <v>208</v>
      </c>
      <c r="D229" s="53" t="s">
        <v>197</v>
      </c>
      <c r="E229" s="57" t="s">
        <v>210</v>
      </c>
      <c r="F229" s="51"/>
      <c r="G229" s="107">
        <f>VLOOKUP($A229, Stat!$A$1:$C$501, 2,0)</f>
        <v>8</v>
      </c>
      <c r="H229" s="107">
        <f>VLOOKUP($A229, Stat!$A$1:$C$501, 3,0)</f>
        <v>0</v>
      </c>
      <c r="I229" s="49">
        <v>1</v>
      </c>
      <c r="M229" s="51"/>
      <c r="N229" s="51"/>
      <c r="O229" s="51"/>
      <c r="P229" s="53">
        <v>60</v>
      </c>
      <c r="Q229" s="53">
        <v>0</v>
      </c>
      <c r="T229" s="53">
        <v>1</v>
      </c>
    </row>
    <row r="230" spans="1:20" ht="13.2" hidden="1" customHeight="1" x14ac:dyDescent="0.25">
      <c r="A230" s="53">
        <v>231</v>
      </c>
      <c r="B230" s="53" t="s">
        <v>41</v>
      </c>
      <c r="C230" s="53" t="s">
        <v>208</v>
      </c>
      <c r="D230" s="53" t="s">
        <v>197</v>
      </c>
      <c r="E230" s="57" t="s">
        <v>193</v>
      </c>
      <c r="F230" s="51"/>
      <c r="G230" s="107">
        <f>VLOOKUP($A230, Stat!$A$1:$C$501, 2,0)</f>
        <v>2</v>
      </c>
      <c r="H230" s="107">
        <f>VLOOKUP($A230, Stat!$A$1:$C$501, 3,0)</f>
        <v>1</v>
      </c>
      <c r="I230" s="49">
        <v>1</v>
      </c>
      <c r="M230" s="51"/>
      <c r="N230" s="51"/>
      <c r="O230" s="51"/>
      <c r="P230" s="53">
        <v>60</v>
      </c>
      <c r="Q230" s="53">
        <v>0</v>
      </c>
      <c r="S230" s="53" t="s">
        <v>248</v>
      </c>
      <c r="T230" s="53">
        <v>1</v>
      </c>
    </row>
    <row r="231" spans="1:20" ht="13.2" hidden="1" customHeight="1" x14ac:dyDescent="0.25">
      <c r="A231" s="53">
        <v>232</v>
      </c>
      <c r="B231" s="53" t="s">
        <v>41</v>
      </c>
      <c r="C231" s="53" t="s">
        <v>208</v>
      </c>
      <c r="D231" s="53" t="s">
        <v>197</v>
      </c>
      <c r="E231" s="57" t="s">
        <v>211</v>
      </c>
      <c r="F231" s="51"/>
      <c r="G231" s="107">
        <f>VLOOKUP($A231, Stat!$A$1:$C$501, 2,0)</f>
        <v>2</v>
      </c>
      <c r="H231" s="107">
        <f>VLOOKUP($A231, Stat!$A$1:$C$501, 3,0)</f>
        <v>2</v>
      </c>
      <c r="I231" s="49">
        <v>1</v>
      </c>
      <c r="M231" s="51"/>
      <c r="N231" s="51"/>
      <c r="O231" s="51"/>
      <c r="P231" s="53">
        <v>60</v>
      </c>
      <c r="Q231" s="53">
        <v>0</v>
      </c>
      <c r="T231" s="53">
        <v>1</v>
      </c>
    </row>
    <row r="232" spans="1:20" ht="13.2" hidden="1" customHeight="1" x14ac:dyDescent="0.25">
      <c r="A232" s="53">
        <v>233</v>
      </c>
      <c r="B232" s="53" t="s">
        <v>41</v>
      </c>
      <c r="C232" s="53" t="s">
        <v>208</v>
      </c>
      <c r="D232" s="53" t="s">
        <v>208</v>
      </c>
      <c r="E232" s="57" t="s">
        <v>218</v>
      </c>
      <c r="F232" s="51"/>
      <c r="G232" s="107">
        <f>VLOOKUP($A232, Stat!$A$1:$C$501, 2,0)</f>
        <v>20</v>
      </c>
      <c r="H232" s="107">
        <f>VLOOKUP($A232, Stat!$A$1:$C$501, 3,0)</f>
        <v>3</v>
      </c>
      <c r="I232" s="49">
        <v>1</v>
      </c>
      <c r="M232" s="51"/>
      <c r="N232" s="51"/>
      <c r="O232" s="51"/>
      <c r="P232" s="53">
        <v>0</v>
      </c>
      <c r="Q232" s="53">
        <v>1</v>
      </c>
      <c r="T232" s="53">
        <v>1</v>
      </c>
    </row>
    <row r="233" spans="1:20" ht="13.2" hidden="1" customHeight="1" x14ac:dyDescent="0.25">
      <c r="A233" s="53">
        <v>234</v>
      </c>
      <c r="B233" s="53" t="s">
        <v>41</v>
      </c>
      <c r="C233" s="53" t="s">
        <v>208</v>
      </c>
      <c r="D233" s="53" t="s">
        <v>208</v>
      </c>
      <c r="E233" s="57" t="s">
        <v>217</v>
      </c>
      <c r="F233" s="51"/>
      <c r="G233" s="107">
        <f>VLOOKUP($A233, Stat!$A$1:$C$501, 2,0)</f>
        <v>8</v>
      </c>
      <c r="H233" s="107">
        <f>VLOOKUP($A233, Stat!$A$1:$C$501, 3,0)</f>
        <v>8</v>
      </c>
      <c r="I233" s="49">
        <v>1</v>
      </c>
      <c r="M233" s="51"/>
      <c r="N233" s="51"/>
      <c r="O233" s="51"/>
      <c r="P233" s="53">
        <v>60</v>
      </c>
      <c r="Q233" s="53">
        <v>0</v>
      </c>
      <c r="T233" s="53">
        <v>1</v>
      </c>
    </row>
    <row r="234" spans="1:20" ht="13.2" hidden="1" customHeight="1" x14ac:dyDescent="0.25">
      <c r="A234" s="53">
        <v>235</v>
      </c>
      <c r="B234" s="53" t="s">
        <v>41</v>
      </c>
      <c r="C234" s="53" t="s">
        <v>208</v>
      </c>
      <c r="D234" s="53" t="s">
        <v>208</v>
      </c>
      <c r="E234" s="57" t="s">
        <v>209</v>
      </c>
      <c r="F234" s="51"/>
      <c r="G234" s="107">
        <f>VLOOKUP($A234, Stat!$A$1:$C$501, 2,0)</f>
        <v>20</v>
      </c>
      <c r="H234" s="107">
        <f>VLOOKUP($A234, Stat!$A$1:$C$501, 3,0)</f>
        <v>17</v>
      </c>
      <c r="I234" s="49">
        <v>1</v>
      </c>
      <c r="M234" s="51"/>
      <c r="N234" s="51"/>
      <c r="O234" s="51"/>
      <c r="P234" s="53">
        <v>60</v>
      </c>
      <c r="Q234" s="53">
        <v>0</v>
      </c>
      <c r="S234" s="53" t="s">
        <v>243</v>
      </c>
      <c r="T234" s="53">
        <v>1</v>
      </c>
    </row>
    <row r="235" spans="1:20" ht="13.2" hidden="1" customHeight="1" x14ac:dyDescent="0.25">
      <c r="A235" s="53">
        <v>236</v>
      </c>
      <c r="B235" s="53" t="s">
        <v>41</v>
      </c>
      <c r="C235" s="53" t="s">
        <v>208</v>
      </c>
      <c r="D235" s="53" t="s">
        <v>208</v>
      </c>
      <c r="E235" s="57" t="s">
        <v>207</v>
      </c>
      <c r="F235" s="51"/>
      <c r="G235" s="107">
        <f>VLOOKUP($A235, Stat!$A$1:$C$501, 2,0)</f>
        <v>12</v>
      </c>
      <c r="H235" s="107">
        <f>VLOOKUP($A235, Stat!$A$1:$C$501, 3,0)</f>
        <v>8</v>
      </c>
      <c r="I235" s="49">
        <v>1</v>
      </c>
      <c r="M235" s="51"/>
      <c r="N235" s="51"/>
      <c r="O235" s="51"/>
      <c r="P235" s="53">
        <v>60</v>
      </c>
      <c r="Q235" s="53">
        <v>0</v>
      </c>
      <c r="T235" s="53">
        <v>1</v>
      </c>
    </row>
    <row r="236" spans="1:20" ht="13.2" hidden="1" customHeight="1" x14ac:dyDescent="0.25">
      <c r="A236" s="53">
        <v>237</v>
      </c>
      <c r="B236" s="53" t="s">
        <v>41</v>
      </c>
      <c r="C236" s="53" t="s">
        <v>208</v>
      </c>
      <c r="D236" s="53" t="s">
        <v>208</v>
      </c>
      <c r="E236" s="57" t="s">
        <v>221</v>
      </c>
      <c r="F236" s="51"/>
      <c r="G236" s="107">
        <f>VLOOKUP($A236, Stat!$A$1:$C$501, 2,0)</f>
        <v>15</v>
      </c>
      <c r="H236" s="107">
        <f>VLOOKUP($A236, Stat!$A$1:$C$501, 3,0)</f>
        <v>12</v>
      </c>
      <c r="I236" s="49">
        <v>1</v>
      </c>
      <c r="M236" s="51"/>
      <c r="N236" s="51"/>
      <c r="O236" s="51"/>
      <c r="P236" s="53">
        <v>60</v>
      </c>
      <c r="Q236" s="53">
        <v>0</v>
      </c>
      <c r="S236" s="53" t="s">
        <v>244</v>
      </c>
      <c r="T236" s="53">
        <v>1</v>
      </c>
    </row>
    <row r="237" spans="1:20" ht="13.2" hidden="1" customHeight="1" x14ac:dyDescent="0.25">
      <c r="A237" s="53">
        <v>238</v>
      </c>
      <c r="B237" s="53" t="s">
        <v>41</v>
      </c>
      <c r="C237" s="53" t="s">
        <v>208</v>
      </c>
      <c r="D237" s="53" t="s">
        <v>219</v>
      </c>
      <c r="E237" s="57" t="s">
        <v>206</v>
      </c>
      <c r="F237" s="51"/>
      <c r="G237" s="107">
        <f>VLOOKUP($A237, Stat!$A$1:$C$501, 2,0)</f>
        <v>19</v>
      </c>
      <c r="H237" s="107">
        <f>VLOOKUP($A237, Stat!$A$1:$C$501, 3,0)</f>
        <v>6</v>
      </c>
      <c r="I237" s="49">
        <v>1</v>
      </c>
      <c r="M237" s="51"/>
      <c r="N237" s="51"/>
      <c r="O237" s="51"/>
      <c r="P237" s="53">
        <v>0</v>
      </c>
      <c r="Q237" s="53">
        <v>1</v>
      </c>
      <c r="S237" s="53" t="s">
        <v>250</v>
      </c>
      <c r="T237" s="53">
        <v>1</v>
      </c>
    </row>
    <row r="238" spans="1:20" ht="13.2" hidden="1" customHeight="1" x14ac:dyDescent="0.25">
      <c r="A238" s="53">
        <v>239</v>
      </c>
      <c r="B238" s="53" t="s">
        <v>41</v>
      </c>
      <c r="C238" s="53" t="s">
        <v>208</v>
      </c>
      <c r="D238" s="53" t="s">
        <v>219</v>
      </c>
      <c r="E238" s="57" t="s">
        <v>309</v>
      </c>
      <c r="F238" s="51"/>
      <c r="G238" s="107">
        <f>VLOOKUP($A238, Stat!$A$1:$C$501, 2,0)</f>
        <v>62</v>
      </c>
      <c r="H238" s="107">
        <f>VLOOKUP($A238, Stat!$A$1:$C$501, 3,0)</f>
        <v>15</v>
      </c>
      <c r="I238" s="49">
        <v>1</v>
      </c>
      <c r="M238" s="51"/>
      <c r="N238" s="51"/>
      <c r="O238" s="51"/>
      <c r="P238" s="53">
        <v>0</v>
      </c>
      <c r="Q238" s="53">
        <v>1</v>
      </c>
      <c r="T238" s="53">
        <v>1</v>
      </c>
    </row>
    <row r="239" spans="1:20" ht="13.2" hidden="1" customHeight="1" x14ac:dyDescent="0.25">
      <c r="A239" s="53">
        <v>240</v>
      </c>
      <c r="B239" s="53" t="s">
        <v>41</v>
      </c>
      <c r="C239" s="53" t="s">
        <v>208</v>
      </c>
      <c r="D239" s="53" t="s">
        <v>219</v>
      </c>
      <c r="E239" s="57" t="s">
        <v>77</v>
      </c>
      <c r="F239" s="51"/>
      <c r="G239" s="107">
        <f>VLOOKUP($A239, Stat!$A$1:$C$501, 2,0)</f>
        <v>7</v>
      </c>
      <c r="H239" s="107">
        <f>VLOOKUP($A239, Stat!$A$1:$C$501, 3,0)</f>
        <v>6</v>
      </c>
      <c r="I239" s="49">
        <v>1</v>
      </c>
      <c r="M239" s="50" t="s">
        <v>295</v>
      </c>
      <c r="N239" s="51"/>
      <c r="O239" s="51"/>
      <c r="P239" s="53">
        <v>60</v>
      </c>
      <c r="Q239" s="53">
        <v>0</v>
      </c>
      <c r="T239" s="53">
        <v>1</v>
      </c>
    </row>
    <row r="240" spans="1:20" ht="13.2" hidden="1" customHeight="1" x14ac:dyDescent="0.25">
      <c r="A240" s="53">
        <v>241</v>
      </c>
      <c r="B240" s="53" t="s">
        <v>41</v>
      </c>
      <c r="C240" s="53" t="s">
        <v>208</v>
      </c>
      <c r="D240" s="53" t="s">
        <v>374</v>
      </c>
      <c r="E240" s="57" t="s">
        <v>198</v>
      </c>
      <c r="F240" s="51"/>
      <c r="G240" s="107">
        <f>VLOOKUP($A240, Stat!$A$1:$C$501, 2,0)</f>
        <v>69</v>
      </c>
      <c r="H240" s="107">
        <f>VLOOKUP($A240, Stat!$A$1:$C$501, 3,0)</f>
        <v>14</v>
      </c>
      <c r="I240" s="49">
        <v>1</v>
      </c>
      <c r="M240" s="51"/>
      <c r="N240" s="51"/>
      <c r="O240" s="51"/>
      <c r="P240" s="53">
        <v>0</v>
      </c>
      <c r="Q240" s="53">
        <v>1</v>
      </c>
      <c r="T240" s="53">
        <v>1</v>
      </c>
    </row>
    <row r="241" spans="1:20" ht="13.2" hidden="1" customHeight="1" x14ac:dyDescent="0.25">
      <c r="A241" s="53">
        <v>242</v>
      </c>
      <c r="B241" s="53" t="s">
        <v>41</v>
      </c>
      <c r="C241" s="53" t="s">
        <v>208</v>
      </c>
      <c r="D241" s="53" t="s">
        <v>374</v>
      </c>
      <c r="E241" s="57" t="s">
        <v>203</v>
      </c>
      <c r="F241" s="51"/>
      <c r="G241" s="107">
        <f>VLOOKUP($A241, Stat!$A$1:$C$501, 2,0)</f>
        <v>28</v>
      </c>
      <c r="H241" s="107">
        <f>VLOOKUP($A241, Stat!$A$1:$C$501, 3,0)</f>
        <v>8</v>
      </c>
      <c r="I241" s="49">
        <v>1</v>
      </c>
      <c r="M241" s="51"/>
      <c r="N241" s="51"/>
      <c r="O241" s="51"/>
      <c r="P241" s="53">
        <v>0</v>
      </c>
      <c r="Q241" s="53">
        <v>1</v>
      </c>
      <c r="T241" s="53">
        <v>1</v>
      </c>
    </row>
    <row r="242" spans="1:20" ht="13.2" hidden="1" customHeight="1" x14ac:dyDescent="0.25">
      <c r="A242" s="53">
        <v>243</v>
      </c>
      <c r="B242" s="53" t="s">
        <v>41</v>
      </c>
      <c r="C242" s="53" t="s">
        <v>208</v>
      </c>
      <c r="D242" s="53" t="s">
        <v>374</v>
      </c>
      <c r="E242" s="57" t="s">
        <v>205</v>
      </c>
      <c r="F242" s="51"/>
      <c r="G242" s="107">
        <f>VLOOKUP($A242, Stat!$A$1:$C$501, 2,0)</f>
        <v>14</v>
      </c>
      <c r="H242" s="107">
        <f>VLOOKUP($A242, Stat!$A$1:$C$501, 3,0)</f>
        <v>3</v>
      </c>
      <c r="I242" s="49">
        <v>1</v>
      </c>
      <c r="M242" s="51"/>
      <c r="N242" s="51"/>
      <c r="O242" s="51"/>
      <c r="P242" s="53">
        <v>60</v>
      </c>
      <c r="Q242" s="53">
        <v>1</v>
      </c>
      <c r="T242" s="53">
        <v>1</v>
      </c>
    </row>
    <row r="243" spans="1:20" ht="13.2" hidden="1" customHeight="1" x14ac:dyDescent="0.25">
      <c r="A243" s="53">
        <v>244</v>
      </c>
      <c r="B243" s="53" t="s">
        <v>41</v>
      </c>
      <c r="C243" s="54" t="s">
        <v>208</v>
      </c>
      <c r="D243" s="53" t="s">
        <v>374</v>
      </c>
      <c r="E243" s="57" t="s">
        <v>204</v>
      </c>
      <c r="F243" s="51"/>
      <c r="G243" s="107">
        <f>VLOOKUP($A243, Stat!$A$1:$C$501, 2,0)</f>
        <v>3</v>
      </c>
      <c r="H243" s="107">
        <f>VLOOKUP($A243, Stat!$A$1:$C$501, 3,0)</f>
        <v>3</v>
      </c>
      <c r="I243" s="49">
        <v>1</v>
      </c>
      <c r="M243" s="51"/>
      <c r="N243" s="51"/>
      <c r="O243" s="51"/>
      <c r="P243" s="53">
        <v>60</v>
      </c>
      <c r="Q243" s="53">
        <v>0</v>
      </c>
      <c r="T243" s="53">
        <v>1</v>
      </c>
    </row>
    <row r="244" spans="1:20" ht="13.2" hidden="1" customHeight="1" x14ac:dyDescent="0.25">
      <c r="A244" s="53">
        <v>245</v>
      </c>
      <c r="B244" s="53" t="s">
        <v>41</v>
      </c>
      <c r="C244" s="54" t="s">
        <v>208</v>
      </c>
      <c r="D244" s="53" t="s">
        <v>195</v>
      </c>
      <c r="E244" s="57" t="s">
        <v>312</v>
      </c>
      <c r="F244" s="51"/>
      <c r="G244" s="107">
        <f>VLOOKUP($A244, Stat!$A$1:$C$501, 2,0)</f>
        <v>19</v>
      </c>
      <c r="H244" s="107">
        <f>VLOOKUP($A244, Stat!$A$1:$C$501, 3,0)</f>
        <v>3</v>
      </c>
      <c r="I244" s="49">
        <v>1</v>
      </c>
      <c r="M244" s="51"/>
      <c r="N244" s="51"/>
      <c r="O244" s="51"/>
      <c r="P244" s="53">
        <v>0</v>
      </c>
      <c r="Q244" s="53">
        <v>0</v>
      </c>
      <c r="T244" s="53">
        <v>1</v>
      </c>
    </row>
    <row r="245" spans="1:20" ht="13.2" hidden="1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G245" s="107">
        <f>VLOOKUP($A245, Stat!$A$1:$C$501, 2,0)</f>
        <v>7</v>
      </c>
      <c r="H245" s="107">
        <f>VLOOKUP($A245, Stat!$A$1:$C$501, 3,0)</f>
        <v>2</v>
      </c>
      <c r="I245" s="49">
        <v>1</v>
      </c>
      <c r="M245" s="50" t="s">
        <v>506</v>
      </c>
      <c r="N245" s="51"/>
      <c r="O245" s="51"/>
      <c r="P245" s="53">
        <v>60</v>
      </c>
      <c r="Q245" s="53">
        <v>0</v>
      </c>
      <c r="T245" s="53">
        <v>1</v>
      </c>
    </row>
    <row r="246" spans="1:20" ht="13.2" hidden="1" customHeight="1" x14ac:dyDescent="0.25">
      <c r="A246" s="53">
        <v>247</v>
      </c>
      <c r="B246" s="53" t="s">
        <v>41</v>
      </c>
      <c r="C246" s="53" t="s">
        <v>208</v>
      </c>
      <c r="D246" s="53" t="s">
        <v>208</v>
      </c>
      <c r="E246" s="57" t="s">
        <v>212</v>
      </c>
      <c r="F246" s="51"/>
      <c r="G246" s="107">
        <f>VLOOKUP($A246, Stat!$A$1:$C$501, 2,0)</f>
        <v>20</v>
      </c>
      <c r="H246" s="107">
        <f>VLOOKUP($A246, Stat!$A$1:$C$501, 3,0)</f>
        <v>5</v>
      </c>
      <c r="I246" s="49">
        <v>1</v>
      </c>
      <c r="M246" s="51"/>
      <c r="N246" s="51"/>
      <c r="O246" s="51"/>
      <c r="P246" s="53">
        <v>60</v>
      </c>
      <c r="Q246" s="53">
        <v>0</v>
      </c>
      <c r="S246" s="53" t="s">
        <v>247</v>
      </c>
      <c r="T246" s="53">
        <v>1</v>
      </c>
    </row>
    <row r="247" spans="1:20" ht="13.2" hidden="1" customHeight="1" x14ac:dyDescent="0.25">
      <c r="A247" s="53">
        <v>248</v>
      </c>
      <c r="B247" s="53" t="s">
        <v>41</v>
      </c>
      <c r="C247" s="53" t="s">
        <v>64</v>
      </c>
      <c r="D247" s="53" t="s">
        <v>216</v>
      </c>
      <c r="E247" s="57" t="s">
        <v>213</v>
      </c>
      <c r="F247" s="51"/>
      <c r="G247" s="107">
        <f>VLOOKUP($A247, Stat!$A$1:$C$501, 2,0)</f>
        <v>18</v>
      </c>
      <c r="H247" s="107">
        <f>VLOOKUP($A247, Stat!$A$1:$C$501, 3,0)</f>
        <v>2</v>
      </c>
      <c r="I247" s="49">
        <v>1</v>
      </c>
      <c r="M247" s="51"/>
      <c r="N247" s="51"/>
      <c r="O247" s="51"/>
      <c r="P247" s="53">
        <v>0</v>
      </c>
      <c r="Q247" s="53">
        <v>1</v>
      </c>
      <c r="R247" s="53" t="s">
        <v>456</v>
      </c>
      <c r="T247" s="53">
        <v>1</v>
      </c>
    </row>
    <row r="248" spans="1:20" ht="13.2" hidden="1" customHeight="1" x14ac:dyDescent="0.25">
      <c r="A248" s="53">
        <v>249</v>
      </c>
      <c r="B248" s="53" t="s">
        <v>41</v>
      </c>
      <c r="C248" s="53" t="s">
        <v>64</v>
      </c>
      <c r="D248" s="53" t="s">
        <v>216</v>
      </c>
      <c r="E248" s="57" t="s">
        <v>132</v>
      </c>
      <c r="F248" s="51"/>
      <c r="G248" s="107">
        <f>VLOOKUP($A248, Stat!$A$1:$C$501, 2,0)</f>
        <v>92</v>
      </c>
      <c r="H248" s="107">
        <f>VLOOKUP($A248, Stat!$A$1:$C$501, 3,0)</f>
        <v>16</v>
      </c>
      <c r="I248" s="49">
        <v>1</v>
      </c>
      <c r="M248" s="55"/>
      <c r="N248" s="51"/>
      <c r="O248" s="51"/>
      <c r="P248" s="53">
        <v>0</v>
      </c>
      <c r="Q248" s="53">
        <v>1</v>
      </c>
      <c r="R248" s="53" t="s">
        <v>456</v>
      </c>
      <c r="T248" s="53">
        <v>1</v>
      </c>
    </row>
    <row r="249" spans="1:20" ht="13.2" hidden="1" customHeight="1" x14ac:dyDescent="0.25">
      <c r="A249" s="53">
        <v>250</v>
      </c>
      <c r="B249" s="53" t="s">
        <v>41</v>
      </c>
      <c r="C249" s="53" t="s">
        <v>64</v>
      </c>
      <c r="D249" s="53" t="s">
        <v>216</v>
      </c>
      <c r="E249" s="57" t="s">
        <v>215</v>
      </c>
      <c r="F249" s="51"/>
      <c r="G249" s="107">
        <f>VLOOKUP($A249, Stat!$A$1:$C$501, 2,0)</f>
        <v>56</v>
      </c>
      <c r="H249" s="107">
        <f>VLOOKUP($A249, Stat!$A$1:$C$501, 3,0)</f>
        <v>9</v>
      </c>
      <c r="I249" s="49">
        <v>1</v>
      </c>
      <c r="M249" s="50" t="s">
        <v>274</v>
      </c>
      <c r="N249" s="51"/>
      <c r="O249" s="51"/>
      <c r="P249" s="53">
        <v>60</v>
      </c>
      <c r="Q249" s="53">
        <v>0</v>
      </c>
      <c r="R249" s="53" t="s">
        <v>456</v>
      </c>
      <c r="S249" s="53" t="s">
        <v>239</v>
      </c>
      <c r="T249" s="53">
        <v>1</v>
      </c>
    </row>
    <row r="250" spans="1:20" ht="13.2" hidden="1" customHeight="1" x14ac:dyDescent="0.25">
      <c r="A250" s="53">
        <v>251</v>
      </c>
      <c r="B250" s="53" t="s">
        <v>41</v>
      </c>
      <c r="C250" s="53" t="s">
        <v>208</v>
      </c>
      <c r="D250" s="53" t="s">
        <v>374</v>
      </c>
      <c r="E250" s="57" t="s">
        <v>220</v>
      </c>
      <c r="F250" s="51"/>
      <c r="G250" s="107">
        <f>VLOOKUP($A250, Stat!$A$1:$C$501, 2,0)</f>
        <v>2</v>
      </c>
      <c r="H250" s="107">
        <f>VLOOKUP($A250, Stat!$A$1:$C$501, 3,0)</f>
        <v>2</v>
      </c>
      <c r="I250" s="49">
        <v>1</v>
      </c>
      <c r="M250" s="51"/>
      <c r="N250" s="51"/>
      <c r="O250" s="51"/>
      <c r="P250" s="53">
        <v>60</v>
      </c>
      <c r="Q250" s="53">
        <v>0</v>
      </c>
      <c r="T250" s="53">
        <v>1</v>
      </c>
    </row>
    <row r="251" spans="1:20" ht="13.2" hidden="1" customHeight="1" x14ac:dyDescent="0.25">
      <c r="A251" s="53">
        <v>252</v>
      </c>
      <c r="B251" s="53" t="s">
        <v>41</v>
      </c>
      <c r="C251" s="53" t="s">
        <v>208</v>
      </c>
      <c r="D251" s="53" t="s">
        <v>75</v>
      </c>
      <c r="E251" s="57" t="s">
        <v>222</v>
      </c>
      <c r="F251" s="51"/>
      <c r="G251" s="107">
        <f>VLOOKUP($A251, Stat!$A$1:$C$501, 2,0)</f>
        <v>24</v>
      </c>
      <c r="H251" s="107">
        <f>VLOOKUP($A251, Stat!$A$1:$C$501, 3,0)</f>
        <v>5</v>
      </c>
      <c r="I251" s="49">
        <v>1</v>
      </c>
      <c r="J251" s="52"/>
      <c r="K251" s="52"/>
      <c r="L251" s="49">
        <v>1</v>
      </c>
      <c r="M251" s="51"/>
      <c r="N251" s="51"/>
      <c r="O251" s="51"/>
      <c r="P251" s="53">
        <v>60</v>
      </c>
      <c r="Q251" s="53">
        <v>0</v>
      </c>
      <c r="T251" s="53">
        <v>1</v>
      </c>
    </row>
    <row r="252" spans="1:20" hidden="1" x14ac:dyDescent="0.25">
      <c r="A252" s="53">
        <v>253</v>
      </c>
      <c r="B252" s="53" t="s">
        <v>41</v>
      </c>
      <c r="C252" s="53" t="s">
        <v>208</v>
      </c>
      <c r="D252" s="53" t="s">
        <v>75</v>
      </c>
      <c r="E252" s="57" t="s">
        <v>223</v>
      </c>
      <c r="F252" s="51"/>
      <c r="G252" s="107">
        <f>VLOOKUP($A252, Stat!$A$1:$C$501, 2,0)</f>
        <v>0</v>
      </c>
      <c r="H252" s="107">
        <f>VLOOKUP($A252, Stat!$A$1:$C$501, 3,0)</f>
        <v>0</v>
      </c>
      <c r="I252" s="49">
        <v>1</v>
      </c>
      <c r="J252" s="52"/>
      <c r="K252" s="52"/>
      <c r="L252" s="49">
        <v>1</v>
      </c>
      <c r="M252" s="51"/>
      <c r="N252" s="51"/>
      <c r="O252" s="51"/>
      <c r="P252" s="53">
        <v>60</v>
      </c>
      <c r="Q252" s="53">
        <v>0</v>
      </c>
      <c r="T252" s="53">
        <v>1</v>
      </c>
    </row>
    <row r="253" spans="1:20" hidden="1" x14ac:dyDescent="0.25">
      <c r="A253" s="53">
        <v>254</v>
      </c>
      <c r="B253" s="53" t="s">
        <v>41</v>
      </c>
      <c r="C253" s="53" t="s">
        <v>208</v>
      </c>
      <c r="D253" s="53" t="s">
        <v>208</v>
      </c>
      <c r="E253" s="57" t="s">
        <v>225</v>
      </c>
      <c r="F253" s="51"/>
      <c r="G253" s="107">
        <f>VLOOKUP($A253, Stat!$A$1:$C$501, 2,0)</f>
        <v>11</v>
      </c>
      <c r="H253" s="107">
        <f>VLOOKUP($A253, Stat!$A$1:$C$501, 3,0)</f>
        <v>8</v>
      </c>
      <c r="I253" s="49">
        <v>1</v>
      </c>
      <c r="M253" s="51"/>
      <c r="N253" s="51"/>
      <c r="O253" s="51"/>
      <c r="P253" s="53">
        <v>60</v>
      </c>
      <c r="Q253" s="53">
        <v>0</v>
      </c>
      <c r="S253" s="53" t="s">
        <v>245</v>
      </c>
      <c r="T253" s="53">
        <v>1</v>
      </c>
    </row>
    <row r="254" spans="1:20" hidden="1" x14ac:dyDescent="0.25">
      <c r="A254" s="53">
        <v>255</v>
      </c>
      <c r="B254" s="53" t="s">
        <v>41</v>
      </c>
      <c r="C254" s="53" t="s">
        <v>208</v>
      </c>
      <c r="D254" s="53" t="s">
        <v>195</v>
      </c>
      <c r="E254" s="57" t="s">
        <v>227</v>
      </c>
      <c r="F254" s="51"/>
      <c r="G254" s="107">
        <f>VLOOKUP($A254, Stat!$A$1:$C$501, 2,0)</f>
        <v>11</v>
      </c>
      <c r="H254" s="107">
        <f>VLOOKUP($A254, Stat!$A$1:$C$501, 3,0)</f>
        <v>6</v>
      </c>
      <c r="I254" s="49">
        <v>1</v>
      </c>
      <c r="M254" s="51"/>
      <c r="N254" s="51"/>
      <c r="O254" s="51"/>
      <c r="P254" s="53">
        <v>60</v>
      </c>
      <c r="Q254" s="53">
        <v>0</v>
      </c>
      <c r="T254" s="53">
        <v>1</v>
      </c>
    </row>
    <row r="255" spans="1:20" x14ac:dyDescent="0.25">
      <c r="A255" s="53">
        <v>300</v>
      </c>
      <c r="B255" s="53" t="s">
        <v>39</v>
      </c>
      <c r="C255" s="53" t="s">
        <v>17</v>
      </c>
      <c r="D255" s="53" t="s">
        <v>158</v>
      </c>
      <c r="E255" s="53" t="s">
        <v>378</v>
      </c>
      <c r="G255" s="107">
        <f>VLOOKUP($A255, Stat!$A$1:$C$501, 2,0)</f>
        <v>6</v>
      </c>
      <c r="H255" s="107">
        <f>VLOOKUP($A255, Stat!$A$1:$C$501, 3,0)</f>
        <v>0</v>
      </c>
      <c r="I255" s="110"/>
      <c r="P255" s="53">
        <v>0</v>
      </c>
      <c r="Q255" s="53">
        <v>0</v>
      </c>
      <c r="S255" s="53" t="s">
        <v>234</v>
      </c>
      <c r="T255" s="53">
        <v>1</v>
      </c>
    </row>
    <row r="256" spans="1:20" x14ac:dyDescent="0.25">
      <c r="A256" s="53">
        <v>303</v>
      </c>
      <c r="B256" s="53" t="s">
        <v>39</v>
      </c>
      <c r="C256" s="53" t="s">
        <v>14</v>
      </c>
      <c r="D256" s="53" t="s">
        <v>409</v>
      </c>
      <c r="E256" s="53" t="s">
        <v>391</v>
      </c>
      <c r="G256" s="107">
        <f>VLOOKUP($A256, Stat!$A$1:$C$501, 2,0)</f>
        <v>6</v>
      </c>
      <c r="H256" s="107">
        <f>VLOOKUP($A256, Stat!$A$1:$C$501, 3,0)</f>
        <v>0</v>
      </c>
      <c r="I256" s="110"/>
      <c r="P256" s="53">
        <v>60</v>
      </c>
      <c r="Q256" s="53">
        <v>0</v>
      </c>
      <c r="S256" s="53" t="s">
        <v>367</v>
      </c>
      <c r="T256" s="53">
        <v>1</v>
      </c>
    </row>
    <row r="257" spans="1:20" x14ac:dyDescent="0.25">
      <c r="A257" s="53">
        <v>351</v>
      </c>
      <c r="B257" s="53" t="s">
        <v>39</v>
      </c>
      <c r="C257" s="53" t="s">
        <v>17</v>
      </c>
      <c r="D257" s="53" t="s">
        <v>526</v>
      </c>
      <c r="E257" s="53" t="s">
        <v>378</v>
      </c>
      <c r="G257" s="107">
        <f>VLOOKUP($A257, Stat!$A$1:$C$501, 2,0)</f>
        <v>6</v>
      </c>
      <c r="H257" s="107">
        <f>VLOOKUP($A257, Stat!$A$1:$C$501, 3,0)</f>
        <v>0</v>
      </c>
      <c r="I257" s="110"/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49</v>
      </c>
      <c r="B258" s="53" t="s">
        <v>41</v>
      </c>
      <c r="C258" s="53" t="s">
        <v>531</v>
      </c>
      <c r="D258" s="53" t="s">
        <v>538</v>
      </c>
      <c r="E258" s="57" t="s">
        <v>537</v>
      </c>
      <c r="F258" s="51"/>
      <c r="G258" s="107">
        <f>VLOOKUP($A258, Stat!$A$1:$C$501, 2,0)</f>
        <v>5</v>
      </c>
      <c r="H258" s="107">
        <f>VLOOKUP($A258, Stat!$A$1:$C$501, 3,0)</f>
        <v>0</v>
      </c>
      <c r="I258" s="49">
        <v>1</v>
      </c>
      <c r="M258" s="51"/>
      <c r="N258" s="51"/>
      <c r="O258" s="51"/>
      <c r="P258" s="53">
        <v>0</v>
      </c>
      <c r="Q258" s="53">
        <v>1</v>
      </c>
      <c r="T258" s="53">
        <v>1</v>
      </c>
    </row>
    <row r="259" spans="1:20" x14ac:dyDescent="0.25">
      <c r="A259" s="53">
        <v>266</v>
      </c>
      <c r="B259" s="53" t="s">
        <v>41</v>
      </c>
      <c r="C259" s="53" t="s">
        <v>251</v>
      </c>
      <c r="D259" s="53" t="s">
        <v>252</v>
      </c>
      <c r="E259" s="57" t="s">
        <v>316</v>
      </c>
      <c r="F259" s="51"/>
      <c r="G259" s="107">
        <f>VLOOKUP($A259, Stat!$A$1:$C$501, 2,0)</f>
        <v>5</v>
      </c>
      <c r="H259" s="107">
        <f>VLOOKUP($A259, Stat!$A$1:$C$501, 3,0)</f>
        <v>0</v>
      </c>
      <c r="I259" s="109"/>
      <c r="M259" s="51"/>
      <c r="N259" s="50" t="s">
        <v>272</v>
      </c>
      <c r="O259" s="51"/>
      <c r="P259" s="53">
        <v>40</v>
      </c>
      <c r="Q259" s="53">
        <v>1</v>
      </c>
      <c r="T259" s="53">
        <v>1</v>
      </c>
    </row>
    <row r="260" spans="1:20" x14ac:dyDescent="0.25">
      <c r="A260" s="53">
        <v>94</v>
      </c>
      <c r="B260" s="53" t="s">
        <v>41</v>
      </c>
      <c r="C260" s="53" t="s">
        <v>64</v>
      </c>
      <c r="D260" s="53" t="s">
        <v>164</v>
      </c>
      <c r="E260" s="57" t="s">
        <v>314</v>
      </c>
      <c r="F260" s="51"/>
      <c r="G260" s="107">
        <f>VLOOKUP($A260, Stat!$A$1:$C$501, 2,0)</f>
        <v>4</v>
      </c>
      <c r="H260" s="107">
        <f>VLOOKUP($A260, Stat!$A$1:$C$501, 3,0)</f>
        <v>0</v>
      </c>
      <c r="I260" s="110"/>
      <c r="L260" s="49">
        <v>1</v>
      </c>
      <c r="M260" s="50" t="s">
        <v>278</v>
      </c>
      <c r="N260" s="51"/>
      <c r="O260" s="51"/>
      <c r="P260" s="53">
        <v>40</v>
      </c>
      <c r="Q260" s="53">
        <v>0</v>
      </c>
      <c r="R260" s="53" t="s">
        <v>137</v>
      </c>
      <c r="T260" s="53">
        <v>1</v>
      </c>
    </row>
    <row r="261" spans="1:20" x14ac:dyDescent="0.25">
      <c r="A261" s="53">
        <v>97</v>
      </c>
      <c r="B261" s="53" t="s">
        <v>41</v>
      </c>
      <c r="C261" s="53" t="s">
        <v>251</v>
      </c>
      <c r="D261" s="53" t="s">
        <v>319</v>
      </c>
      <c r="E261" s="53" t="s">
        <v>500</v>
      </c>
      <c r="G261" s="107">
        <f>VLOOKUP($A261, Stat!$A$1:$C$501, 2,0)</f>
        <v>4</v>
      </c>
      <c r="H261" s="107">
        <f>VLOOKUP($A261, Stat!$A$1:$C$501, 3,0)</f>
        <v>0</v>
      </c>
      <c r="I261" s="109"/>
      <c r="P261" s="53">
        <v>40</v>
      </c>
      <c r="Q261" s="53">
        <v>0</v>
      </c>
      <c r="S261" s="53" t="s">
        <v>501</v>
      </c>
      <c r="T261" s="53">
        <v>1</v>
      </c>
    </row>
    <row r="262" spans="1:20" x14ac:dyDescent="0.25">
      <c r="A262" s="53">
        <v>311</v>
      </c>
      <c r="B262" s="53" t="s">
        <v>39</v>
      </c>
      <c r="C262" s="53" t="s">
        <v>7</v>
      </c>
      <c r="D262" s="53" t="s">
        <v>169</v>
      </c>
      <c r="E262" s="53" t="s">
        <v>396</v>
      </c>
      <c r="G262" s="107">
        <f>VLOOKUP($A262, Stat!$A$1:$C$501, 2,0)</f>
        <v>2</v>
      </c>
      <c r="H262" s="107">
        <f>VLOOKUP($A262, Stat!$A$1:$C$501, 3,0)</f>
        <v>0</v>
      </c>
      <c r="I262" s="110"/>
      <c r="L262" s="49">
        <v>1</v>
      </c>
      <c r="P262" s="53">
        <v>0</v>
      </c>
      <c r="Q262" s="53">
        <v>0</v>
      </c>
      <c r="S262" s="53" t="s">
        <v>415</v>
      </c>
      <c r="T262" s="53">
        <v>1</v>
      </c>
    </row>
    <row r="263" spans="1:20" ht="13.2" customHeight="1" x14ac:dyDescent="0.25">
      <c r="A263" s="53">
        <v>322</v>
      </c>
      <c r="B263" s="53" t="s">
        <v>41</v>
      </c>
      <c r="C263" s="53" t="s">
        <v>64</v>
      </c>
      <c r="D263" s="53" t="s">
        <v>428</v>
      </c>
      <c r="E263" s="53" t="s">
        <v>451</v>
      </c>
      <c r="G263" s="107">
        <f>VLOOKUP($A263, Stat!$A$1:$C$501, 2,0)</f>
        <v>4</v>
      </c>
      <c r="H263" s="107">
        <f>VLOOKUP($A263, Stat!$A$1:$C$501, 3,0)</f>
        <v>0</v>
      </c>
      <c r="I263" s="49">
        <v>1</v>
      </c>
      <c r="P263" s="53">
        <v>30</v>
      </c>
      <c r="Q263" s="53">
        <v>0</v>
      </c>
      <c r="S263" s="53" t="s">
        <v>436</v>
      </c>
      <c r="T263" s="53">
        <v>1</v>
      </c>
    </row>
    <row r="264" spans="1:20" ht="13.2" customHeight="1" x14ac:dyDescent="0.25">
      <c r="A264" s="53">
        <v>328</v>
      </c>
      <c r="B264" s="53" t="s">
        <v>41</v>
      </c>
      <c r="C264" s="53" t="s">
        <v>251</v>
      </c>
      <c r="D264" s="53" t="s">
        <v>319</v>
      </c>
      <c r="E264" s="53" t="s">
        <v>461</v>
      </c>
      <c r="G264" s="107">
        <f>VLOOKUP($A264, Stat!$A$1:$C$501, 2,0)</f>
        <v>4</v>
      </c>
      <c r="H264" s="107">
        <f>VLOOKUP($A264, Stat!$A$1:$C$501, 3,0)</f>
        <v>0</v>
      </c>
      <c r="I264" s="109"/>
      <c r="N264" s="49">
        <v>1</v>
      </c>
      <c r="P264" s="53">
        <v>60</v>
      </c>
      <c r="Q264" s="53">
        <v>0</v>
      </c>
      <c r="T264" s="53">
        <v>1</v>
      </c>
    </row>
    <row r="265" spans="1:20" ht="13.2" customHeight="1" x14ac:dyDescent="0.25">
      <c r="A265" s="53">
        <v>357</v>
      </c>
      <c r="B265" s="53" t="s">
        <v>41</v>
      </c>
      <c r="C265" s="53" t="s">
        <v>64</v>
      </c>
      <c r="D265" s="53" t="s">
        <v>530</v>
      </c>
      <c r="E265" s="53" t="s">
        <v>548</v>
      </c>
      <c r="G265" s="107">
        <f>VLOOKUP($A265, Stat!$A$1:$C$501, 2,0)</f>
        <v>4</v>
      </c>
      <c r="H265" s="107">
        <f>VLOOKUP($A265, Stat!$A$1:$C$501, 3,0)</f>
        <v>1</v>
      </c>
      <c r="I265" s="49">
        <v>1</v>
      </c>
      <c r="P265" s="53">
        <v>40</v>
      </c>
      <c r="Q265" s="53">
        <v>0</v>
      </c>
      <c r="T265" s="53">
        <v>1</v>
      </c>
    </row>
    <row r="266" spans="1:20" ht="13.2" hidden="1" customHeight="1" x14ac:dyDescent="0.25">
      <c r="A266" s="53">
        <v>267</v>
      </c>
      <c r="B266" s="53" t="s">
        <v>41</v>
      </c>
      <c r="C266" s="53" t="s">
        <v>208</v>
      </c>
      <c r="D266" s="53" t="s">
        <v>75</v>
      </c>
      <c r="E266" s="57" t="s">
        <v>296</v>
      </c>
      <c r="G266" s="107">
        <f>VLOOKUP($A266, Stat!$A$1:$C$501, 2,0)</f>
        <v>41</v>
      </c>
      <c r="H266" s="107">
        <f>VLOOKUP($A266, Stat!$A$1:$C$501, 3,0)</f>
        <v>16</v>
      </c>
      <c r="I266" s="49">
        <v>1</v>
      </c>
      <c r="L266" s="49">
        <v>1</v>
      </c>
      <c r="P266" s="53">
        <v>0</v>
      </c>
      <c r="Q266" s="53">
        <v>0</v>
      </c>
      <c r="T266" s="53">
        <v>1</v>
      </c>
    </row>
    <row r="267" spans="1:20" ht="13.2" hidden="1" customHeight="1" x14ac:dyDescent="0.25">
      <c r="A267" s="53">
        <v>268</v>
      </c>
      <c r="B267" s="53" t="s">
        <v>41</v>
      </c>
      <c r="C267" s="53" t="s">
        <v>64</v>
      </c>
      <c r="D267" s="53" t="s">
        <v>529</v>
      </c>
      <c r="E267" s="57" t="s">
        <v>545</v>
      </c>
      <c r="G267" s="107">
        <f>VLOOKUP($A267, Stat!$A$1:$C$501, 2,0)</f>
        <v>259</v>
      </c>
      <c r="H267" s="107">
        <f>VLOOKUP($A267, Stat!$A$1:$C$501, 3,0)</f>
        <v>2</v>
      </c>
      <c r="I267" s="110"/>
      <c r="P267" s="53">
        <v>0</v>
      </c>
      <c r="Q267" s="53">
        <v>-1</v>
      </c>
      <c r="T267" s="53">
        <v>1</v>
      </c>
    </row>
    <row r="268" spans="1:20" ht="13.2" hidden="1" customHeight="1" x14ac:dyDescent="0.25">
      <c r="A268" s="53">
        <v>269</v>
      </c>
      <c r="B268" s="53" t="s">
        <v>41</v>
      </c>
      <c r="C268" s="53" t="s">
        <v>64</v>
      </c>
      <c r="D268" s="53" t="s">
        <v>529</v>
      </c>
      <c r="E268" s="57" t="s">
        <v>546</v>
      </c>
      <c r="G268" s="107">
        <f>VLOOKUP($A268, Stat!$A$1:$C$501, 2,0)</f>
        <v>47</v>
      </c>
      <c r="H268" s="107">
        <f>VLOOKUP($A268, Stat!$A$1:$C$501, 3,0)</f>
        <v>2</v>
      </c>
      <c r="I268" s="49">
        <v>1</v>
      </c>
      <c r="P268" s="53">
        <v>0</v>
      </c>
      <c r="Q268" s="53">
        <v>-1</v>
      </c>
      <c r="T268" s="53">
        <v>1</v>
      </c>
    </row>
    <row r="269" spans="1:20" ht="13.2" hidden="1" customHeight="1" x14ac:dyDescent="0.25">
      <c r="A269" s="53">
        <v>270</v>
      </c>
      <c r="B269" s="53" t="s">
        <v>41</v>
      </c>
      <c r="C269" s="53" t="s">
        <v>64</v>
      </c>
      <c r="D269" s="53" t="s">
        <v>529</v>
      </c>
      <c r="E269" s="57" t="s">
        <v>547</v>
      </c>
      <c r="G269" s="107">
        <f>VLOOKUP($A269, Stat!$A$1:$C$501, 2,0)</f>
        <v>22</v>
      </c>
      <c r="H269" s="107">
        <f>VLOOKUP($A269, Stat!$A$1:$C$501, 3,0)</f>
        <v>2</v>
      </c>
      <c r="I269" s="49">
        <v>1</v>
      </c>
      <c r="P269" s="53">
        <v>30</v>
      </c>
      <c r="Q269" s="53">
        <v>0</v>
      </c>
      <c r="T269" s="53">
        <v>1</v>
      </c>
    </row>
    <row r="270" spans="1:20" ht="13.2" hidden="1" customHeight="1" x14ac:dyDescent="0.25">
      <c r="A270" s="53">
        <v>271</v>
      </c>
      <c r="B270" s="53" t="s">
        <v>41</v>
      </c>
      <c r="C270" s="53" t="s">
        <v>64</v>
      </c>
      <c r="D270" s="53" t="s">
        <v>529</v>
      </c>
      <c r="E270" s="57" t="s">
        <v>548</v>
      </c>
      <c r="G270" s="107">
        <f>VLOOKUP($A270, Stat!$A$1:$C$501, 2,0)</f>
        <v>11</v>
      </c>
      <c r="H270" s="107">
        <f>VLOOKUP($A270, Stat!$A$1:$C$501, 3,0)</f>
        <v>2</v>
      </c>
      <c r="I270" s="49">
        <v>1</v>
      </c>
      <c r="P270" s="53">
        <v>40</v>
      </c>
      <c r="Q270" s="53">
        <v>0</v>
      </c>
      <c r="T270" s="53">
        <v>1</v>
      </c>
    </row>
    <row r="271" spans="1:20" ht="13.2" hidden="1" customHeight="1" x14ac:dyDescent="0.25">
      <c r="A271" s="53">
        <v>272</v>
      </c>
      <c r="B271" s="53" t="s">
        <v>41</v>
      </c>
      <c r="C271" s="53" t="s">
        <v>64</v>
      </c>
      <c r="D271" s="53" t="s">
        <v>529</v>
      </c>
      <c r="E271" s="57" t="s">
        <v>297</v>
      </c>
      <c r="G271" s="107">
        <f>VLOOKUP($A271, Stat!$A$1:$C$501, 2,0)</f>
        <v>34</v>
      </c>
      <c r="H271" s="107">
        <f>VLOOKUP($A271, Stat!$A$1:$C$501, 3,0)</f>
        <v>10</v>
      </c>
      <c r="I271" s="49">
        <v>1</v>
      </c>
      <c r="P271" s="53">
        <v>100</v>
      </c>
      <c r="Q271" s="53">
        <v>0</v>
      </c>
      <c r="T271" s="53">
        <v>1</v>
      </c>
    </row>
    <row r="272" spans="1:20" ht="13.2" hidden="1" customHeight="1" x14ac:dyDescent="0.25">
      <c r="A272" s="53">
        <v>273</v>
      </c>
      <c r="B272" s="53" t="s">
        <v>41</v>
      </c>
      <c r="C272" s="53" t="s">
        <v>64</v>
      </c>
      <c r="D272" s="53" t="s">
        <v>298</v>
      </c>
      <c r="E272" s="57" t="s">
        <v>300</v>
      </c>
      <c r="G272" s="107">
        <f>VLOOKUP($A272, Stat!$A$1:$C$501, 2,0)</f>
        <v>40</v>
      </c>
      <c r="H272" s="107">
        <f>VLOOKUP($A272, Stat!$A$1:$C$501, 3,0)</f>
        <v>8</v>
      </c>
      <c r="I272" s="49">
        <v>1</v>
      </c>
      <c r="P272" s="53">
        <v>0</v>
      </c>
      <c r="Q272" s="53">
        <v>0</v>
      </c>
      <c r="S272" s="53" t="s">
        <v>299</v>
      </c>
      <c r="T272" s="53">
        <v>1</v>
      </c>
    </row>
    <row r="273" spans="1:20" ht="13.2" hidden="1" customHeight="1" x14ac:dyDescent="0.25">
      <c r="A273" s="53">
        <v>274</v>
      </c>
      <c r="B273" s="53" t="s">
        <v>41</v>
      </c>
      <c r="C273" s="53" t="s">
        <v>208</v>
      </c>
      <c r="D273" s="53" t="s">
        <v>374</v>
      </c>
      <c r="E273" s="57" t="s">
        <v>478</v>
      </c>
      <c r="G273" s="107">
        <f>VLOOKUP($A273, Stat!$A$1:$C$501, 2,0)</f>
        <v>6</v>
      </c>
      <c r="H273" s="107">
        <f>VLOOKUP($A273, Stat!$A$1:$C$501, 3,0)</f>
        <v>6</v>
      </c>
      <c r="I273" s="49">
        <v>1</v>
      </c>
      <c r="P273" s="53">
        <v>60</v>
      </c>
      <c r="Q273" s="53">
        <v>0</v>
      </c>
      <c r="S273" s="53" t="s">
        <v>479</v>
      </c>
      <c r="T273" s="53">
        <v>1</v>
      </c>
    </row>
    <row r="274" spans="1:20" ht="13.2" hidden="1" customHeight="1" x14ac:dyDescent="0.25">
      <c r="A274" s="53">
        <v>275</v>
      </c>
      <c r="B274" s="53" t="s">
        <v>41</v>
      </c>
      <c r="C274" s="53" t="s">
        <v>64</v>
      </c>
      <c r="D274" s="53" t="s">
        <v>76</v>
      </c>
      <c r="E274" s="57" t="s">
        <v>305</v>
      </c>
      <c r="G274" s="107">
        <f>VLOOKUP($A274, Stat!$A$1:$C$501, 2,0)</f>
        <v>9</v>
      </c>
      <c r="H274" s="107">
        <f>VLOOKUP($A274, Stat!$A$1:$C$501, 3,0)</f>
        <v>1</v>
      </c>
      <c r="I274" s="49">
        <v>1</v>
      </c>
      <c r="P274" s="53">
        <v>60</v>
      </c>
      <c r="Q274" s="53">
        <v>0</v>
      </c>
      <c r="S274" s="53" t="s">
        <v>304</v>
      </c>
      <c r="T274" s="53">
        <v>1</v>
      </c>
    </row>
    <row r="275" spans="1:20" hidden="1" x14ac:dyDescent="0.25">
      <c r="A275" s="53">
        <v>276</v>
      </c>
      <c r="B275" s="53" t="s">
        <v>41</v>
      </c>
      <c r="C275" s="53" t="s">
        <v>64</v>
      </c>
      <c r="D275" s="53" t="s">
        <v>131</v>
      </c>
      <c r="E275" s="57" t="s">
        <v>301</v>
      </c>
      <c r="G275" s="107">
        <f>VLOOKUP($A275, Stat!$A$1:$C$501, 2,0)</f>
        <v>5</v>
      </c>
      <c r="H275" s="107">
        <f>VLOOKUP($A275, Stat!$A$1:$C$501, 3,0)</f>
        <v>3</v>
      </c>
      <c r="I275" s="49">
        <v>1</v>
      </c>
      <c r="P275" s="53">
        <v>60</v>
      </c>
      <c r="Q275" s="53">
        <v>0</v>
      </c>
      <c r="S275" s="53" t="s">
        <v>303</v>
      </c>
      <c r="T275" s="53">
        <v>1</v>
      </c>
    </row>
    <row r="276" spans="1:20" hidden="1" x14ac:dyDescent="0.25">
      <c r="A276" s="53">
        <v>277</v>
      </c>
      <c r="B276" s="53" t="s">
        <v>41</v>
      </c>
      <c r="C276" s="53" t="s">
        <v>64</v>
      </c>
      <c r="D276" s="53" t="s">
        <v>76</v>
      </c>
      <c r="E276" s="57" t="s">
        <v>306</v>
      </c>
      <c r="G276" s="107">
        <f>VLOOKUP($A276, Stat!$A$1:$C$501, 2,0)</f>
        <v>1</v>
      </c>
      <c r="H276" s="107">
        <f>VLOOKUP($A276, Stat!$A$1:$C$501, 3,0)</f>
        <v>1</v>
      </c>
      <c r="I276" s="49">
        <v>1</v>
      </c>
      <c r="P276" s="53">
        <v>60</v>
      </c>
      <c r="Q276" s="53">
        <v>0</v>
      </c>
      <c r="S276" s="53" t="s">
        <v>372</v>
      </c>
      <c r="T276" s="53">
        <v>1</v>
      </c>
    </row>
    <row r="277" spans="1:20" hidden="1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G277" s="107">
        <f>VLOOKUP($A277, Stat!$A$1:$C$501, 2,0)</f>
        <v>5</v>
      </c>
      <c r="H277" s="107">
        <f>VLOOKUP($A277, Stat!$A$1:$C$501, 3,0)</f>
        <v>0</v>
      </c>
      <c r="I277" s="49"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190</v>
      </c>
      <c r="B278" s="53" t="s">
        <v>41</v>
      </c>
      <c r="C278" s="53" t="s">
        <v>64</v>
      </c>
      <c r="D278" s="53" t="s">
        <v>140</v>
      </c>
      <c r="E278" s="57" t="s">
        <v>52</v>
      </c>
      <c r="F278" s="51"/>
      <c r="G278" s="107">
        <f>VLOOKUP($A278, Stat!$A$1:$C$501, 2,0)</f>
        <v>2</v>
      </c>
      <c r="H278" s="107">
        <f>VLOOKUP($A278, Stat!$A$1:$C$501, 3,0)</f>
        <v>0</v>
      </c>
      <c r="I278" s="110"/>
      <c r="L278" s="49">
        <v>1</v>
      </c>
      <c r="M278" s="50" t="s">
        <v>275</v>
      </c>
      <c r="N278" s="51"/>
      <c r="O278" s="51"/>
      <c r="P278" s="53">
        <v>60</v>
      </c>
      <c r="Q278" s="53">
        <v>0</v>
      </c>
      <c r="R278" s="53" t="s">
        <v>138</v>
      </c>
      <c r="T278" s="53">
        <v>1</v>
      </c>
    </row>
    <row r="279" spans="1:20" x14ac:dyDescent="0.25">
      <c r="A279" s="53">
        <v>263</v>
      </c>
      <c r="B279" s="53" t="s">
        <v>41</v>
      </c>
      <c r="C279" s="53" t="s">
        <v>251</v>
      </c>
      <c r="D279" s="53" t="s">
        <v>252</v>
      </c>
      <c r="E279" s="57" t="s">
        <v>256</v>
      </c>
      <c r="F279" s="51"/>
      <c r="G279" s="107">
        <f>VLOOKUP($A279, Stat!$A$1:$C$501, 2,0)</f>
        <v>3</v>
      </c>
      <c r="H279" s="107">
        <f>VLOOKUP($A279, Stat!$A$1:$C$501, 3,0)</f>
        <v>0</v>
      </c>
      <c r="I279" s="109"/>
      <c r="M279" s="51"/>
      <c r="N279" s="50" t="s">
        <v>272</v>
      </c>
      <c r="O279" s="51"/>
      <c r="P279" s="53">
        <v>60</v>
      </c>
      <c r="Q279" s="53">
        <v>0</v>
      </c>
      <c r="S279" s="53" t="s">
        <v>442</v>
      </c>
      <c r="T279" s="53">
        <v>1</v>
      </c>
    </row>
    <row r="280" spans="1:20" x14ac:dyDescent="0.25">
      <c r="A280" s="53">
        <v>280</v>
      </c>
      <c r="B280" s="53" t="s">
        <v>41</v>
      </c>
      <c r="C280" s="53" t="s">
        <v>251</v>
      </c>
      <c r="D280" s="53" t="s">
        <v>319</v>
      </c>
      <c r="E280" s="53" t="s">
        <v>253</v>
      </c>
      <c r="G280" s="107">
        <f>VLOOKUP($A280, Stat!$A$1:$C$501, 2,0)</f>
        <v>2</v>
      </c>
      <c r="H280" s="107">
        <f>VLOOKUP($A280, Stat!$A$1:$C$501, 3,0)</f>
        <v>0</v>
      </c>
      <c r="I280" s="109"/>
      <c r="N280" s="49">
        <v>1</v>
      </c>
      <c r="P280" s="53">
        <v>60</v>
      </c>
      <c r="Q280" s="53">
        <v>1</v>
      </c>
      <c r="T280" s="53">
        <v>1</v>
      </c>
    </row>
    <row r="281" spans="1:20" hidden="1" x14ac:dyDescent="0.25">
      <c r="A281" s="53">
        <v>282</v>
      </c>
      <c r="B281" s="53" t="s">
        <v>41</v>
      </c>
      <c r="C281" s="53" t="s">
        <v>251</v>
      </c>
      <c r="D281" s="53" t="s">
        <v>332</v>
      </c>
      <c r="E281" s="53" t="s">
        <v>333</v>
      </c>
      <c r="G281" s="107">
        <f>VLOOKUP($A281, Stat!$A$1:$C$501, 2,0)</f>
        <v>36</v>
      </c>
      <c r="H281" s="107">
        <f>VLOOKUP($A281, Stat!$A$1:$C$501, 3,0)</f>
        <v>1</v>
      </c>
      <c r="N281" s="49">
        <v>1</v>
      </c>
      <c r="P281" s="53">
        <v>0</v>
      </c>
      <c r="Q281" s="53">
        <v>1</v>
      </c>
      <c r="R281" s="53" t="s">
        <v>371</v>
      </c>
      <c r="S281" s="53" t="s">
        <v>356</v>
      </c>
      <c r="T281" s="53">
        <v>1</v>
      </c>
    </row>
    <row r="282" spans="1:20" ht="13.2" customHeight="1" x14ac:dyDescent="0.25">
      <c r="A282" s="53">
        <v>313</v>
      </c>
      <c r="B282" s="53" t="s">
        <v>39</v>
      </c>
      <c r="C282" s="53" t="s">
        <v>7</v>
      </c>
      <c r="D282" s="53" t="s">
        <v>170</v>
      </c>
      <c r="E282" s="53" t="s">
        <v>368</v>
      </c>
      <c r="G282" s="107">
        <f>VLOOKUP($A282, Stat!$A$1:$C$501, 2,0)</f>
        <v>2</v>
      </c>
      <c r="H282" s="107">
        <f>VLOOKUP($A282, Stat!$A$1:$C$501, 3,0)</f>
        <v>0</v>
      </c>
      <c r="I282" s="110"/>
      <c r="L282" s="49">
        <v>1</v>
      </c>
      <c r="P282" s="53">
        <v>0</v>
      </c>
      <c r="Q282" s="53">
        <v>0</v>
      </c>
      <c r="S282" s="53" t="s">
        <v>415</v>
      </c>
      <c r="T282" s="53">
        <v>1</v>
      </c>
    </row>
    <row r="283" spans="1:20" x14ac:dyDescent="0.25">
      <c r="A283" s="53">
        <v>346</v>
      </c>
      <c r="B283" s="53" t="s">
        <v>39</v>
      </c>
      <c r="C283" s="53" t="s">
        <v>15</v>
      </c>
      <c r="D283" s="53" t="s">
        <v>507</v>
      </c>
      <c r="E283" s="53" t="s">
        <v>510</v>
      </c>
      <c r="G283" s="107">
        <f>VLOOKUP($A283, Stat!$A$1:$C$501, 2,0)</f>
        <v>3</v>
      </c>
      <c r="H283" s="107">
        <f>VLOOKUP($A283, Stat!$A$1:$C$501, 3,0)</f>
        <v>0</v>
      </c>
      <c r="I283" s="110"/>
      <c r="P283" s="53">
        <v>0</v>
      </c>
      <c r="Q283" s="53">
        <v>0</v>
      </c>
      <c r="S283" s="53" t="s">
        <v>512</v>
      </c>
      <c r="T283" s="53">
        <v>1</v>
      </c>
    </row>
    <row r="284" spans="1:20" x14ac:dyDescent="0.25">
      <c r="A284" s="53">
        <v>111</v>
      </c>
      <c r="B284" s="53" t="s">
        <v>39</v>
      </c>
      <c r="C284" s="53" t="s">
        <v>83</v>
      </c>
      <c r="D284" s="53" t="s">
        <v>126</v>
      </c>
      <c r="E284" s="57" t="s">
        <v>51</v>
      </c>
      <c r="F284" s="51"/>
      <c r="G284" s="107">
        <f>VLOOKUP($A284, Stat!$A$1:$C$501, 2,0)</f>
        <v>2</v>
      </c>
      <c r="H284" s="107">
        <f>VLOOKUP($A284, Stat!$A$1:$C$501, 3,0)</f>
        <v>1</v>
      </c>
      <c r="I284" s="49">
        <v>1</v>
      </c>
      <c r="M284" s="50" t="s">
        <v>267</v>
      </c>
      <c r="N284" s="51"/>
      <c r="O284" s="51"/>
      <c r="P284" s="53">
        <v>100</v>
      </c>
      <c r="Q284" s="53">
        <v>0</v>
      </c>
      <c r="T284" s="53">
        <v>1</v>
      </c>
    </row>
    <row r="285" spans="1:20" hidden="1" x14ac:dyDescent="0.25">
      <c r="A285" s="53">
        <v>286</v>
      </c>
      <c r="B285" s="53" t="s">
        <v>41</v>
      </c>
      <c r="C285" s="53" t="s">
        <v>64</v>
      </c>
      <c r="D285" s="53" t="s">
        <v>181</v>
      </c>
      <c r="E285" s="53" t="s">
        <v>337</v>
      </c>
      <c r="G285" s="107">
        <f>VLOOKUP($A285, Stat!$A$1:$C$501, 2,0)</f>
        <v>15</v>
      </c>
      <c r="H285" s="107">
        <f>VLOOKUP($A285, Stat!$A$1:$C$501, 3,0)</f>
        <v>14</v>
      </c>
      <c r="I285" s="49">
        <v>1</v>
      </c>
      <c r="P285" s="53">
        <v>60</v>
      </c>
      <c r="Q285" s="53">
        <v>0</v>
      </c>
      <c r="S285" s="53" t="s">
        <v>338</v>
      </c>
      <c r="T285" s="53">
        <v>1</v>
      </c>
    </row>
    <row r="286" spans="1:20" hidden="1" x14ac:dyDescent="0.25">
      <c r="A286" s="53">
        <v>287</v>
      </c>
      <c r="B286" s="53" t="s">
        <v>41</v>
      </c>
      <c r="C286" s="53" t="s">
        <v>251</v>
      </c>
      <c r="D286" s="53" t="s">
        <v>340</v>
      </c>
      <c r="E286" s="53" t="s">
        <v>321</v>
      </c>
      <c r="G286" s="107">
        <f>VLOOKUP($A286, Stat!$A$1:$C$501, 2,0)</f>
        <v>53</v>
      </c>
      <c r="H286" s="107">
        <f>VLOOKUP($A286, Stat!$A$1:$C$501, 3,0)</f>
        <v>20</v>
      </c>
      <c r="M286" s="49">
        <v>225</v>
      </c>
      <c r="P286" s="53">
        <v>0</v>
      </c>
      <c r="Q286" s="53">
        <v>1</v>
      </c>
      <c r="S286" s="53" t="s">
        <v>360</v>
      </c>
      <c r="T286" s="53">
        <v>1</v>
      </c>
    </row>
    <row r="287" spans="1:20" ht="13.2" hidden="1" customHeight="1" x14ac:dyDescent="0.25">
      <c r="A287" s="53">
        <v>288</v>
      </c>
      <c r="B287" s="53" t="s">
        <v>41</v>
      </c>
      <c r="C287" s="53" t="s">
        <v>251</v>
      </c>
      <c r="D287" s="53" t="s">
        <v>340</v>
      </c>
      <c r="E287" s="53" t="s">
        <v>348</v>
      </c>
      <c r="G287" s="107">
        <f>VLOOKUP($A287, Stat!$A$1:$C$501, 2,0)</f>
        <v>3</v>
      </c>
      <c r="H287" s="107">
        <f>VLOOKUP($A287, Stat!$A$1:$C$501, 3,0)</f>
        <v>3</v>
      </c>
      <c r="I287" s="49">
        <v>1</v>
      </c>
      <c r="P287" s="53">
        <v>40</v>
      </c>
      <c r="Q287" s="53">
        <v>0</v>
      </c>
      <c r="S287" s="53" t="s">
        <v>361</v>
      </c>
      <c r="T287" s="53">
        <v>1</v>
      </c>
    </row>
    <row r="288" spans="1:20" ht="13.2" hidden="1" customHeight="1" x14ac:dyDescent="0.25">
      <c r="A288" s="53">
        <v>289</v>
      </c>
      <c r="B288" s="53" t="s">
        <v>41</v>
      </c>
      <c r="C288" s="53" t="s">
        <v>251</v>
      </c>
      <c r="D288" s="53" t="s">
        <v>340</v>
      </c>
      <c r="E288" s="53" t="s">
        <v>182</v>
      </c>
      <c r="G288" s="107">
        <f>VLOOKUP($A288, Stat!$A$1:$C$501, 2,0)</f>
        <v>14</v>
      </c>
      <c r="H288" s="107">
        <f>VLOOKUP($A288, Stat!$A$1:$C$501, 3,0)</f>
        <v>4</v>
      </c>
      <c r="I288" s="109"/>
      <c r="P288" s="53">
        <v>40</v>
      </c>
      <c r="Q288" s="53">
        <v>1</v>
      </c>
      <c r="S288" s="53" t="s">
        <v>343</v>
      </c>
      <c r="T288" s="53">
        <v>1</v>
      </c>
    </row>
    <row r="289" spans="1:20" hidden="1" x14ac:dyDescent="0.25">
      <c r="A289" s="53">
        <v>290</v>
      </c>
      <c r="B289" s="53" t="s">
        <v>41</v>
      </c>
      <c r="C289" s="53" t="s">
        <v>251</v>
      </c>
      <c r="D289" s="53" t="s">
        <v>340</v>
      </c>
      <c r="E289" s="53" t="s">
        <v>77</v>
      </c>
      <c r="G289" s="107">
        <f>VLOOKUP($A289, Stat!$A$1:$C$501, 2,0)</f>
        <v>33</v>
      </c>
      <c r="H289" s="107">
        <f>VLOOKUP($A289, Stat!$A$1:$C$501, 3,0)</f>
        <v>16</v>
      </c>
      <c r="P289" s="53">
        <v>60</v>
      </c>
      <c r="Q289" s="53">
        <v>0</v>
      </c>
      <c r="S289" s="53" t="s">
        <v>344</v>
      </c>
      <c r="T289" s="53">
        <v>1</v>
      </c>
    </row>
    <row r="290" spans="1:20" hidden="1" x14ac:dyDescent="0.25">
      <c r="A290" s="53">
        <v>291</v>
      </c>
      <c r="B290" s="53" t="s">
        <v>41</v>
      </c>
      <c r="C290" s="53" t="s">
        <v>64</v>
      </c>
      <c r="D290" s="53" t="s">
        <v>181</v>
      </c>
      <c r="E290" s="53" t="s">
        <v>339</v>
      </c>
      <c r="G290" s="107">
        <f>VLOOKUP($A290, Stat!$A$1:$C$501, 2,0)</f>
        <v>4</v>
      </c>
      <c r="H290" s="107">
        <f>VLOOKUP($A290, Stat!$A$1:$C$501, 3,0)</f>
        <v>2</v>
      </c>
      <c r="I290" s="49">
        <v>1</v>
      </c>
      <c r="P290" s="53">
        <v>100</v>
      </c>
      <c r="Q290" s="53">
        <v>0</v>
      </c>
      <c r="S290" s="53" t="s">
        <v>345</v>
      </c>
      <c r="T290" s="53">
        <v>1</v>
      </c>
    </row>
    <row r="291" spans="1:20" ht="13.2" hidden="1" customHeight="1" x14ac:dyDescent="0.25">
      <c r="A291" s="53">
        <v>292</v>
      </c>
      <c r="B291" s="53" t="s">
        <v>41</v>
      </c>
      <c r="C291" s="53" t="s">
        <v>64</v>
      </c>
      <c r="D291" s="53" t="s">
        <v>334</v>
      </c>
      <c r="E291" s="53" t="s">
        <v>351</v>
      </c>
      <c r="G291" s="107">
        <f>VLOOKUP($A291, Stat!$A$1:$C$501, 2,0)</f>
        <v>1</v>
      </c>
      <c r="H291" s="107">
        <f>VLOOKUP($A291, Stat!$A$1:$C$501, 3,0)</f>
        <v>1</v>
      </c>
      <c r="I291" s="49">
        <v>1</v>
      </c>
      <c r="P291" s="53">
        <v>60</v>
      </c>
      <c r="Q291" s="53">
        <v>0</v>
      </c>
      <c r="S291" s="53" t="s">
        <v>346</v>
      </c>
      <c r="T291" s="53">
        <v>1</v>
      </c>
    </row>
    <row r="292" spans="1:20" ht="13.2" hidden="1" customHeight="1" x14ac:dyDescent="0.25">
      <c r="A292" s="53">
        <v>293</v>
      </c>
      <c r="B292" s="53" t="s">
        <v>41</v>
      </c>
      <c r="C292" s="53" t="s">
        <v>251</v>
      </c>
      <c r="D292" s="53" t="s">
        <v>340</v>
      </c>
      <c r="E292" s="53" t="s">
        <v>347</v>
      </c>
      <c r="G292" s="107">
        <f>VLOOKUP($A292, Stat!$A$1:$C$501, 2,0)</f>
        <v>12</v>
      </c>
      <c r="H292" s="107">
        <f>VLOOKUP($A292, Stat!$A$1:$C$501, 3,0)</f>
        <v>9</v>
      </c>
      <c r="I292" s="49">
        <v>1</v>
      </c>
      <c r="P292" s="53">
        <v>40</v>
      </c>
      <c r="Q292" s="53">
        <v>1</v>
      </c>
      <c r="S292" s="53" t="s">
        <v>362</v>
      </c>
      <c r="T292" s="53">
        <v>1</v>
      </c>
    </row>
    <row r="293" spans="1:20" hidden="1" x14ac:dyDescent="0.25">
      <c r="A293" s="53">
        <v>294</v>
      </c>
      <c r="B293" s="53" t="s">
        <v>41</v>
      </c>
      <c r="C293" s="53" t="s">
        <v>251</v>
      </c>
      <c r="D293" s="53" t="s">
        <v>340</v>
      </c>
      <c r="E293" s="53" t="s">
        <v>349</v>
      </c>
      <c r="G293" s="107">
        <f>VLOOKUP($A293, Stat!$A$1:$C$501, 2,0)</f>
        <v>3</v>
      </c>
      <c r="H293" s="107">
        <f>VLOOKUP($A293, Stat!$A$1:$C$501, 3,0)</f>
        <v>3</v>
      </c>
      <c r="I293" s="49">
        <v>1</v>
      </c>
      <c r="P293" s="53">
        <v>40</v>
      </c>
      <c r="Q293" s="53">
        <v>0</v>
      </c>
      <c r="S293" s="53" t="s">
        <v>363</v>
      </c>
      <c r="T293" s="53">
        <v>1</v>
      </c>
    </row>
    <row r="294" spans="1:20" hidden="1" x14ac:dyDescent="0.25">
      <c r="A294" s="53">
        <v>295</v>
      </c>
      <c r="B294" s="53" t="s">
        <v>41</v>
      </c>
      <c r="C294" s="53" t="s">
        <v>64</v>
      </c>
      <c r="D294" s="53" t="s">
        <v>334</v>
      </c>
      <c r="E294" s="53" t="s">
        <v>350</v>
      </c>
      <c r="G294" s="107">
        <f>VLOOKUP($A294, Stat!$A$1:$C$501, 2,0)</f>
        <v>2</v>
      </c>
      <c r="H294" s="107">
        <f>VLOOKUP($A294, Stat!$A$1:$C$501, 3,0)</f>
        <v>2</v>
      </c>
      <c r="I294" s="49">
        <v>1</v>
      </c>
      <c r="P294" s="53">
        <v>100</v>
      </c>
      <c r="Q294" s="53">
        <v>0</v>
      </c>
      <c r="S294" s="53" t="s">
        <v>354</v>
      </c>
      <c r="T294" s="53">
        <v>1</v>
      </c>
    </row>
    <row r="295" spans="1:20" ht="13.2" hidden="1" customHeight="1" x14ac:dyDescent="0.25">
      <c r="A295" s="53">
        <v>296</v>
      </c>
      <c r="B295" s="53" t="s">
        <v>41</v>
      </c>
      <c r="C295" s="53" t="s">
        <v>64</v>
      </c>
      <c r="D295" s="53" t="s">
        <v>334</v>
      </c>
      <c r="E295" s="53" t="s">
        <v>534</v>
      </c>
      <c r="G295" s="107">
        <f>VLOOKUP($A295, Stat!$A$1:$C$501, 2,0)</f>
        <v>10</v>
      </c>
      <c r="H295" s="107">
        <f>VLOOKUP($A295, Stat!$A$1:$C$501, 3,0)</f>
        <v>4</v>
      </c>
      <c r="I295" s="49">
        <v>1</v>
      </c>
      <c r="P295" s="53">
        <v>0</v>
      </c>
      <c r="Q295" s="53">
        <v>1</v>
      </c>
      <c r="S295" s="53" t="s">
        <v>532</v>
      </c>
      <c r="T295" s="53">
        <v>1</v>
      </c>
    </row>
    <row r="296" spans="1:20" ht="13.2" customHeight="1" x14ac:dyDescent="0.25">
      <c r="A296" s="53">
        <v>260</v>
      </c>
      <c r="B296" s="53" t="s">
        <v>41</v>
      </c>
      <c r="C296" s="53" t="s">
        <v>251</v>
      </c>
      <c r="D296" s="53" t="s">
        <v>319</v>
      </c>
      <c r="E296" s="57" t="s">
        <v>323</v>
      </c>
      <c r="F296" s="51"/>
      <c r="G296" s="107">
        <f>VLOOKUP($A296, Stat!$A$1:$C$501, 2,0)</f>
        <v>1</v>
      </c>
      <c r="H296" s="107">
        <f>VLOOKUP($A296, Stat!$A$1:$C$501, 3,0)</f>
        <v>0</v>
      </c>
      <c r="I296" s="110"/>
      <c r="M296" s="51"/>
      <c r="N296" s="50" t="s">
        <v>272</v>
      </c>
      <c r="O296" s="51"/>
      <c r="P296" s="53">
        <v>60</v>
      </c>
      <c r="Q296" s="53">
        <v>0</v>
      </c>
      <c r="S296" s="53" t="s">
        <v>359</v>
      </c>
      <c r="T296" s="53">
        <v>1</v>
      </c>
    </row>
    <row r="297" spans="1:20" ht="13.2" hidden="1" customHeight="1" x14ac:dyDescent="0.25">
      <c r="A297" s="53">
        <v>298</v>
      </c>
      <c r="B297" s="53" t="s">
        <v>41</v>
      </c>
      <c r="C297" s="53" t="s">
        <v>251</v>
      </c>
      <c r="D297" s="53" t="s">
        <v>332</v>
      </c>
      <c r="E297" s="53" t="s">
        <v>69</v>
      </c>
      <c r="G297" s="107">
        <f>VLOOKUP($A297, Stat!$A$1:$C$501, 2,0)</f>
        <v>14</v>
      </c>
      <c r="H297" s="107">
        <f>VLOOKUP($A297, Stat!$A$1:$C$501, 3,0)</f>
        <v>1</v>
      </c>
      <c r="I297" s="109"/>
      <c r="N297" s="49">
        <v>1</v>
      </c>
      <c r="P297" s="53">
        <v>40</v>
      </c>
      <c r="Q297" s="53">
        <v>0</v>
      </c>
      <c r="R297" s="53" t="s">
        <v>371</v>
      </c>
      <c r="S297" s="53" t="s">
        <v>358</v>
      </c>
      <c r="T297" s="53">
        <v>1</v>
      </c>
    </row>
    <row r="298" spans="1:20" ht="13.2" hidden="1" customHeight="1" x14ac:dyDescent="0.25">
      <c r="A298" s="53">
        <v>299</v>
      </c>
      <c r="B298" s="53" t="s">
        <v>41</v>
      </c>
      <c r="C298" s="53" t="s">
        <v>208</v>
      </c>
      <c r="D298" s="53" t="s">
        <v>196</v>
      </c>
      <c r="E298" s="53" t="s">
        <v>375</v>
      </c>
      <c r="G298" s="107">
        <f>VLOOKUP($A298, Stat!$A$1:$C$501, 2,0)</f>
        <v>4</v>
      </c>
      <c r="H298" s="107">
        <f>VLOOKUP($A298, Stat!$A$1:$C$501, 3,0)</f>
        <v>4</v>
      </c>
      <c r="I298" s="49">
        <v>1</v>
      </c>
      <c r="P298" s="53">
        <v>0</v>
      </c>
      <c r="Q298" s="53">
        <v>0</v>
      </c>
      <c r="S298" s="53" t="s">
        <v>410</v>
      </c>
      <c r="T298" s="53">
        <v>1</v>
      </c>
    </row>
    <row r="299" spans="1:20" ht="13.2" customHeight="1" x14ac:dyDescent="0.25">
      <c r="A299" s="53">
        <v>327</v>
      </c>
      <c r="B299" s="53" t="s">
        <v>41</v>
      </c>
      <c r="C299" s="53" t="s">
        <v>251</v>
      </c>
      <c r="D299" s="53" t="s">
        <v>252</v>
      </c>
      <c r="E299" s="53" t="s">
        <v>461</v>
      </c>
      <c r="G299" s="107">
        <f>VLOOKUP($A299, Stat!$A$1:$C$501, 2,0)</f>
        <v>2</v>
      </c>
      <c r="H299" s="107">
        <f>VLOOKUP($A299, Stat!$A$1:$C$501, 3,0)</f>
        <v>0</v>
      </c>
      <c r="I299" s="109"/>
      <c r="N299" s="49">
        <v>1</v>
      </c>
      <c r="P299" s="53">
        <v>60</v>
      </c>
      <c r="Q299" s="53">
        <v>0</v>
      </c>
      <c r="T299" s="53">
        <v>1</v>
      </c>
    </row>
    <row r="300" spans="1:20" ht="13.2" hidden="1" customHeight="1" x14ac:dyDescent="0.25">
      <c r="A300" s="53">
        <v>301</v>
      </c>
      <c r="B300" s="53" t="s">
        <v>41</v>
      </c>
      <c r="C300" s="53" t="s">
        <v>208</v>
      </c>
      <c r="D300" s="53" t="s">
        <v>195</v>
      </c>
      <c r="E300" s="53" t="s">
        <v>379</v>
      </c>
      <c r="G300" s="107">
        <f>VLOOKUP($A300, Stat!$A$1:$C$501, 2,0)</f>
        <v>22</v>
      </c>
      <c r="H300" s="107">
        <f>VLOOKUP($A300, Stat!$A$1:$C$501, 3,0)</f>
        <v>3</v>
      </c>
      <c r="I300" s="49">
        <v>1</v>
      </c>
      <c r="P300" s="53">
        <v>0</v>
      </c>
      <c r="Q300" s="53">
        <v>1</v>
      </c>
      <c r="S300" s="53" t="s">
        <v>380</v>
      </c>
      <c r="T300" s="53">
        <v>1</v>
      </c>
    </row>
    <row r="301" spans="1:20" ht="13.2" customHeight="1" x14ac:dyDescent="0.25">
      <c r="A301" s="53">
        <v>348</v>
      </c>
      <c r="B301" s="53" t="s">
        <v>39</v>
      </c>
      <c r="C301" s="53" t="s">
        <v>15</v>
      </c>
      <c r="D301" s="53" t="s">
        <v>168</v>
      </c>
      <c r="E301" s="53" t="s">
        <v>518</v>
      </c>
      <c r="G301" s="107">
        <f>VLOOKUP($A301, Stat!$A$1:$C$501, 2,0)</f>
        <v>2</v>
      </c>
      <c r="H301" s="107">
        <f>VLOOKUP($A301, Stat!$A$1:$C$501, 3,0)</f>
        <v>2</v>
      </c>
      <c r="I301" s="49">
        <v>1</v>
      </c>
      <c r="P301" s="53">
        <v>20</v>
      </c>
      <c r="Q301" s="53">
        <v>0</v>
      </c>
      <c r="R301" s="53" t="s">
        <v>78</v>
      </c>
      <c r="S301" s="53" t="s">
        <v>519</v>
      </c>
      <c r="T301" s="53">
        <v>1</v>
      </c>
    </row>
    <row r="302" spans="1:20" ht="13.2" customHeight="1" x14ac:dyDescent="0.25">
      <c r="A302" s="53">
        <v>48</v>
      </c>
      <c r="B302" s="53" t="s">
        <v>41</v>
      </c>
      <c r="C302" s="53" t="s">
        <v>18</v>
      </c>
      <c r="D302" s="53" t="s">
        <v>404</v>
      </c>
      <c r="E302" s="57" t="s">
        <v>536</v>
      </c>
      <c r="F302" s="50"/>
      <c r="G302" s="107">
        <f>VLOOKUP($A302, Stat!$A$1:$C$501, 2,0)</f>
        <v>1</v>
      </c>
      <c r="H302" s="107">
        <f>VLOOKUP($A302, Stat!$A$1:$C$501, 3,0)</f>
        <v>1</v>
      </c>
      <c r="I302" s="49">
        <v>1</v>
      </c>
      <c r="M302" s="50"/>
      <c r="N302" s="51"/>
      <c r="O302" s="50" t="s">
        <v>270</v>
      </c>
      <c r="P302" s="53">
        <v>30</v>
      </c>
      <c r="Q302" s="53">
        <v>0</v>
      </c>
      <c r="S302" s="53" t="s">
        <v>551</v>
      </c>
      <c r="T302" s="53">
        <v>1</v>
      </c>
    </row>
    <row r="303" spans="1:20" ht="13.2" hidden="1" customHeight="1" x14ac:dyDescent="0.25">
      <c r="A303" s="53">
        <v>304</v>
      </c>
      <c r="B303" s="53" t="s">
        <v>39</v>
      </c>
      <c r="C303" s="53" t="s">
        <v>17</v>
      </c>
      <c r="D303" s="53" t="s">
        <v>17</v>
      </c>
      <c r="E303" s="53" t="s">
        <v>390</v>
      </c>
      <c r="G303" s="107">
        <f>VLOOKUP($A303, Stat!$A$1:$C$501, 2,0)</f>
        <v>1</v>
      </c>
      <c r="H303" s="107">
        <f>VLOOKUP($A303, Stat!$A$1:$C$501, 3,0)</f>
        <v>1</v>
      </c>
      <c r="I303" s="110"/>
      <c r="P303" s="53">
        <v>70</v>
      </c>
      <c r="Q303" s="53">
        <v>0</v>
      </c>
      <c r="T303" s="53">
        <v>1</v>
      </c>
    </row>
    <row r="304" spans="1:20" ht="13.2" hidden="1" customHeight="1" x14ac:dyDescent="0.25">
      <c r="A304" s="53">
        <v>305</v>
      </c>
      <c r="B304" s="53" t="s">
        <v>39</v>
      </c>
      <c r="C304" s="53" t="s">
        <v>15</v>
      </c>
      <c r="D304" s="53" t="s">
        <v>56</v>
      </c>
      <c r="E304" s="53" t="s">
        <v>393</v>
      </c>
      <c r="G304" s="107">
        <f>VLOOKUP($A304, Stat!$A$1:$C$501, 2,0)</f>
        <v>37</v>
      </c>
      <c r="H304" s="107">
        <f>VLOOKUP($A304, Stat!$A$1:$C$501, 3,0)</f>
        <v>3</v>
      </c>
      <c r="I304" s="49">
        <v>1</v>
      </c>
      <c r="P304" s="53">
        <v>0</v>
      </c>
      <c r="Q304" s="53">
        <v>0</v>
      </c>
      <c r="S304" s="53" t="s">
        <v>395</v>
      </c>
      <c r="T304" s="53">
        <v>1</v>
      </c>
    </row>
    <row r="305" spans="1:20" ht="13.2" hidden="1" customHeight="1" x14ac:dyDescent="0.25">
      <c r="A305" s="53">
        <v>306</v>
      </c>
      <c r="B305" s="53" t="s">
        <v>41</v>
      </c>
      <c r="C305" s="53" t="s">
        <v>18</v>
      </c>
      <c r="D305" s="53" t="s">
        <v>402</v>
      </c>
      <c r="E305" s="53" t="s">
        <v>556</v>
      </c>
      <c r="F305" s="49">
        <v>1</v>
      </c>
      <c r="G305" s="107">
        <f>VLOOKUP($A305, Stat!$A$1:$C$501, 2,0)</f>
        <v>60</v>
      </c>
      <c r="H305" s="107">
        <f>VLOOKUP($A305, Stat!$A$1:$C$501, 3,0)</f>
        <v>4</v>
      </c>
      <c r="P305" s="53">
        <v>0</v>
      </c>
      <c r="Q305" s="53">
        <v>1</v>
      </c>
      <c r="S305" s="53" t="s">
        <v>405</v>
      </c>
      <c r="T305" s="53">
        <v>1</v>
      </c>
    </row>
    <row r="306" spans="1:20" ht="13.2" hidden="1" customHeight="1" x14ac:dyDescent="0.25">
      <c r="A306" s="53">
        <v>307</v>
      </c>
      <c r="B306" s="53" t="s">
        <v>41</v>
      </c>
      <c r="C306" s="53" t="s">
        <v>18</v>
      </c>
      <c r="D306" s="53" t="s">
        <v>402</v>
      </c>
      <c r="E306" s="53" t="s">
        <v>77</v>
      </c>
      <c r="F306" s="49">
        <v>1</v>
      </c>
      <c r="G306" s="107">
        <f>VLOOKUP($A306, Stat!$A$1:$C$501, 2,0)</f>
        <v>101</v>
      </c>
      <c r="H306" s="107">
        <f>VLOOKUP($A306, Stat!$A$1:$C$501, 3,0)</f>
        <v>1</v>
      </c>
      <c r="I306" s="110"/>
      <c r="P306" s="53">
        <v>30</v>
      </c>
      <c r="Q306" s="53">
        <v>0</v>
      </c>
      <c r="S306" s="53" t="s">
        <v>406</v>
      </c>
      <c r="T306" s="53">
        <v>1</v>
      </c>
    </row>
    <row r="307" spans="1:20" ht="13.2" hidden="1" customHeight="1" x14ac:dyDescent="0.25">
      <c r="A307" s="53">
        <v>308</v>
      </c>
      <c r="B307" s="53" t="s">
        <v>41</v>
      </c>
      <c r="C307" s="53" t="s">
        <v>18</v>
      </c>
      <c r="D307" s="53" t="s">
        <v>404</v>
      </c>
      <c r="E307" s="53" t="s">
        <v>470</v>
      </c>
      <c r="F307" s="49">
        <v>1</v>
      </c>
      <c r="G307" s="107">
        <f>VLOOKUP($A307, Stat!$A$1:$C$501, 2,0)</f>
        <v>1</v>
      </c>
      <c r="H307" s="109">
        <f>VLOOKUP($A307, Stat!$A$1:$C$501, 3,0)</f>
        <v>1</v>
      </c>
      <c r="I307" s="49">
        <v>1</v>
      </c>
      <c r="P307" s="53">
        <v>30</v>
      </c>
      <c r="Q307" s="53">
        <v>0</v>
      </c>
      <c r="S307" s="53" t="s">
        <v>472</v>
      </c>
      <c r="T307" s="53">
        <v>1</v>
      </c>
    </row>
    <row r="308" spans="1:20" ht="13.2" hidden="1" customHeight="1" x14ac:dyDescent="0.25">
      <c r="A308" s="53">
        <v>309</v>
      </c>
      <c r="B308" s="53" t="s">
        <v>41</v>
      </c>
      <c r="C308" s="53" t="s">
        <v>18</v>
      </c>
      <c r="D308" s="53" t="s">
        <v>404</v>
      </c>
      <c r="E308" s="53" t="s">
        <v>471</v>
      </c>
      <c r="F308" s="49">
        <v>1</v>
      </c>
      <c r="G308" s="107">
        <f>VLOOKUP($A308, Stat!$A$1:$C$501, 2,0)</f>
        <v>2</v>
      </c>
      <c r="H308" s="107">
        <f>VLOOKUP($A308, Stat!$A$1:$C$501, 3,0)</f>
        <v>1</v>
      </c>
      <c r="I308" s="49">
        <v>1</v>
      </c>
      <c r="P308" s="53">
        <v>30</v>
      </c>
      <c r="Q308" s="53">
        <v>0</v>
      </c>
      <c r="S308" s="53" t="s">
        <v>473</v>
      </c>
      <c r="T308" s="53">
        <v>1</v>
      </c>
    </row>
    <row r="309" spans="1:20" ht="13.2" customHeight="1" x14ac:dyDescent="0.25">
      <c r="A309" s="53">
        <v>264</v>
      </c>
      <c r="B309" s="53" t="s">
        <v>41</v>
      </c>
      <c r="C309" s="53" t="s">
        <v>251</v>
      </c>
      <c r="D309" s="53" t="s">
        <v>252</v>
      </c>
      <c r="E309" s="57" t="s">
        <v>257</v>
      </c>
      <c r="F309" s="51"/>
      <c r="G309" s="107">
        <f>VLOOKUP($A309, Stat!$A$1:$C$501, 2,0)</f>
        <v>1</v>
      </c>
      <c r="H309" s="109">
        <f>VLOOKUP($A309, Stat!$A$1:$C$501, 3,0)</f>
        <v>0</v>
      </c>
      <c r="I309" s="109"/>
      <c r="M309" s="51"/>
      <c r="N309" s="50" t="s">
        <v>272</v>
      </c>
      <c r="O309" s="51"/>
      <c r="P309" s="53">
        <v>60</v>
      </c>
      <c r="Q309" s="53">
        <v>1</v>
      </c>
      <c r="S309" s="53" t="s">
        <v>317</v>
      </c>
      <c r="T309" s="53">
        <v>1</v>
      </c>
    </row>
    <row r="310" spans="1:20" ht="13.2" customHeight="1" x14ac:dyDescent="0.25">
      <c r="A310" s="53">
        <v>281</v>
      </c>
      <c r="B310" s="53" t="s">
        <v>41</v>
      </c>
      <c r="C310" s="53" t="s">
        <v>251</v>
      </c>
      <c r="D310" s="53" t="s">
        <v>319</v>
      </c>
      <c r="E310" s="53" t="s">
        <v>254</v>
      </c>
      <c r="G310" s="107">
        <f>VLOOKUP($A310, Stat!$A$1:$C$501, 2,0)</f>
        <v>1</v>
      </c>
      <c r="H310" s="109">
        <f>VLOOKUP($A310, Stat!$A$1:$C$501, 3,0)</f>
        <v>0</v>
      </c>
      <c r="I310" s="109"/>
      <c r="N310" s="49">
        <v>1</v>
      </c>
      <c r="P310" s="53">
        <v>60</v>
      </c>
      <c r="Q310" s="53">
        <v>0</v>
      </c>
      <c r="T310" s="53">
        <v>1</v>
      </c>
    </row>
    <row r="311" spans="1:20" ht="13.2" customHeight="1" x14ac:dyDescent="0.25">
      <c r="A311" s="53">
        <v>30</v>
      </c>
      <c r="B311" s="53" t="s">
        <v>41</v>
      </c>
      <c r="C311" s="53" t="s">
        <v>64</v>
      </c>
      <c r="D311" s="53" t="s">
        <v>139</v>
      </c>
      <c r="E311" s="57" t="s">
        <v>117</v>
      </c>
      <c r="F311" s="51"/>
      <c r="G311" s="109">
        <f>VLOOKUP($A311, Stat!$A$1:$C$501, 2,0)</f>
        <v>0</v>
      </c>
      <c r="H311" s="109">
        <f>VLOOKUP($A311, Stat!$A$1:$C$501, 3,0)</f>
        <v>0</v>
      </c>
      <c r="I311" s="49">
        <v>1</v>
      </c>
      <c r="M311" s="51"/>
      <c r="N311" s="51"/>
      <c r="P311" s="53">
        <v>100</v>
      </c>
      <c r="Q311" s="53">
        <v>0</v>
      </c>
      <c r="T311" s="53">
        <v>1</v>
      </c>
    </row>
    <row r="312" spans="1:20" ht="13.2" customHeight="1" x14ac:dyDescent="0.25">
      <c r="A312" s="53">
        <v>100</v>
      </c>
      <c r="B312" s="53" t="s">
        <v>39</v>
      </c>
      <c r="C312" s="53" t="s">
        <v>87</v>
      </c>
      <c r="D312" s="53" t="s">
        <v>82</v>
      </c>
      <c r="E312" s="57" t="s">
        <v>91</v>
      </c>
      <c r="F312" s="51"/>
      <c r="G312" s="109">
        <f>VLOOKUP($A312, Stat!$A$1:$C$501, 2,0)</f>
        <v>0</v>
      </c>
      <c r="H312" s="109">
        <f>VLOOKUP($A312, Stat!$A$1:$C$501, 3,0)</f>
        <v>0</v>
      </c>
      <c r="I312" s="109"/>
      <c r="M312" s="51"/>
      <c r="N312" s="51"/>
      <c r="O312" s="51"/>
      <c r="P312" s="53">
        <v>0</v>
      </c>
      <c r="Q312" s="53">
        <v>0</v>
      </c>
      <c r="R312" s="53" t="s">
        <v>439</v>
      </c>
      <c r="T312" s="53">
        <v>1</v>
      </c>
    </row>
    <row r="313" spans="1:20" ht="13.2" customHeight="1" x14ac:dyDescent="0.25">
      <c r="A313" s="53">
        <v>104</v>
      </c>
      <c r="B313" s="53" t="s">
        <v>39</v>
      </c>
      <c r="C313" s="53" t="s">
        <v>87</v>
      </c>
      <c r="D313" s="53" t="s">
        <v>81</v>
      </c>
      <c r="E313" s="57" t="s">
        <v>91</v>
      </c>
      <c r="F313" s="51"/>
      <c r="G313" s="109">
        <f>VLOOKUP($A313, Stat!$A$1:$C$501, 2,0)</f>
        <v>0</v>
      </c>
      <c r="H313" s="109">
        <f>VLOOKUP($A313, Stat!$A$1:$C$501, 3,0)</f>
        <v>0</v>
      </c>
      <c r="I313" s="109"/>
      <c r="M313" s="51"/>
      <c r="N313" s="51"/>
      <c r="O313" s="51"/>
      <c r="P313" s="53">
        <v>0</v>
      </c>
      <c r="Q313" s="53">
        <v>0</v>
      </c>
      <c r="T313" s="53">
        <v>1</v>
      </c>
    </row>
    <row r="314" spans="1:20" ht="13.2" hidden="1" customHeight="1" x14ac:dyDescent="0.25">
      <c r="A314" s="53">
        <v>315</v>
      </c>
      <c r="B314" s="53" t="s">
        <v>41</v>
      </c>
      <c r="C314" s="53" t="s">
        <v>64</v>
      </c>
      <c r="D314" s="53" t="s">
        <v>216</v>
      </c>
      <c r="E314" s="53" t="s">
        <v>423</v>
      </c>
      <c r="G314" s="107">
        <f>VLOOKUP($A314, Stat!$A$1:$C$501, 2,0)</f>
        <v>12</v>
      </c>
      <c r="H314" s="107">
        <f>VLOOKUP($A314, Stat!$A$1:$C$501, 3,0)</f>
        <v>10</v>
      </c>
      <c r="I314" s="49">
        <v>1</v>
      </c>
      <c r="P314" s="53">
        <v>60</v>
      </c>
      <c r="Q314" s="53">
        <v>0</v>
      </c>
      <c r="R314" s="53" t="s">
        <v>456</v>
      </c>
      <c r="S314" s="53" t="s">
        <v>424</v>
      </c>
      <c r="T314" s="53">
        <v>1</v>
      </c>
    </row>
    <row r="315" spans="1:20" ht="13.2" hidden="1" customHeight="1" x14ac:dyDescent="0.25">
      <c r="A315" s="53">
        <v>316</v>
      </c>
      <c r="B315" s="53" t="s">
        <v>41</v>
      </c>
      <c r="C315" s="53" t="s">
        <v>64</v>
      </c>
      <c r="D315" s="53" t="s">
        <v>216</v>
      </c>
      <c r="E315" s="53" t="s">
        <v>65</v>
      </c>
      <c r="G315" s="107">
        <f>VLOOKUP($A315, Stat!$A$1:$C$501, 2,0)</f>
        <v>45</v>
      </c>
      <c r="H315" s="107">
        <f>VLOOKUP($A315, Stat!$A$1:$C$501, 3,0)</f>
        <v>8</v>
      </c>
      <c r="I315" s="49">
        <v>1</v>
      </c>
      <c r="P315" s="53">
        <v>60</v>
      </c>
      <c r="Q315" s="53">
        <v>0</v>
      </c>
      <c r="R315" s="53" t="s">
        <v>456</v>
      </c>
      <c r="S315" s="53" t="s">
        <v>425</v>
      </c>
      <c r="T315" s="53">
        <v>1</v>
      </c>
    </row>
    <row r="316" spans="1:20" ht="13.2" hidden="1" customHeight="1" x14ac:dyDescent="0.25">
      <c r="A316" s="53">
        <v>317</v>
      </c>
      <c r="B316" s="53" t="s">
        <v>41</v>
      </c>
      <c r="C316" s="53" t="s">
        <v>64</v>
      </c>
      <c r="D316" s="53" t="s">
        <v>428</v>
      </c>
      <c r="E316" s="53" t="s">
        <v>427</v>
      </c>
      <c r="G316" s="107">
        <f>VLOOKUP($A316, Stat!$A$1:$C$501, 2,0)</f>
        <v>19</v>
      </c>
      <c r="H316" s="107">
        <f>VLOOKUP($A316, Stat!$A$1:$C$501, 3,0)</f>
        <v>4</v>
      </c>
      <c r="I316" s="49">
        <v>1</v>
      </c>
      <c r="P316" s="53">
        <v>30</v>
      </c>
      <c r="Q316" s="53">
        <v>0</v>
      </c>
      <c r="S316" s="53" t="s">
        <v>454</v>
      </c>
      <c r="T316" s="53">
        <v>1</v>
      </c>
    </row>
    <row r="317" spans="1:20" ht="13.2" hidden="1" customHeight="1" x14ac:dyDescent="0.25">
      <c r="A317" s="53">
        <v>318</v>
      </c>
      <c r="B317" s="53" t="s">
        <v>41</v>
      </c>
      <c r="C317" s="53" t="s">
        <v>64</v>
      </c>
      <c r="D317" s="53" t="s">
        <v>428</v>
      </c>
      <c r="E317" s="53" t="s">
        <v>528</v>
      </c>
      <c r="F317" s="49">
        <v>1</v>
      </c>
      <c r="G317" s="107">
        <f>VLOOKUP($A317, Stat!$A$1:$C$501, 2,0)</f>
        <v>13</v>
      </c>
      <c r="H317" s="107">
        <f>VLOOKUP($A317, Stat!$A$1:$C$501, 3,0)</f>
        <v>4</v>
      </c>
      <c r="I317" s="49">
        <v>1</v>
      </c>
      <c r="P317" s="53">
        <v>30</v>
      </c>
      <c r="Q317" s="53">
        <v>0</v>
      </c>
      <c r="S317" s="53" t="s">
        <v>455</v>
      </c>
      <c r="T317" s="53">
        <v>1</v>
      </c>
    </row>
    <row r="318" spans="1:20" ht="13.2" hidden="1" customHeight="1" x14ac:dyDescent="0.25">
      <c r="A318" s="53">
        <v>319</v>
      </c>
      <c r="B318" s="53" t="s">
        <v>39</v>
      </c>
      <c r="C318" s="53" t="s">
        <v>15</v>
      </c>
      <c r="D318" s="53" t="s">
        <v>429</v>
      </c>
      <c r="E318" s="53" t="s">
        <v>431</v>
      </c>
      <c r="G318" s="107">
        <f>VLOOKUP($A318, Stat!$A$1:$C$501, 2,0)</f>
        <v>25</v>
      </c>
      <c r="H318" s="107">
        <f>VLOOKUP($A318, Stat!$A$1:$C$501, 3,0)</f>
        <v>5</v>
      </c>
      <c r="I318" s="49">
        <v>1</v>
      </c>
      <c r="P318" s="53">
        <v>0</v>
      </c>
      <c r="Q318" s="53">
        <v>1</v>
      </c>
      <c r="T318" s="53">
        <v>1</v>
      </c>
    </row>
    <row r="319" spans="1:20" hidden="1" x14ac:dyDescent="0.25">
      <c r="A319" s="53">
        <v>320</v>
      </c>
      <c r="B319" s="53" t="s">
        <v>39</v>
      </c>
      <c r="C319" s="53" t="s">
        <v>15</v>
      </c>
      <c r="D319" s="53" t="s">
        <v>429</v>
      </c>
      <c r="E319" s="53" t="s">
        <v>430</v>
      </c>
      <c r="G319" s="107">
        <f>VLOOKUP($A319, Stat!$A$1:$C$501, 2,0)</f>
        <v>8</v>
      </c>
      <c r="H319" s="107">
        <f>VLOOKUP($A319, Stat!$A$1:$C$501, 3,0)</f>
        <v>1</v>
      </c>
      <c r="I319" s="49">
        <v>1</v>
      </c>
      <c r="P319" s="53">
        <v>0</v>
      </c>
      <c r="Q319" s="53">
        <v>0</v>
      </c>
      <c r="S319" s="53" t="s">
        <v>433</v>
      </c>
      <c r="T319" s="53">
        <v>1</v>
      </c>
    </row>
    <row r="320" spans="1:20" ht="13.2" hidden="1" customHeight="1" x14ac:dyDescent="0.25">
      <c r="A320" s="53">
        <v>321</v>
      </c>
      <c r="B320" s="53" t="s">
        <v>41</v>
      </c>
      <c r="C320" s="53" t="s">
        <v>18</v>
      </c>
      <c r="D320" s="53" t="s">
        <v>97</v>
      </c>
      <c r="E320" s="53" t="s">
        <v>435</v>
      </c>
      <c r="F320" s="49">
        <v>1</v>
      </c>
      <c r="G320" s="107">
        <f>VLOOKUP($A320, Stat!$A$1:$C$501, 2,0)</f>
        <v>5</v>
      </c>
      <c r="H320" s="107">
        <f>VLOOKUP($A320, Stat!$A$1:$C$501, 3,0)</f>
        <v>1</v>
      </c>
      <c r="I320" s="49">
        <v>1</v>
      </c>
      <c r="P320" s="53">
        <v>70</v>
      </c>
      <c r="Q320" s="53">
        <v>0</v>
      </c>
      <c r="T320" s="53">
        <v>1</v>
      </c>
    </row>
    <row r="321" spans="1:20" ht="13.2" customHeight="1" x14ac:dyDescent="0.25">
      <c r="A321" s="53">
        <v>106</v>
      </c>
      <c r="B321" s="53" t="s">
        <v>39</v>
      </c>
      <c r="C321" s="53" t="s">
        <v>87</v>
      </c>
      <c r="D321" s="53" t="s">
        <v>81</v>
      </c>
      <c r="E321" s="57" t="s">
        <v>5</v>
      </c>
      <c r="F321" s="51"/>
      <c r="G321" s="109">
        <f>VLOOKUP($A321, Stat!$A$1:$C$501, 2,0)</f>
        <v>0</v>
      </c>
      <c r="H321" s="109">
        <f>VLOOKUP($A321, Stat!$A$1:$C$501, 3,0)</f>
        <v>0</v>
      </c>
      <c r="I321" s="109"/>
      <c r="M321" s="51"/>
      <c r="N321" s="51"/>
      <c r="O321" s="51"/>
      <c r="P321" s="53">
        <v>40</v>
      </c>
      <c r="Q321" s="53">
        <v>0</v>
      </c>
      <c r="T321" s="53">
        <v>1</v>
      </c>
    </row>
    <row r="322" spans="1:20" ht="13.2" customHeight="1" x14ac:dyDescent="0.25">
      <c r="A322" s="53">
        <v>107</v>
      </c>
      <c r="B322" s="53" t="s">
        <v>39</v>
      </c>
      <c r="C322" s="53" t="s">
        <v>87</v>
      </c>
      <c r="D322" s="53" t="s">
        <v>81</v>
      </c>
      <c r="E322" s="57" t="s">
        <v>51</v>
      </c>
      <c r="F322" s="51"/>
      <c r="G322" s="109">
        <f>VLOOKUP($A322, Stat!$A$1:$C$501, 2,0)</f>
        <v>0</v>
      </c>
      <c r="H322" s="109">
        <f>VLOOKUP($A322, Stat!$A$1:$C$501, 3,0)</f>
        <v>0</v>
      </c>
      <c r="I322" s="109"/>
      <c r="M322" s="51"/>
      <c r="N322" s="51"/>
      <c r="O322" s="51"/>
      <c r="P322" s="53">
        <v>60</v>
      </c>
      <c r="Q322" s="53">
        <v>0</v>
      </c>
      <c r="T322" s="53">
        <v>1</v>
      </c>
    </row>
    <row r="323" spans="1:20" hidden="1" x14ac:dyDescent="0.25">
      <c r="A323" s="53">
        <v>324</v>
      </c>
      <c r="B323" s="53" t="s">
        <v>41</v>
      </c>
      <c r="C323" s="53" t="s">
        <v>64</v>
      </c>
      <c r="D323" s="53" t="s">
        <v>70</v>
      </c>
      <c r="E323" s="53" t="s">
        <v>457</v>
      </c>
      <c r="G323" s="107">
        <f>VLOOKUP($A323, Stat!$A$1:$C$501, 2,0)</f>
        <v>12</v>
      </c>
      <c r="H323" s="107">
        <f>VLOOKUP($A323, Stat!$A$1:$C$501, 3,0)</f>
        <v>2</v>
      </c>
      <c r="I323" s="49">
        <v>1</v>
      </c>
      <c r="P323" s="53">
        <v>60</v>
      </c>
      <c r="Q323" s="53">
        <v>0</v>
      </c>
      <c r="S323" s="53" t="s">
        <v>460</v>
      </c>
      <c r="T323" s="53">
        <v>1</v>
      </c>
    </row>
    <row r="324" spans="1:20" hidden="1" x14ac:dyDescent="0.25">
      <c r="A324" s="53">
        <v>325</v>
      </c>
      <c r="B324" s="53" t="s">
        <v>41</v>
      </c>
      <c r="C324" s="53" t="s">
        <v>64</v>
      </c>
      <c r="D324" s="53" t="s">
        <v>70</v>
      </c>
      <c r="E324" s="53" t="s">
        <v>459</v>
      </c>
      <c r="G324" s="107">
        <f>VLOOKUP($A324, Stat!$A$1:$C$501, 2,0)</f>
        <v>23</v>
      </c>
      <c r="H324" s="107">
        <f>VLOOKUP($A324, Stat!$A$1:$C$501, 3,0)</f>
        <v>10</v>
      </c>
      <c r="I324" s="49">
        <v>1</v>
      </c>
      <c r="P324" s="53">
        <v>60</v>
      </c>
      <c r="Q324" s="53">
        <v>0</v>
      </c>
      <c r="S324" s="53" t="s">
        <v>553</v>
      </c>
      <c r="T324" s="53">
        <v>1</v>
      </c>
    </row>
    <row r="325" spans="1:20" ht="13.2" hidden="1" customHeight="1" x14ac:dyDescent="0.25">
      <c r="A325" s="53">
        <v>326</v>
      </c>
      <c r="B325" s="53" t="s">
        <v>41</v>
      </c>
      <c r="C325" s="53" t="s">
        <v>64</v>
      </c>
      <c r="D325" s="53" t="s">
        <v>70</v>
      </c>
      <c r="E325" s="53" t="s">
        <v>458</v>
      </c>
      <c r="G325" s="107">
        <f>VLOOKUP($A325, Stat!$A$1:$C$501, 2,0)</f>
        <v>17</v>
      </c>
      <c r="H325" s="107">
        <f>VLOOKUP($A325, Stat!$A$1:$C$501, 3,0)</f>
        <v>8</v>
      </c>
      <c r="I325" s="49">
        <v>1</v>
      </c>
      <c r="P325" s="53">
        <v>60</v>
      </c>
      <c r="Q325" s="53">
        <v>0</v>
      </c>
      <c r="S325" s="53" t="s">
        <v>554</v>
      </c>
      <c r="T325" s="53">
        <v>1</v>
      </c>
    </row>
    <row r="326" spans="1:20" ht="13.2" customHeight="1" x14ac:dyDescent="0.25">
      <c r="A326" s="53">
        <v>123</v>
      </c>
      <c r="B326" s="53" t="s">
        <v>39</v>
      </c>
      <c r="C326" s="53" t="s">
        <v>87</v>
      </c>
      <c r="D326" s="53" t="s">
        <v>98</v>
      </c>
      <c r="E326" s="57" t="s">
        <v>51</v>
      </c>
      <c r="F326" s="51"/>
      <c r="G326" s="109">
        <f>VLOOKUP($A326, Stat!$A$1:$C$501, 2,0)</f>
        <v>0</v>
      </c>
      <c r="H326" s="109">
        <f>VLOOKUP($A326, Stat!$A$1:$C$501, 3,0)</f>
        <v>0</v>
      </c>
      <c r="I326" s="109"/>
      <c r="K326" s="49">
        <v>999</v>
      </c>
      <c r="M326" s="50"/>
      <c r="N326" s="51"/>
      <c r="O326" s="51"/>
      <c r="P326" s="53">
        <v>60</v>
      </c>
      <c r="Q326" s="53">
        <v>0</v>
      </c>
      <c r="S326" s="53" t="s">
        <v>444</v>
      </c>
      <c r="T326" s="53">
        <v>1</v>
      </c>
    </row>
    <row r="327" spans="1:20" ht="13.2" customHeight="1" x14ac:dyDescent="0.25">
      <c r="A327" s="53">
        <v>144</v>
      </c>
      <c r="B327" s="53" t="s">
        <v>39</v>
      </c>
      <c r="C327" s="53" t="s">
        <v>87</v>
      </c>
      <c r="D327" s="53" t="s">
        <v>397</v>
      </c>
      <c r="E327" s="57" t="s">
        <v>3</v>
      </c>
      <c r="F327" s="51"/>
      <c r="G327" s="107">
        <f>VLOOKUP($A327, Stat!$A$1:$C$501, 2,0)</f>
        <v>0</v>
      </c>
      <c r="H327" s="109">
        <f>VLOOKUP($A327, Stat!$A$1:$C$501, 3,0)</f>
        <v>0</v>
      </c>
      <c r="I327" s="109"/>
      <c r="M327" s="51"/>
      <c r="N327" s="51"/>
      <c r="O327" s="51"/>
      <c r="P327" s="53">
        <v>0</v>
      </c>
      <c r="Q327" s="53">
        <v>-1</v>
      </c>
      <c r="R327" s="53" t="s">
        <v>440</v>
      </c>
      <c r="T327" s="53">
        <v>1</v>
      </c>
    </row>
    <row r="328" spans="1:20" hidden="1" x14ac:dyDescent="0.25">
      <c r="A328" s="53">
        <v>329</v>
      </c>
      <c r="B328" s="53" t="s">
        <v>41</v>
      </c>
      <c r="C328" s="53" t="s">
        <v>18</v>
      </c>
      <c r="D328" s="53" t="s">
        <v>402</v>
      </c>
      <c r="E328" s="53" t="s">
        <v>469</v>
      </c>
      <c r="F328" s="49">
        <v>1</v>
      </c>
      <c r="G328" s="107">
        <f>VLOOKUP($A328, Stat!$A$1:$C$501, 2,0)</f>
        <v>29</v>
      </c>
      <c r="H328" s="107">
        <f>VLOOKUP($A328, Stat!$A$1:$C$501, 3,0)</f>
        <v>1</v>
      </c>
      <c r="P328" s="53">
        <v>30</v>
      </c>
      <c r="Q328" s="53">
        <v>1</v>
      </c>
      <c r="S328" s="53" t="s">
        <v>464</v>
      </c>
      <c r="T328" s="53">
        <v>1</v>
      </c>
    </row>
    <row r="329" spans="1:20" hidden="1" x14ac:dyDescent="0.25">
      <c r="A329" s="53">
        <v>330</v>
      </c>
      <c r="B329" s="53" t="s">
        <v>41</v>
      </c>
      <c r="C329" s="53" t="s">
        <v>64</v>
      </c>
      <c r="D329" s="53" t="s">
        <v>214</v>
      </c>
      <c r="E329" s="53" t="s">
        <v>462</v>
      </c>
      <c r="G329" s="107">
        <f>VLOOKUP($A329, Stat!$A$1:$C$501, 2,0)</f>
        <v>4</v>
      </c>
      <c r="H329" s="107">
        <f>VLOOKUP($A329, Stat!$A$1:$C$501, 3,0)</f>
        <v>3</v>
      </c>
      <c r="I329" s="49">
        <v>1</v>
      </c>
      <c r="M329" s="49">
        <v>249</v>
      </c>
      <c r="P329" s="53">
        <v>0</v>
      </c>
      <c r="Q329" s="53">
        <v>1</v>
      </c>
      <c r="S329" s="53" t="s">
        <v>463</v>
      </c>
      <c r="T329" s="53">
        <v>1</v>
      </c>
    </row>
    <row r="330" spans="1:20" ht="13.2" customHeight="1" x14ac:dyDescent="0.25">
      <c r="A330" s="53">
        <v>191</v>
      </c>
      <c r="B330" s="53" t="s">
        <v>39</v>
      </c>
      <c r="C330" s="53" t="s">
        <v>87</v>
      </c>
      <c r="D330" s="53" t="s">
        <v>99</v>
      </c>
      <c r="E330" s="57" t="s">
        <v>147</v>
      </c>
      <c r="F330" s="51"/>
      <c r="G330" s="109">
        <f>VLOOKUP($A330, Stat!$A$1:$C$501, 2,0)</f>
        <v>0</v>
      </c>
      <c r="H330" s="109">
        <f>VLOOKUP($A330, Stat!$A$1:$C$501, 3,0)</f>
        <v>0</v>
      </c>
      <c r="I330" s="109"/>
      <c r="M330" s="51"/>
      <c r="N330" s="51"/>
      <c r="O330" s="51"/>
      <c r="P330" s="53">
        <v>60</v>
      </c>
      <c r="Q330" s="53">
        <v>0</v>
      </c>
      <c r="R330" s="53" t="s">
        <v>88</v>
      </c>
      <c r="S330" s="53" t="s">
        <v>228</v>
      </c>
      <c r="T330" s="53">
        <v>1</v>
      </c>
    </row>
    <row r="331" spans="1:20" ht="13.2" hidden="1" customHeight="1" x14ac:dyDescent="0.25">
      <c r="A331" s="53">
        <v>332</v>
      </c>
      <c r="B331" s="53" t="s">
        <v>41</v>
      </c>
      <c r="C331" s="53" t="s">
        <v>208</v>
      </c>
      <c r="D331" s="53" t="s">
        <v>374</v>
      </c>
      <c r="E331" s="53" t="s">
        <v>482</v>
      </c>
      <c r="G331" s="107">
        <f>VLOOKUP($A331, Stat!$A$1:$C$501, 2,0)</f>
        <v>14</v>
      </c>
      <c r="H331" s="107">
        <f>VLOOKUP($A331, Stat!$A$1:$C$501, 3,0)</f>
        <v>13</v>
      </c>
      <c r="I331" s="49">
        <v>1</v>
      </c>
      <c r="P331" s="53">
        <v>60</v>
      </c>
      <c r="Q331" s="53">
        <v>0</v>
      </c>
      <c r="S331" s="53" t="s">
        <v>480</v>
      </c>
      <c r="T331" s="53">
        <v>1</v>
      </c>
    </row>
    <row r="332" spans="1:20" ht="13.2" hidden="1" customHeight="1" x14ac:dyDescent="0.25">
      <c r="A332" s="53">
        <v>333</v>
      </c>
      <c r="B332" s="53" t="s">
        <v>41</v>
      </c>
      <c r="C332" s="53" t="s">
        <v>251</v>
      </c>
      <c r="D332" s="53" t="s">
        <v>340</v>
      </c>
      <c r="E332" s="53" t="s">
        <v>478</v>
      </c>
      <c r="G332" s="107">
        <f>VLOOKUP($A332, Stat!$A$1:$C$501, 2,0)</f>
        <v>7</v>
      </c>
      <c r="H332" s="107">
        <f>VLOOKUP($A332, Stat!$A$1:$C$501, 3,0)</f>
        <v>5</v>
      </c>
      <c r="I332" s="49">
        <v>1</v>
      </c>
      <c r="P332" s="53">
        <v>60</v>
      </c>
      <c r="Q332" s="53">
        <v>0</v>
      </c>
      <c r="S332" s="53" t="s">
        <v>483</v>
      </c>
      <c r="T332" s="53">
        <v>1</v>
      </c>
    </row>
    <row r="333" spans="1:20" ht="13.2" hidden="1" customHeight="1" x14ac:dyDescent="0.25">
      <c r="A333" s="53">
        <v>334</v>
      </c>
      <c r="B333" s="53" t="s">
        <v>41</v>
      </c>
      <c r="C333" s="53" t="s">
        <v>251</v>
      </c>
      <c r="D333" s="53" t="s">
        <v>340</v>
      </c>
      <c r="E333" s="53" t="s">
        <v>481</v>
      </c>
      <c r="G333" s="107">
        <f>VLOOKUP($A333, Stat!$A$1:$C$501, 2,0)</f>
        <v>6</v>
      </c>
      <c r="H333" s="107">
        <f>VLOOKUP($A333, Stat!$A$1:$C$501, 3,0)</f>
        <v>4</v>
      </c>
      <c r="I333" s="49">
        <v>1</v>
      </c>
      <c r="P333" s="53">
        <v>60</v>
      </c>
      <c r="Q333" s="53">
        <v>0</v>
      </c>
      <c r="S333" s="53" t="s">
        <v>484</v>
      </c>
      <c r="T333" s="53">
        <v>1</v>
      </c>
    </row>
    <row r="334" spans="1:20" ht="13.2" customHeight="1" x14ac:dyDescent="0.25">
      <c r="A334" s="53">
        <v>192</v>
      </c>
      <c r="B334" s="53" t="s">
        <v>39</v>
      </c>
      <c r="C334" s="53" t="s">
        <v>87</v>
      </c>
      <c r="D334" s="53" t="s">
        <v>98</v>
      </c>
      <c r="E334" s="57" t="s">
        <v>147</v>
      </c>
      <c r="F334" s="51"/>
      <c r="G334" s="109">
        <f>VLOOKUP($A334, Stat!$A$1:$C$501, 2,0)</f>
        <v>0</v>
      </c>
      <c r="H334" s="109">
        <f>VLOOKUP($A334, Stat!$A$1:$C$501, 3,0)</f>
        <v>0</v>
      </c>
      <c r="I334" s="109"/>
      <c r="M334" s="51"/>
      <c r="N334" s="51"/>
      <c r="O334" s="51"/>
      <c r="P334" s="53">
        <v>60</v>
      </c>
      <c r="Q334" s="53">
        <v>0</v>
      </c>
      <c r="S334" s="53" t="s">
        <v>228</v>
      </c>
      <c r="T334" s="53">
        <v>1</v>
      </c>
    </row>
    <row r="335" spans="1:20" ht="13.2" hidden="1" customHeight="1" x14ac:dyDescent="0.25">
      <c r="A335" s="53">
        <v>336</v>
      </c>
      <c r="B335" s="53" t="s">
        <v>41</v>
      </c>
      <c r="C335" s="53" t="s">
        <v>208</v>
      </c>
      <c r="D335" s="53" t="s">
        <v>487</v>
      </c>
      <c r="E335" s="53" t="s">
        <v>490</v>
      </c>
      <c r="G335" s="107">
        <f>VLOOKUP($A335, Stat!$A$1:$C$501, 2,0)</f>
        <v>3</v>
      </c>
      <c r="H335" s="107">
        <f>VLOOKUP($A335, Stat!$A$1:$C$501, 3,0)</f>
        <v>2</v>
      </c>
      <c r="I335" s="110"/>
      <c r="P335" s="53">
        <v>60</v>
      </c>
      <c r="Q335" s="53">
        <v>0</v>
      </c>
      <c r="R335" s="53" t="s">
        <v>492</v>
      </c>
      <c r="S335" s="53" t="s">
        <v>493</v>
      </c>
      <c r="T335" s="53">
        <v>1</v>
      </c>
    </row>
    <row r="336" spans="1:20" ht="13.2" hidden="1" customHeight="1" x14ac:dyDescent="0.25">
      <c r="A336" s="53">
        <v>337</v>
      </c>
      <c r="B336" s="53" t="s">
        <v>41</v>
      </c>
      <c r="C336" s="53" t="s">
        <v>208</v>
      </c>
      <c r="D336" s="53" t="s">
        <v>487</v>
      </c>
      <c r="E336" s="53" t="s">
        <v>488</v>
      </c>
      <c r="G336" s="107">
        <f>VLOOKUP($A336, Stat!$A$1:$C$501, 2,0)</f>
        <v>6</v>
      </c>
      <c r="H336" s="107">
        <f>VLOOKUP($A336, Stat!$A$1:$C$501, 3,0)</f>
        <v>6</v>
      </c>
      <c r="I336" s="110"/>
      <c r="P336" s="53">
        <v>60</v>
      </c>
      <c r="Q336" s="53">
        <v>0</v>
      </c>
      <c r="R336" s="53" t="s">
        <v>492</v>
      </c>
      <c r="S336" s="53" t="s">
        <v>494</v>
      </c>
      <c r="T336" s="53">
        <v>1</v>
      </c>
    </row>
    <row r="337" spans="1:20" hidden="1" x14ac:dyDescent="0.25">
      <c r="A337" s="53">
        <v>338</v>
      </c>
      <c r="B337" s="53" t="s">
        <v>41</v>
      </c>
      <c r="C337" s="53" t="s">
        <v>208</v>
      </c>
      <c r="D337" s="53" t="s">
        <v>487</v>
      </c>
      <c r="E337" s="53" t="s">
        <v>555</v>
      </c>
      <c r="G337" s="107">
        <f>VLOOKUP($A337, Stat!$A$1:$C$501, 2,0)</f>
        <v>44</v>
      </c>
      <c r="H337" s="107">
        <f>VLOOKUP($A337, Stat!$A$1:$C$501, 3,0)</f>
        <v>6</v>
      </c>
      <c r="J337" s="49">
        <v>1</v>
      </c>
      <c r="P337" s="53">
        <v>60</v>
      </c>
      <c r="Q337" s="53">
        <v>0</v>
      </c>
      <c r="R337" s="53" t="s">
        <v>492</v>
      </c>
      <c r="S337" s="53" t="s">
        <v>495</v>
      </c>
      <c r="T337" s="53">
        <v>1</v>
      </c>
    </row>
    <row r="338" spans="1:20" hidden="1" x14ac:dyDescent="0.25">
      <c r="A338" s="53">
        <v>339</v>
      </c>
      <c r="B338" s="53" t="s">
        <v>41</v>
      </c>
      <c r="C338" s="53" t="s">
        <v>208</v>
      </c>
      <c r="D338" s="53" t="s">
        <v>487</v>
      </c>
      <c r="E338" s="53" t="s">
        <v>489</v>
      </c>
      <c r="G338" s="107">
        <f>VLOOKUP($A338, Stat!$A$1:$C$501, 2,0)</f>
        <v>2</v>
      </c>
      <c r="H338" s="107">
        <f>VLOOKUP($A338, Stat!$A$1:$C$501, 3,0)</f>
        <v>2</v>
      </c>
      <c r="I338" s="49">
        <v>1</v>
      </c>
      <c r="P338" s="53">
        <v>60</v>
      </c>
      <c r="Q338" s="53">
        <v>0</v>
      </c>
      <c r="R338" s="53" t="s">
        <v>492</v>
      </c>
      <c r="S338" s="53" t="s">
        <v>496</v>
      </c>
      <c r="T338" s="53">
        <v>1</v>
      </c>
    </row>
    <row r="339" spans="1:20" hidden="1" x14ac:dyDescent="0.25">
      <c r="A339" s="53">
        <v>340</v>
      </c>
      <c r="B339" s="53" t="s">
        <v>41</v>
      </c>
      <c r="C339" s="53" t="s">
        <v>208</v>
      </c>
      <c r="D339" s="53" t="s">
        <v>487</v>
      </c>
      <c r="E339" s="53" t="s">
        <v>491</v>
      </c>
      <c r="G339" s="107">
        <f>VLOOKUP($A339, Stat!$A$1:$C$501, 2,0)</f>
        <v>5</v>
      </c>
      <c r="H339" s="107">
        <f>VLOOKUP($A339, Stat!$A$1:$C$501, 3,0)</f>
        <v>4</v>
      </c>
      <c r="I339" s="110"/>
      <c r="P339" s="53">
        <v>60</v>
      </c>
      <c r="Q339" s="53">
        <v>0</v>
      </c>
      <c r="R339" s="53" t="s">
        <v>492</v>
      </c>
      <c r="S339" s="53" t="s">
        <v>497</v>
      </c>
      <c r="T339" s="53">
        <v>1</v>
      </c>
    </row>
    <row r="340" spans="1:20" x14ac:dyDescent="0.25">
      <c r="A340" s="53">
        <v>194</v>
      </c>
      <c r="B340" s="53" t="s">
        <v>41</v>
      </c>
      <c r="C340" s="53" t="s">
        <v>18</v>
      </c>
      <c r="D340" s="53" t="s">
        <v>450</v>
      </c>
      <c r="E340" s="57" t="s">
        <v>151</v>
      </c>
      <c r="F340" s="50" t="s">
        <v>272</v>
      </c>
      <c r="G340" s="107">
        <f>VLOOKUP($A340, Stat!$A$1:$C$501, 2,0)</f>
        <v>0</v>
      </c>
      <c r="H340" s="109">
        <f>VLOOKUP($A340, Stat!$A$1:$C$501, 3,0)</f>
        <v>0</v>
      </c>
      <c r="I340" s="109"/>
      <c r="M340" s="51"/>
      <c r="N340" s="51"/>
      <c r="O340" s="51"/>
      <c r="P340" s="53">
        <v>0</v>
      </c>
      <c r="Q340" s="53">
        <v>-1</v>
      </c>
      <c r="R340" s="53" t="s">
        <v>403</v>
      </c>
      <c r="T340" s="53">
        <v>1</v>
      </c>
    </row>
    <row r="341" spans="1:20" x14ac:dyDescent="0.25">
      <c r="A341" s="53">
        <v>195</v>
      </c>
      <c r="B341" s="53" t="s">
        <v>41</v>
      </c>
      <c r="C341" s="53" t="s">
        <v>18</v>
      </c>
      <c r="D341" s="53" t="s">
        <v>450</v>
      </c>
      <c r="E341" s="57" t="s">
        <v>66</v>
      </c>
      <c r="F341" s="50" t="s">
        <v>272</v>
      </c>
      <c r="G341" s="107">
        <f>VLOOKUP($A341, Stat!$A$1:$C$501, 2,0)</f>
        <v>0</v>
      </c>
      <c r="H341" s="109">
        <f>VLOOKUP($A341, Stat!$A$1:$C$501, 3,0)</f>
        <v>0</v>
      </c>
      <c r="I341" s="109"/>
      <c r="M341" s="51"/>
      <c r="N341" s="51"/>
      <c r="O341" s="51"/>
      <c r="P341" s="53">
        <v>0</v>
      </c>
      <c r="Q341" s="53">
        <v>-1</v>
      </c>
      <c r="R341" s="53" t="s">
        <v>403</v>
      </c>
      <c r="T341" s="53">
        <v>1</v>
      </c>
    </row>
    <row r="342" spans="1:20" hidden="1" x14ac:dyDescent="0.25">
      <c r="A342" s="53">
        <v>343</v>
      </c>
      <c r="B342" s="53" t="s">
        <v>39</v>
      </c>
      <c r="C342" s="53" t="s">
        <v>16</v>
      </c>
      <c r="D342" s="53" t="s">
        <v>503</v>
      </c>
      <c r="E342" s="53" t="s">
        <v>50</v>
      </c>
      <c r="G342" s="107">
        <f>VLOOKUP($A342, Stat!$A$1:$C$501, 2,0)</f>
        <v>1</v>
      </c>
      <c r="H342" s="107">
        <f>VLOOKUP($A342, Stat!$A$1:$C$501, 3,0)</f>
        <v>1</v>
      </c>
      <c r="I342" s="108"/>
      <c r="P342" s="53">
        <v>60</v>
      </c>
      <c r="Q342" s="53">
        <v>0</v>
      </c>
      <c r="R342" s="53" t="s">
        <v>505</v>
      </c>
      <c r="T342" s="53">
        <v>1</v>
      </c>
    </row>
    <row r="343" spans="1:20" x14ac:dyDescent="0.25">
      <c r="A343" s="53">
        <v>262</v>
      </c>
      <c r="B343" s="53" t="s">
        <v>41</v>
      </c>
      <c r="C343" s="53" t="s">
        <v>251</v>
      </c>
      <c r="D343" s="53" t="s">
        <v>324</v>
      </c>
      <c r="E343" s="57" t="s">
        <v>321</v>
      </c>
      <c r="F343" s="51"/>
      <c r="G343" s="108">
        <f>VLOOKUP($A343, Stat!$A$1:$C$501, 2,0)</f>
        <v>0</v>
      </c>
      <c r="H343" s="107">
        <f>VLOOKUP($A343, Stat!$A$1:$C$501, 3,0)</f>
        <v>0</v>
      </c>
      <c r="M343" s="51"/>
      <c r="N343" s="51"/>
      <c r="O343" s="51"/>
      <c r="P343" s="53">
        <v>0</v>
      </c>
      <c r="Q343" s="53">
        <v>1</v>
      </c>
      <c r="S343" s="53" t="s">
        <v>327</v>
      </c>
      <c r="T343" s="53">
        <v>1</v>
      </c>
    </row>
    <row r="344" spans="1:20" x14ac:dyDescent="0.25">
      <c r="A344" s="53">
        <v>283</v>
      </c>
      <c r="B344" s="53" t="s">
        <v>41</v>
      </c>
      <c r="C344" s="53" t="s">
        <v>251</v>
      </c>
      <c r="D344" s="53" t="s">
        <v>324</v>
      </c>
      <c r="E344" s="53" t="s">
        <v>132</v>
      </c>
      <c r="G344" s="108">
        <f>VLOOKUP($A344, Stat!$A$1:$C$501, 2,0)</f>
        <v>0</v>
      </c>
      <c r="H344" s="107">
        <f>VLOOKUP($A344, Stat!$A$1:$C$501, 3,0)</f>
        <v>0</v>
      </c>
      <c r="P344" s="53">
        <v>60</v>
      </c>
      <c r="Q344" s="53">
        <v>1</v>
      </c>
      <c r="S344" s="53" t="s">
        <v>329</v>
      </c>
      <c r="T344" s="53">
        <v>1</v>
      </c>
    </row>
    <row r="345" spans="1:20" x14ac:dyDescent="0.25">
      <c r="A345" s="53">
        <v>284</v>
      </c>
      <c r="B345" s="53" t="s">
        <v>41</v>
      </c>
      <c r="C345" s="53" t="s">
        <v>251</v>
      </c>
      <c r="D345" s="53" t="s">
        <v>324</v>
      </c>
      <c r="E345" s="53" t="s">
        <v>326</v>
      </c>
      <c r="G345" s="108">
        <f>VLOOKUP($A345, Stat!$A$1:$C$501, 2,0)</f>
        <v>0</v>
      </c>
      <c r="H345" s="107">
        <f>VLOOKUP($A345, Stat!$A$1:$C$501, 3,0)</f>
        <v>0</v>
      </c>
      <c r="P345" s="53">
        <v>60</v>
      </c>
      <c r="Q345" s="53">
        <v>1</v>
      </c>
      <c r="S345" s="53" t="s">
        <v>330</v>
      </c>
      <c r="T345" s="53">
        <v>1</v>
      </c>
    </row>
    <row r="346" spans="1:20" hidden="1" x14ac:dyDescent="0.25">
      <c r="A346" s="53">
        <v>347</v>
      </c>
      <c r="B346" s="53" t="s">
        <v>41</v>
      </c>
      <c r="C346" s="53" t="s">
        <v>64</v>
      </c>
      <c r="D346" s="53" t="s">
        <v>216</v>
      </c>
      <c r="E346" s="53" t="s">
        <v>513</v>
      </c>
      <c r="G346" s="107">
        <f>VLOOKUP($A346, Stat!$A$1:$C$501, 2,0)</f>
        <v>0</v>
      </c>
      <c r="H346" s="107">
        <f>VLOOKUP($A346, Stat!$A$1:$C$501, 3,0)</f>
        <v>0</v>
      </c>
      <c r="I346" s="49">
        <v>1</v>
      </c>
      <c r="P346" s="53">
        <v>30</v>
      </c>
      <c r="Q346" s="53">
        <v>0</v>
      </c>
      <c r="R346" s="53" t="s">
        <v>456</v>
      </c>
      <c r="S346" s="53" t="s">
        <v>514</v>
      </c>
      <c r="T346" s="53">
        <v>1</v>
      </c>
    </row>
    <row r="347" spans="1:20" x14ac:dyDescent="0.25">
      <c r="A347" s="53">
        <v>285</v>
      </c>
      <c r="B347" s="53" t="s">
        <v>41</v>
      </c>
      <c r="C347" s="53" t="s">
        <v>251</v>
      </c>
      <c r="D347" s="53" t="s">
        <v>324</v>
      </c>
      <c r="E347" s="53" t="s">
        <v>325</v>
      </c>
      <c r="G347" s="108">
        <f>VLOOKUP($A347, Stat!$A$1:$C$501, 2,0)</f>
        <v>0</v>
      </c>
      <c r="H347" s="107">
        <f>VLOOKUP($A347, Stat!$A$1:$C$501, 3,0)</f>
        <v>0</v>
      </c>
      <c r="P347" s="53">
        <v>60</v>
      </c>
      <c r="Q347" s="53">
        <v>1</v>
      </c>
      <c r="S347" s="53" t="s">
        <v>331</v>
      </c>
      <c r="T347" s="53">
        <v>1</v>
      </c>
    </row>
    <row r="348" spans="1:20" hidden="1" x14ac:dyDescent="0.25">
      <c r="A348" s="53">
        <v>349</v>
      </c>
      <c r="B348" s="53" t="s">
        <v>41</v>
      </c>
      <c r="C348" s="53" t="s">
        <v>60</v>
      </c>
      <c r="D348" s="53" t="s">
        <v>521</v>
      </c>
      <c r="E348" s="53" t="s">
        <v>523</v>
      </c>
      <c r="G348" s="107">
        <f>VLOOKUP($A348, Stat!$A$1:$C$501, 2,0)</f>
        <v>40</v>
      </c>
      <c r="H348" s="107">
        <f>VLOOKUP($A348, Stat!$A$1:$C$501, 3,0)</f>
        <v>1</v>
      </c>
      <c r="P348" s="53">
        <v>60</v>
      </c>
      <c r="Q348" s="53">
        <v>0</v>
      </c>
      <c r="S348" s="53" t="s">
        <v>524</v>
      </c>
      <c r="T348" s="53">
        <v>1</v>
      </c>
    </row>
    <row r="349" spans="1:20" x14ac:dyDescent="0.25">
      <c r="A349" s="53">
        <v>323</v>
      </c>
      <c r="B349" s="53" t="s">
        <v>41</v>
      </c>
      <c r="C349" s="53" t="s">
        <v>251</v>
      </c>
      <c r="D349" s="53" t="s">
        <v>252</v>
      </c>
      <c r="E349" s="53" t="s">
        <v>441</v>
      </c>
      <c r="G349" s="109">
        <f>VLOOKUP($A349, Stat!$A$1:$C$501, 2,0)</f>
        <v>0</v>
      </c>
      <c r="H349" s="109">
        <f>VLOOKUP($A349, Stat!$A$1:$C$501, 3,0)</f>
        <v>0</v>
      </c>
      <c r="I349" s="49">
        <v>1</v>
      </c>
      <c r="P349" s="53">
        <v>40</v>
      </c>
      <c r="Q349" s="53">
        <v>1</v>
      </c>
      <c r="S349" s="53" t="s">
        <v>443</v>
      </c>
      <c r="T349" s="53">
        <v>1</v>
      </c>
    </row>
    <row r="350" spans="1:20" x14ac:dyDescent="0.25">
      <c r="A350" s="53">
        <v>331</v>
      </c>
      <c r="B350" s="53" t="s">
        <v>41</v>
      </c>
      <c r="C350" s="53" t="s">
        <v>64</v>
      </c>
      <c r="D350" s="53" t="s">
        <v>68</v>
      </c>
      <c r="E350" s="53" t="s">
        <v>465</v>
      </c>
      <c r="G350" s="109">
        <f>VLOOKUP($A350, Stat!$A$1:$C$501, 2,0)</f>
        <v>0</v>
      </c>
      <c r="H350" s="109">
        <f>VLOOKUP($A350, Stat!$A$1:$C$501, 3,0)</f>
        <v>0</v>
      </c>
      <c r="I350" s="49">
        <v>1</v>
      </c>
      <c r="P350" s="53">
        <v>0</v>
      </c>
      <c r="Q350" s="53">
        <v>1</v>
      </c>
      <c r="S350" s="53" t="s">
        <v>466</v>
      </c>
      <c r="T350" s="53">
        <v>1</v>
      </c>
    </row>
    <row r="351" spans="1:20" hidden="1" x14ac:dyDescent="0.25">
      <c r="A351" s="53">
        <v>352</v>
      </c>
      <c r="B351" s="53" t="s">
        <v>39</v>
      </c>
      <c r="C351" s="53" t="s">
        <v>17</v>
      </c>
      <c r="D351" s="53" t="s">
        <v>526</v>
      </c>
      <c r="E351" s="53" t="s">
        <v>477</v>
      </c>
      <c r="G351" s="107">
        <f>VLOOKUP($A351, Stat!$A$1:$C$501, 2,0)</f>
        <v>9</v>
      </c>
      <c r="H351" s="107">
        <f>VLOOKUP($A351, Stat!$A$1:$C$501, 3,0)</f>
        <v>1</v>
      </c>
      <c r="I351" s="110"/>
      <c r="P351" s="53">
        <v>0</v>
      </c>
      <c r="Q351" s="53">
        <v>0</v>
      </c>
      <c r="S351" s="53" t="s">
        <v>234</v>
      </c>
      <c r="T351" s="53">
        <v>1</v>
      </c>
    </row>
    <row r="352" spans="1:20" hidden="1" x14ac:dyDescent="0.25">
      <c r="A352" s="53">
        <v>353</v>
      </c>
      <c r="B352" s="53" t="s">
        <v>39</v>
      </c>
      <c r="C352" s="53" t="s">
        <v>17</v>
      </c>
      <c r="D352" s="53" t="s">
        <v>526</v>
      </c>
      <c r="E352" s="53" t="s">
        <v>527</v>
      </c>
      <c r="G352" s="107">
        <f>VLOOKUP($A352, Stat!$A$1:$C$501, 2,0)</f>
        <v>4</v>
      </c>
      <c r="H352" s="107">
        <f>VLOOKUP($A352, Stat!$A$1:$C$501, 3,0)</f>
        <v>1</v>
      </c>
      <c r="I352" s="110"/>
      <c r="P352" s="53">
        <v>0</v>
      </c>
      <c r="Q352" s="53">
        <v>0</v>
      </c>
      <c r="S352" s="53" t="s">
        <v>234</v>
      </c>
      <c r="T352" s="53">
        <v>1</v>
      </c>
    </row>
    <row r="353" spans="1:20" hidden="1" x14ac:dyDescent="0.25">
      <c r="A353" s="53">
        <v>354</v>
      </c>
      <c r="B353" s="53" t="s">
        <v>41</v>
      </c>
      <c r="C353" s="53" t="s">
        <v>64</v>
      </c>
      <c r="D353" s="53" t="s">
        <v>530</v>
      </c>
      <c r="E353" s="53" t="s">
        <v>545</v>
      </c>
      <c r="G353" s="107">
        <f>VLOOKUP($A353, Stat!$A$1:$C$501, 2,0)</f>
        <v>307</v>
      </c>
      <c r="H353" s="107">
        <f>VLOOKUP($A353, Stat!$A$1:$C$501, 3,0)</f>
        <v>1</v>
      </c>
      <c r="I353" s="110"/>
      <c r="P353" s="53">
        <v>0</v>
      </c>
      <c r="Q353" s="53">
        <v>-1</v>
      </c>
      <c r="T353" s="53">
        <v>1</v>
      </c>
    </row>
    <row r="354" spans="1:20" hidden="1" x14ac:dyDescent="0.25">
      <c r="A354" s="53">
        <v>355</v>
      </c>
      <c r="B354" s="53" t="s">
        <v>41</v>
      </c>
      <c r="C354" s="53" t="s">
        <v>64</v>
      </c>
      <c r="D354" s="53" t="s">
        <v>530</v>
      </c>
      <c r="E354" s="53" t="s">
        <v>546</v>
      </c>
      <c r="G354" s="107">
        <f>VLOOKUP($A354, Stat!$A$1:$C$501, 2,0)</f>
        <v>19</v>
      </c>
      <c r="H354" s="107">
        <f>VLOOKUP($A354, Stat!$A$1:$C$501, 3,0)</f>
        <v>7</v>
      </c>
      <c r="P354" s="53">
        <v>0</v>
      </c>
      <c r="Q354" s="53">
        <v>-1</v>
      </c>
      <c r="T354" s="53">
        <v>1</v>
      </c>
    </row>
    <row r="355" spans="1:20" hidden="1" x14ac:dyDescent="0.25">
      <c r="A355" s="53">
        <v>356</v>
      </c>
      <c r="B355" s="53" t="s">
        <v>41</v>
      </c>
      <c r="C355" s="53" t="s">
        <v>64</v>
      </c>
      <c r="D355" s="53" t="s">
        <v>530</v>
      </c>
      <c r="E355" s="53" t="s">
        <v>547</v>
      </c>
      <c r="G355" s="107">
        <f>VLOOKUP($A355, Stat!$A$1:$C$501, 2,0)</f>
        <v>19</v>
      </c>
      <c r="H355" s="107">
        <f>VLOOKUP($A355, Stat!$A$1:$C$501, 3,0)</f>
        <v>1</v>
      </c>
      <c r="I355" s="49">
        <v>1</v>
      </c>
      <c r="P355" s="53">
        <v>30</v>
      </c>
      <c r="Q355" s="53">
        <v>1</v>
      </c>
      <c r="T355" s="53">
        <v>1</v>
      </c>
    </row>
    <row r="356" spans="1:20" x14ac:dyDescent="0.25">
      <c r="A356" s="53">
        <v>342</v>
      </c>
      <c r="B356" s="53" t="s">
        <v>39</v>
      </c>
      <c r="C356" s="53" t="s">
        <v>16</v>
      </c>
      <c r="D356" s="53" t="s">
        <v>503</v>
      </c>
      <c r="E356" s="53" t="s">
        <v>49</v>
      </c>
      <c r="G356" s="108">
        <f>VLOOKUP($A356, Stat!$A$1:$C$501, 2,0)</f>
        <v>0</v>
      </c>
      <c r="H356" s="107">
        <f>VLOOKUP($A356, Stat!$A$1:$C$501, 3,0)</f>
        <v>0</v>
      </c>
      <c r="P356" s="53">
        <v>0</v>
      </c>
      <c r="Q356" s="53">
        <v>1</v>
      </c>
      <c r="R356" s="53" t="s">
        <v>505</v>
      </c>
      <c r="T356" s="53">
        <v>1</v>
      </c>
    </row>
    <row r="357" spans="1:20" hidden="1" x14ac:dyDescent="0.25">
      <c r="A357" s="53">
        <v>358</v>
      </c>
      <c r="B357" s="53" t="s">
        <v>41</v>
      </c>
      <c r="C357" s="53" t="s">
        <v>64</v>
      </c>
      <c r="D357" s="53" t="s">
        <v>530</v>
      </c>
      <c r="E357" s="53" t="s">
        <v>297</v>
      </c>
      <c r="G357" s="107">
        <f>VLOOKUP($A357, Stat!$A$1:$C$501, 2,0)</f>
        <v>24</v>
      </c>
      <c r="H357" s="107">
        <f>VLOOKUP($A357, Stat!$A$1:$C$501, 3,0)</f>
        <v>4</v>
      </c>
      <c r="P357" s="53">
        <v>100</v>
      </c>
      <c r="Q357" s="53">
        <v>0</v>
      </c>
      <c r="T357" s="53">
        <v>1</v>
      </c>
    </row>
    <row r="358" spans="1:20" hidden="1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G358" s="107">
        <f>VLOOKUP($A358, Stat!$A$1:$C$501, 2,0)</f>
        <v>12</v>
      </c>
      <c r="H358" s="107">
        <f>VLOOKUP($A358, Stat!$A$1:$C$501, 3,0)</f>
        <v>8</v>
      </c>
      <c r="I358" s="49">
        <v>1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8">
    <filterColumn colId="7">
      <filters>
        <filter val="0"/>
      </filters>
    </filterColumn>
    <sortState ref="A4:T356">
      <sortCondition descending="1" ref="G1:G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25</v>
      </c>
      <c r="C4" s="106">
        <v>1</v>
      </c>
    </row>
    <row r="5" spans="1:3" x14ac:dyDescent="0.25">
      <c r="A5" s="106">
        <v>3</v>
      </c>
      <c r="B5" s="106">
        <v>7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79</v>
      </c>
      <c r="C8" s="106">
        <v>22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429</v>
      </c>
      <c r="C10" s="106">
        <v>1</v>
      </c>
    </row>
    <row r="11" spans="1:3" x14ac:dyDescent="0.25">
      <c r="A11" s="106">
        <v>9</v>
      </c>
      <c r="B11" s="106">
        <v>122</v>
      </c>
      <c r="C11" s="106">
        <v>36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98</v>
      </c>
      <c r="C14" s="106">
        <v>34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84</v>
      </c>
      <c r="C17" s="106">
        <v>2</v>
      </c>
    </row>
    <row r="18" spans="1:3" x14ac:dyDescent="0.25">
      <c r="A18" s="106">
        <v>16</v>
      </c>
      <c r="B18" s="106">
        <v>37</v>
      </c>
      <c r="C18" s="106">
        <v>1</v>
      </c>
    </row>
    <row r="19" spans="1:3" x14ac:dyDescent="0.25">
      <c r="A19" s="106">
        <v>17</v>
      </c>
      <c r="B19" s="106">
        <v>32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26</v>
      </c>
      <c r="C21" s="106">
        <v>2</v>
      </c>
    </row>
    <row r="22" spans="1:3" x14ac:dyDescent="0.25">
      <c r="A22" s="106">
        <v>20</v>
      </c>
      <c r="B22" s="106">
        <v>97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46</v>
      </c>
      <c r="C26" s="106">
        <v>6</v>
      </c>
    </row>
    <row r="27" spans="1:3" x14ac:dyDescent="0.25">
      <c r="A27" s="106">
        <v>25</v>
      </c>
      <c r="B27" s="106">
        <v>22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52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282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44</v>
      </c>
      <c r="C33" s="106">
        <v>0</v>
      </c>
    </row>
    <row r="34" spans="1:3" x14ac:dyDescent="0.25">
      <c r="A34" s="106">
        <v>32</v>
      </c>
      <c r="B34" s="106">
        <v>47</v>
      </c>
      <c r="C34" s="106">
        <v>2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2</v>
      </c>
    </row>
    <row r="37" spans="1:3" x14ac:dyDescent="0.25">
      <c r="A37" s="106">
        <v>35</v>
      </c>
      <c r="B37" s="106">
        <v>144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140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25</v>
      </c>
      <c r="C42" s="106">
        <v>0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182</v>
      </c>
      <c r="C44" s="106">
        <v>0</v>
      </c>
    </row>
    <row r="45" spans="1:3" x14ac:dyDescent="0.25">
      <c r="A45" s="106">
        <v>43</v>
      </c>
      <c r="B45" s="106">
        <v>73</v>
      </c>
      <c r="C45" s="106">
        <v>0</v>
      </c>
    </row>
    <row r="46" spans="1:3" x14ac:dyDescent="0.25">
      <c r="A46" s="106">
        <v>44</v>
      </c>
      <c r="B46" s="106">
        <v>64</v>
      </c>
      <c r="C46" s="106">
        <v>0</v>
      </c>
    </row>
    <row r="47" spans="1:3" x14ac:dyDescent="0.25">
      <c r="A47" s="106">
        <v>45</v>
      </c>
      <c r="B47" s="106">
        <v>13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88</v>
      </c>
      <c r="C49" s="106">
        <v>3</v>
      </c>
    </row>
    <row r="50" spans="1:3" x14ac:dyDescent="0.25">
      <c r="A50" s="106">
        <v>48</v>
      </c>
      <c r="B50" s="106">
        <v>1</v>
      </c>
      <c r="C50" s="106">
        <v>1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35</v>
      </c>
      <c r="C55" s="106">
        <v>0</v>
      </c>
    </row>
    <row r="56" spans="1:3" x14ac:dyDescent="0.25">
      <c r="A56" s="106">
        <v>54</v>
      </c>
      <c r="B56" s="106">
        <v>20</v>
      </c>
      <c r="C56" s="106">
        <v>0</v>
      </c>
    </row>
    <row r="57" spans="1:3" x14ac:dyDescent="0.25">
      <c r="A57" s="106">
        <v>55</v>
      </c>
      <c r="B57" s="106">
        <v>36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430</v>
      </c>
      <c r="C59" s="106">
        <v>1</v>
      </c>
    </row>
    <row r="60" spans="1:3" x14ac:dyDescent="0.25">
      <c r="A60" s="106">
        <v>58</v>
      </c>
      <c r="B60" s="106">
        <v>150</v>
      </c>
      <c r="C60" s="106">
        <v>12</v>
      </c>
    </row>
    <row r="61" spans="1:3" x14ac:dyDescent="0.25">
      <c r="A61" s="106">
        <v>59</v>
      </c>
      <c r="B61" s="106">
        <v>179</v>
      </c>
      <c r="C61" s="106">
        <v>0</v>
      </c>
    </row>
    <row r="62" spans="1:3" x14ac:dyDescent="0.25">
      <c r="A62" s="106">
        <v>60</v>
      </c>
      <c r="B62" s="106">
        <v>49</v>
      </c>
      <c r="C62" s="106">
        <v>1</v>
      </c>
    </row>
    <row r="63" spans="1:3" x14ac:dyDescent="0.25">
      <c r="A63" s="106">
        <v>61</v>
      </c>
      <c r="B63" s="106">
        <v>44</v>
      </c>
      <c r="C63" s="106">
        <v>2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21</v>
      </c>
      <c r="C65" s="106">
        <v>6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154</v>
      </c>
      <c r="C69" s="106">
        <v>29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59</v>
      </c>
      <c r="C71" s="106">
        <v>16</v>
      </c>
    </row>
    <row r="72" spans="1:3" x14ac:dyDescent="0.25">
      <c r="A72" s="106">
        <v>70</v>
      </c>
      <c r="B72" s="106">
        <v>35</v>
      </c>
      <c r="C72" s="106">
        <v>0</v>
      </c>
    </row>
    <row r="73" spans="1:3" x14ac:dyDescent="0.25">
      <c r="A73" s="106">
        <v>71</v>
      </c>
      <c r="B73" s="106">
        <v>9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19</v>
      </c>
      <c r="C77" s="106">
        <v>9</v>
      </c>
    </row>
    <row r="78" spans="1:3" x14ac:dyDescent="0.25">
      <c r="A78" s="106">
        <v>76</v>
      </c>
      <c r="B78" s="106">
        <v>44</v>
      </c>
      <c r="C78" s="106">
        <v>1</v>
      </c>
    </row>
    <row r="79" spans="1:3" x14ac:dyDescent="0.25">
      <c r="A79" s="106">
        <v>77</v>
      </c>
      <c r="B79" s="106">
        <v>523</v>
      </c>
      <c r="C79" s="106">
        <v>0</v>
      </c>
    </row>
    <row r="80" spans="1:3" x14ac:dyDescent="0.25">
      <c r="A80" s="106">
        <v>78</v>
      </c>
      <c r="B80" s="106">
        <v>62</v>
      </c>
      <c r="C80" s="106">
        <v>1</v>
      </c>
    </row>
    <row r="81" spans="1:3" x14ac:dyDescent="0.25">
      <c r="A81" s="106">
        <v>79</v>
      </c>
      <c r="B81" s="106">
        <v>76</v>
      </c>
      <c r="C81" s="106">
        <v>0</v>
      </c>
    </row>
    <row r="82" spans="1:3" x14ac:dyDescent="0.25">
      <c r="A82" s="106">
        <v>80</v>
      </c>
      <c r="B82" s="106">
        <v>296</v>
      </c>
      <c r="C82" s="106">
        <v>2</v>
      </c>
    </row>
    <row r="83" spans="1:3" x14ac:dyDescent="0.25">
      <c r="A83" s="106">
        <v>81</v>
      </c>
      <c r="B83" s="106">
        <v>51</v>
      </c>
      <c r="C83" s="106">
        <v>1</v>
      </c>
    </row>
    <row r="84" spans="1:3" x14ac:dyDescent="0.25">
      <c r="A84" s="106">
        <v>82</v>
      </c>
      <c r="B84" s="106">
        <v>45</v>
      </c>
      <c r="C84" s="106">
        <v>7</v>
      </c>
    </row>
    <row r="85" spans="1:3" x14ac:dyDescent="0.25">
      <c r="A85" s="106">
        <v>83</v>
      </c>
      <c r="B85" s="106">
        <v>164</v>
      </c>
      <c r="C85" s="106">
        <v>5</v>
      </c>
    </row>
    <row r="86" spans="1:3" x14ac:dyDescent="0.25">
      <c r="A86" s="106">
        <v>84</v>
      </c>
      <c r="B86" s="106">
        <v>90</v>
      </c>
      <c r="C86" s="106">
        <v>5</v>
      </c>
    </row>
    <row r="87" spans="1:3" x14ac:dyDescent="0.25">
      <c r="A87" s="106">
        <v>85</v>
      </c>
      <c r="B87" s="106">
        <v>10</v>
      </c>
      <c r="C87" s="106">
        <v>2</v>
      </c>
    </row>
    <row r="88" spans="1:3" x14ac:dyDescent="0.25">
      <c r="A88" s="106">
        <v>86</v>
      </c>
      <c r="B88" s="106">
        <v>131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23</v>
      </c>
      <c r="C90" s="106">
        <v>8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85</v>
      </c>
      <c r="C94" s="106">
        <v>1</v>
      </c>
    </row>
    <row r="95" spans="1:3" x14ac:dyDescent="0.25">
      <c r="A95" s="106">
        <v>93</v>
      </c>
      <c r="B95" s="106">
        <v>33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20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140</v>
      </c>
      <c r="C101" s="106">
        <v>4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77</v>
      </c>
      <c r="C103" s="106">
        <v>0</v>
      </c>
    </row>
    <row r="104" spans="1:3" x14ac:dyDescent="0.25">
      <c r="A104" s="106">
        <v>102</v>
      </c>
      <c r="B104" s="106">
        <v>63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22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1</v>
      </c>
    </row>
    <row r="114" spans="1:3" x14ac:dyDescent="0.25">
      <c r="A114" s="106">
        <v>112</v>
      </c>
      <c r="B114" s="106">
        <v>129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19</v>
      </c>
      <c r="C117" s="106">
        <v>0</v>
      </c>
    </row>
    <row r="118" spans="1:3" x14ac:dyDescent="0.25">
      <c r="A118" s="106">
        <v>116</v>
      </c>
      <c r="B118" s="106">
        <v>38</v>
      </c>
      <c r="C118" s="106">
        <v>0</v>
      </c>
    </row>
    <row r="119" spans="1:3" x14ac:dyDescent="0.25">
      <c r="A119" s="106">
        <v>117</v>
      </c>
      <c r="B119" s="106">
        <v>45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83</v>
      </c>
      <c r="C122" s="106">
        <v>0</v>
      </c>
    </row>
    <row r="123" spans="1:3" x14ac:dyDescent="0.25">
      <c r="A123" s="106">
        <v>121</v>
      </c>
      <c r="B123" s="106">
        <v>50</v>
      </c>
      <c r="C123" s="106">
        <v>0</v>
      </c>
    </row>
    <row r="124" spans="1:3" x14ac:dyDescent="0.25">
      <c r="A124" s="106">
        <v>122</v>
      </c>
      <c r="B124" s="106">
        <v>11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29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82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126</v>
      </c>
      <c r="C130" s="106">
        <v>0</v>
      </c>
    </row>
    <row r="131" spans="1:3" x14ac:dyDescent="0.25">
      <c r="A131" s="106">
        <v>129</v>
      </c>
      <c r="B131" s="106">
        <v>58</v>
      </c>
      <c r="C131" s="106">
        <v>6</v>
      </c>
    </row>
    <row r="132" spans="1:3" x14ac:dyDescent="0.25">
      <c r="A132" s="106">
        <v>130</v>
      </c>
      <c r="B132" s="106">
        <v>37</v>
      </c>
      <c r="C132" s="106">
        <v>4</v>
      </c>
    </row>
    <row r="133" spans="1:3" x14ac:dyDescent="0.25">
      <c r="A133" s="106">
        <v>131</v>
      </c>
      <c r="B133" s="106">
        <v>27</v>
      </c>
      <c r="C133" s="106">
        <v>14</v>
      </c>
    </row>
    <row r="134" spans="1:3" x14ac:dyDescent="0.25">
      <c r="A134" s="106">
        <v>132</v>
      </c>
      <c r="B134" s="106">
        <v>166</v>
      </c>
      <c r="C134" s="106">
        <v>0</v>
      </c>
    </row>
    <row r="135" spans="1:3" x14ac:dyDescent="0.25">
      <c r="A135" s="106">
        <v>133</v>
      </c>
      <c r="B135" s="106">
        <v>53</v>
      </c>
      <c r="C135" s="106">
        <v>4</v>
      </c>
    </row>
    <row r="136" spans="1:3" x14ac:dyDescent="0.25">
      <c r="A136" s="106">
        <v>134</v>
      </c>
      <c r="B136" s="106">
        <v>32</v>
      </c>
      <c r="C136" s="106">
        <v>3</v>
      </c>
    </row>
    <row r="137" spans="1:3" x14ac:dyDescent="0.25">
      <c r="A137" s="106">
        <v>135</v>
      </c>
      <c r="B137" s="106">
        <v>12</v>
      </c>
      <c r="C137" s="106">
        <v>4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7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11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46</v>
      </c>
      <c r="C147" s="106">
        <v>0</v>
      </c>
    </row>
    <row r="148" spans="1:3" x14ac:dyDescent="0.25">
      <c r="A148" s="106">
        <v>146</v>
      </c>
      <c r="B148" s="106">
        <v>30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45</v>
      </c>
      <c r="C150" s="106">
        <v>2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11</v>
      </c>
      <c r="C152" s="106">
        <v>5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684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6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46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5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6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99</v>
      </c>
      <c r="C189" s="106">
        <v>6</v>
      </c>
    </row>
    <row r="190" spans="1:3" x14ac:dyDescent="0.25">
      <c r="A190" s="106">
        <v>188</v>
      </c>
      <c r="B190" s="106">
        <v>17</v>
      </c>
      <c r="C190" s="106">
        <v>1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2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164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2</v>
      </c>
      <c r="C199" s="106">
        <v>1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5</v>
      </c>
      <c r="C204" s="106">
        <v>0</v>
      </c>
    </row>
    <row r="205" spans="1:3" x14ac:dyDescent="0.25">
      <c r="A205" s="106">
        <v>203</v>
      </c>
      <c r="B205" s="106">
        <v>8</v>
      </c>
      <c r="C205" s="106">
        <v>0</v>
      </c>
    </row>
    <row r="206" spans="1:3" x14ac:dyDescent="0.25">
      <c r="A206" s="106">
        <v>204</v>
      </c>
      <c r="B206" s="106">
        <v>62</v>
      </c>
      <c r="C206" s="106">
        <v>0</v>
      </c>
    </row>
    <row r="207" spans="1:3" x14ac:dyDescent="0.25">
      <c r="A207" s="106">
        <v>205</v>
      </c>
      <c r="B207" s="106">
        <v>14</v>
      </c>
      <c r="C207" s="106">
        <v>0</v>
      </c>
    </row>
    <row r="208" spans="1:3" x14ac:dyDescent="0.25">
      <c r="A208" s="106">
        <v>206</v>
      </c>
      <c r="B208" s="106">
        <v>28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15</v>
      </c>
      <c r="C212" s="106">
        <v>5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19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0</v>
      </c>
      <c r="C220" s="106">
        <v>0</v>
      </c>
    </row>
    <row r="221" spans="1:3" x14ac:dyDescent="0.25">
      <c r="A221" s="106">
        <v>219</v>
      </c>
      <c r="B221" s="106">
        <v>21</v>
      </c>
      <c r="C221" s="106">
        <v>3</v>
      </c>
    </row>
    <row r="222" spans="1:3" x14ac:dyDescent="0.25">
      <c r="A222" s="106">
        <v>220</v>
      </c>
      <c r="B222" s="106">
        <v>13</v>
      </c>
      <c r="C222" s="106">
        <v>10</v>
      </c>
    </row>
    <row r="223" spans="1:3" x14ac:dyDescent="0.25">
      <c r="A223" s="106">
        <v>221</v>
      </c>
      <c r="B223" s="106">
        <v>9</v>
      </c>
      <c r="C223" s="106">
        <v>3</v>
      </c>
    </row>
    <row r="224" spans="1:3" x14ac:dyDescent="0.25">
      <c r="A224" s="106">
        <v>222</v>
      </c>
      <c r="B224" s="106">
        <v>4</v>
      </c>
      <c r="C224" s="106">
        <v>3</v>
      </c>
    </row>
    <row r="225" spans="1:3" x14ac:dyDescent="0.25">
      <c r="A225" s="106">
        <v>223</v>
      </c>
      <c r="B225" s="106">
        <v>15</v>
      </c>
      <c r="C225" s="106">
        <v>1</v>
      </c>
    </row>
    <row r="226" spans="1:3" x14ac:dyDescent="0.25">
      <c r="A226" s="106">
        <v>224</v>
      </c>
      <c r="B226" s="106">
        <v>6</v>
      </c>
      <c r="C226" s="106">
        <v>4</v>
      </c>
    </row>
    <row r="227" spans="1:3" x14ac:dyDescent="0.25">
      <c r="A227" s="106">
        <v>225</v>
      </c>
      <c r="B227" s="106">
        <v>364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16</v>
      </c>
      <c r="C230" s="106">
        <v>7</v>
      </c>
    </row>
    <row r="231" spans="1:3" x14ac:dyDescent="0.25">
      <c r="A231" s="106">
        <v>229</v>
      </c>
      <c r="B231" s="106">
        <v>37</v>
      </c>
      <c r="C231" s="106">
        <v>5</v>
      </c>
    </row>
    <row r="232" spans="1:3" x14ac:dyDescent="0.25">
      <c r="A232" s="106">
        <v>230</v>
      </c>
      <c r="B232" s="106">
        <v>8</v>
      </c>
      <c r="C232" s="106">
        <v>0</v>
      </c>
    </row>
    <row r="233" spans="1:3" x14ac:dyDescent="0.25">
      <c r="A233" s="106">
        <v>231</v>
      </c>
      <c r="B233" s="106">
        <v>2</v>
      </c>
      <c r="C233" s="106">
        <v>1</v>
      </c>
    </row>
    <row r="234" spans="1:3" x14ac:dyDescent="0.25">
      <c r="A234" s="106">
        <v>232</v>
      </c>
      <c r="B234" s="106">
        <v>2</v>
      </c>
      <c r="C234" s="106">
        <v>2</v>
      </c>
    </row>
    <row r="235" spans="1:3" x14ac:dyDescent="0.25">
      <c r="A235" s="106">
        <v>233</v>
      </c>
      <c r="B235" s="106">
        <v>20</v>
      </c>
      <c r="C235" s="106">
        <v>3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15</v>
      </c>
      <c r="C239" s="106">
        <v>12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28</v>
      </c>
      <c r="C244" s="106">
        <v>8</v>
      </c>
    </row>
    <row r="245" spans="1:3" x14ac:dyDescent="0.25">
      <c r="A245" s="106">
        <v>243</v>
      </c>
      <c r="B245" s="106">
        <v>14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19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20</v>
      </c>
      <c r="C249" s="106">
        <v>5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92</v>
      </c>
      <c r="C251" s="106">
        <v>16</v>
      </c>
    </row>
    <row r="252" spans="1:3" x14ac:dyDescent="0.25">
      <c r="A252" s="106">
        <v>250</v>
      </c>
      <c r="B252" s="106">
        <v>56</v>
      </c>
      <c r="C252" s="106">
        <v>9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5</v>
      </c>
    </row>
    <row r="255" spans="1:3" x14ac:dyDescent="0.25">
      <c r="A255" s="106">
        <v>253</v>
      </c>
      <c r="B255" s="106">
        <v>0</v>
      </c>
      <c r="C255" s="106">
        <v>0</v>
      </c>
    </row>
    <row r="256" spans="1:3" x14ac:dyDescent="0.25">
      <c r="A256" s="106">
        <v>254</v>
      </c>
      <c r="B256" s="106">
        <v>11</v>
      </c>
      <c r="C256" s="106">
        <v>8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31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1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41</v>
      </c>
      <c r="C269" s="106">
        <v>16</v>
      </c>
    </row>
    <row r="270" spans="1:3" x14ac:dyDescent="0.25">
      <c r="A270" s="106">
        <v>268</v>
      </c>
      <c r="B270" s="106">
        <v>259</v>
      </c>
      <c r="C270" s="106">
        <v>2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22</v>
      </c>
      <c r="C272" s="106">
        <v>2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34</v>
      </c>
      <c r="C274" s="106">
        <v>10</v>
      </c>
    </row>
    <row r="275" spans="1:3" x14ac:dyDescent="0.25">
      <c r="A275" s="106">
        <v>273</v>
      </c>
      <c r="B275" s="106">
        <v>40</v>
      </c>
      <c r="C275" s="106">
        <v>8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9</v>
      </c>
      <c r="C277" s="106">
        <v>1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5</v>
      </c>
      <c r="C280" s="106">
        <v>0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2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36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53</v>
      </c>
      <c r="C289" s="106">
        <v>20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14</v>
      </c>
      <c r="C291" s="106">
        <v>4</v>
      </c>
    </row>
    <row r="292" spans="1:3" x14ac:dyDescent="0.25">
      <c r="A292" s="106">
        <v>290</v>
      </c>
      <c r="B292" s="106">
        <v>33</v>
      </c>
      <c r="C292" s="106">
        <v>16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12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3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4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37</v>
      </c>
      <c r="C307" s="106">
        <v>3</v>
      </c>
    </row>
    <row r="308" spans="1:3" x14ac:dyDescent="0.25">
      <c r="A308" s="106">
        <v>306</v>
      </c>
      <c r="B308" s="106">
        <v>60</v>
      </c>
      <c r="C308" s="106">
        <v>4</v>
      </c>
    </row>
    <row r="309" spans="1:3" x14ac:dyDescent="0.25">
      <c r="A309" s="106">
        <v>307</v>
      </c>
      <c r="B309" s="106">
        <v>101</v>
      </c>
      <c r="C309" s="106">
        <v>1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2</v>
      </c>
      <c r="C313" s="106">
        <v>0</v>
      </c>
    </row>
    <row r="314" spans="1:3" x14ac:dyDescent="0.25">
      <c r="A314" s="106">
        <v>312</v>
      </c>
      <c r="B314" s="106">
        <v>11</v>
      </c>
      <c r="C314" s="106">
        <v>0</v>
      </c>
    </row>
    <row r="315" spans="1:3" x14ac:dyDescent="0.25">
      <c r="A315" s="106">
        <v>313</v>
      </c>
      <c r="B315" s="106">
        <v>2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12</v>
      </c>
      <c r="C317" s="106">
        <v>10</v>
      </c>
    </row>
    <row r="318" spans="1:3" x14ac:dyDescent="0.25">
      <c r="A318" s="106">
        <v>316</v>
      </c>
      <c r="B318" s="106">
        <v>45</v>
      </c>
      <c r="C318" s="106">
        <v>8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13</v>
      </c>
      <c r="C320" s="106">
        <v>4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12</v>
      </c>
      <c r="C326" s="106">
        <v>2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17</v>
      </c>
      <c r="C328" s="106">
        <v>8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29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113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25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0</v>
      </c>
      <c r="C349" s="106">
        <v>0</v>
      </c>
    </row>
    <row r="350" spans="1:3" x14ac:dyDescent="0.25">
      <c r="A350" s="106">
        <v>348</v>
      </c>
      <c r="B350" s="106">
        <v>2</v>
      </c>
      <c r="C350" s="106">
        <v>2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307</v>
      </c>
      <c r="C356" s="106">
        <v>1</v>
      </c>
    </row>
    <row r="357" spans="1:3" x14ac:dyDescent="0.25">
      <c r="A357" s="106">
        <v>355</v>
      </c>
      <c r="B357" s="106">
        <v>19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1</v>
      </c>
    </row>
    <row r="360" spans="1:3" x14ac:dyDescent="0.25">
      <c r="A360" s="106">
        <v>358</v>
      </c>
      <c r="B360" s="106">
        <v>24</v>
      </c>
      <c r="C360" s="106">
        <v>4</v>
      </c>
    </row>
    <row r="361" spans="1:3" x14ac:dyDescent="0.25">
      <c r="A361" s="106">
        <v>359</v>
      </c>
      <c r="B361" s="106">
        <v>12</v>
      </c>
      <c r="C361" s="106">
        <v>8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2017-12-02T10:37:03Z</dcterms:modified>
</cp:coreProperties>
</file>