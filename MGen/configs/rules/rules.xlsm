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Data!$A$1:$W$389</definedName>
  </definedNames>
  <calcPr calcId="162913" calcMode="manual"/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<sst xmlns="http://schemas.openxmlformats.org/spreadsheetml/2006/main" count="2604" uniqueCount="607">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</sst>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62" activePane="bottomLeft" state="frozen"/>
      <selection activeCell="C37" sqref="C37"/>
      <selection pane="bottomLeft" activeCell="M72" sqref="M72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7" t="s">
        <v>63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2" t="s">
        <v>40</v>
      </c>
      <c r="E2" s="123"/>
      <c r="F2" s="123"/>
      <c r="G2" s="123"/>
      <c r="H2" s="123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21" t="s">
        <v>39</v>
      </c>
      <c r="B3" s="116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21"/>
      <c r="B4" s="116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21"/>
      <c r="B5" s="116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21"/>
      <c r="B6" s="116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21"/>
      <c r="B7" s="116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21"/>
      <c r="B8" s="116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21"/>
      <c r="B9" s="116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21"/>
      <c r="B10" s="116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21"/>
      <c r="B11" s="116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21"/>
      <c r="B12" s="116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21"/>
      <c r="B13" s="116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21"/>
      <c r="B14" s="116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21"/>
      <c r="B15" s="116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21"/>
      <c r="B16" s="116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21"/>
      <c r="B17" s="116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21"/>
      <c r="B18" s="116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21"/>
      <c r="B19" s="116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21"/>
      <c r="B20" s="116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21"/>
      <c r="B21" s="116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21"/>
      <c r="B22" s="116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21"/>
      <c r="B23" s="116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21"/>
      <c r="B24" s="116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21"/>
      <c r="B25" s="116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21"/>
      <c r="B26" s="116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21"/>
      <c r="B27" s="116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21"/>
      <c r="B28" s="118" t="s">
        <v>14</v>
      </c>
      <c r="C28" s="34" t="s">
        <v>382</v>
      </c>
      <c r="D28" s="126" t="s">
        <v>139</v>
      </c>
      <c r="E28" s="127"/>
      <c r="F28" s="126" t="s">
        <v>172</v>
      </c>
      <c r="G28" s="127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21"/>
      <c r="B29" s="120"/>
      <c r="C29" s="34" t="s">
        <v>404</v>
      </c>
      <c r="D29" s="124" t="s">
        <v>383</v>
      </c>
      <c r="E29" s="125"/>
      <c r="F29" s="124" t="s">
        <v>386</v>
      </c>
      <c r="G29" s="12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21"/>
      <c r="B30" s="116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21"/>
      <c r="B31" s="116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21"/>
      <c r="B32" s="116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21"/>
      <c r="B33" s="116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21"/>
      <c r="B34" s="116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21"/>
      <c r="B35" s="116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21"/>
      <c r="B36" s="118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21"/>
      <c r="B37" s="119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21"/>
      <c r="B38" s="118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21"/>
      <c r="B39" s="119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21"/>
      <c r="B40" s="119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21"/>
      <c r="B41" s="119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21"/>
      <c r="B42" s="120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21"/>
      <c r="B43" s="116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21"/>
      <c r="B44" s="116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21"/>
      <c r="B45" s="116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21"/>
      <c r="B46" s="116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21"/>
      <c r="B47" s="116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21" t="s">
        <v>41</v>
      </c>
      <c r="B48" s="116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21"/>
      <c r="B49" s="116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21"/>
      <c r="B50" s="116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21"/>
      <c r="B51" s="116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21"/>
      <c r="B52" s="116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21"/>
      <c r="B53" s="116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21"/>
      <c r="B54" s="116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21"/>
      <c r="B55" s="116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21"/>
      <c r="B56" s="116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21"/>
      <c r="B57" s="116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21"/>
      <c r="B58" s="116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21"/>
      <c r="B59" s="116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6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6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6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6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6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6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6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6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6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6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6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6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6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6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6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6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6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6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6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6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6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6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6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6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6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6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6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6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6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6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6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6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6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18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19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19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19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19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0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6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6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6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6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6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6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6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6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6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9:B107"/>
    <mergeCell ref="B60:B67"/>
    <mergeCell ref="B55:B59"/>
    <mergeCell ref="B68:B92"/>
    <mergeCell ref="B1:M1"/>
    <mergeCell ref="B93:B98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84" activePane="bottomLeft" state="frozen"/>
      <selection pane="bottomLeft" activeCell="G332" sqref="G332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9" width="4.88671875" style="48" customWidth="1"/>
    <col min="10" max="10" width="5.5546875" style="48" customWidth="1"/>
    <col min="11" max="11" width="4.88671875" style="48" customWidth="1"/>
    <col min="12" max="12" width="4.77734375" style="48" bestFit="1" customWidth="1"/>
    <col min="13" max="13" width="3.77734375" style="48" bestFit="1" customWidth="1"/>
    <col min="14" max="14" width="4" style="48" bestFit="1" customWidth="1"/>
    <col min="15" max="15" width="4.109375" style="48" bestFit="1" customWidth="1"/>
    <col min="16" max="16" width="7" style="48" customWidth="1"/>
    <col min="17" max="18" width="4.88671875" style="48" bestFit="1" customWidth="1"/>
    <col min="19" max="19" width="5" style="52" customWidth="1"/>
    <col min="20" max="20" width="4.6640625" style="52" bestFit="1" customWidth="1"/>
    <col min="21" max="21" width="56.6640625" style="52" bestFit="1" customWidth="1"/>
    <col min="22" max="22" width="79.21875" style="52" customWidth="1"/>
    <col min="23" max="23" width="3.88671875" style="52" bestFit="1" customWidth="1"/>
    <col min="24" max="16384" width="8.88671875" style="52"/>
  </cols>
  <sheetData>
    <row r="1" spans="1:23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604</v>
      </c>
      <c r="H1" s="47" t="s">
        <v>605</v>
      </c>
      <c r="I1" s="47" t="s">
        <v>606</v>
      </c>
      <c r="J1" s="47" t="s">
        <v>548</v>
      </c>
      <c r="K1" s="47" t="s">
        <v>549</v>
      </c>
      <c r="L1" s="47" t="s">
        <v>286</v>
      </c>
      <c r="M1" s="47" t="s">
        <v>285</v>
      </c>
      <c r="N1" s="47" t="s">
        <v>287</v>
      </c>
      <c r="O1" s="47" t="s">
        <v>288</v>
      </c>
      <c r="P1" s="47" t="s">
        <v>267</v>
      </c>
      <c r="Q1" s="47" t="s">
        <v>289</v>
      </c>
      <c r="R1" s="47" t="s">
        <v>290</v>
      </c>
      <c r="S1" s="45" t="s">
        <v>26</v>
      </c>
      <c r="T1" s="45" t="s">
        <v>28</v>
      </c>
      <c r="U1" s="45" t="s">
        <v>84</v>
      </c>
      <c r="V1" s="45" t="s">
        <v>22</v>
      </c>
      <c r="W1" s="45" t="s">
        <v>27</v>
      </c>
    </row>
    <row r="2" spans="1:23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308</v>
      </c>
      <c r="G2" s="49"/>
      <c r="H2" s="49"/>
      <c r="I2" s="49"/>
      <c r="J2" s="106">
        <f>VLOOKUP($A2, Stat!$A$1:$C$501, 2,0)</f>
        <v>15</v>
      </c>
      <c r="K2" s="106">
        <f>VLOOKUP($A2, Stat!$A$1:$C$501, 3,0)</f>
        <v>1</v>
      </c>
      <c r="L2" s="48">
        <v>1</v>
      </c>
      <c r="P2" s="50"/>
      <c r="Q2" s="50"/>
      <c r="R2" s="50"/>
      <c r="S2" s="52">
        <v>0</v>
      </c>
      <c r="T2" s="52">
        <v>-1</v>
      </c>
      <c r="U2" s="52" t="s">
        <v>171</v>
      </c>
      <c r="W2" s="52">
        <v>1</v>
      </c>
    </row>
    <row r="3" spans="1:23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308</v>
      </c>
      <c r="G3" s="49"/>
      <c r="H3" s="49"/>
      <c r="I3" s="49"/>
      <c r="J3" s="106">
        <f>VLOOKUP($A3, Stat!$A$1:$C$501, 2,0)</f>
        <v>9</v>
      </c>
      <c r="K3" s="106">
        <f>VLOOKUP($A3, Stat!$A$1:$C$501, 3,0)</f>
        <v>2</v>
      </c>
      <c r="L3" s="48">
        <v>1</v>
      </c>
      <c r="P3" s="50"/>
      <c r="Q3" s="50"/>
      <c r="R3" s="50"/>
      <c r="S3" s="52">
        <v>0</v>
      </c>
      <c r="T3" s="52">
        <v>0</v>
      </c>
      <c r="U3" s="52" t="s">
        <v>592</v>
      </c>
      <c r="V3" s="52" t="s">
        <v>431</v>
      </c>
      <c r="W3" s="52">
        <v>1</v>
      </c>
    </row>
    <row r="4" spans="1:23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50"/>
      <c r="H4" s="50"/>
      <c r="I4" s="50"/>
      <c r="J4" s="106">
        <f>VLOOKUP($A4, Stat!$A$1:$C$501, 2,0)</f>
        <v>11</v>
      </c>
      <c r="K4" s="106">
        <f>VLOOKUP($A4, Stat!$A$1:$C$501, 3,0)</f>
        <v>0</v>
      </c>
      <c r="L4" s="109"/>
      <c r="O4" s="48">
        <v>1</v>
      </c>
      <c r="P4" s="49" t="s">
        <v>414</v>
      </c>
      <c r="Q4" s="50"/>
      <c r="R4" s="50"/>
      <c r="S4" s="52">
        <v>60</v>
      </c>
      <c r="T4" s="52">
        <v>0</v>
      </c>
      <c r="W4" s="52">
        <v>1</v>
      </c>
    </row>
    <row r="5" spans="1:23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50"/>
      <c r="H5" s="50"/>
      <c r="I5" s="50"/>
      <c r="J5" s="106">
        <f>VLOOKUP($A5, Stat!$A$1:$C$501, 2,0)</f>
        <v>22</v>
      </c>
      <c r="K5" s="106">
        <f>VLOOKUP($A5, Stat!$A$1:$C$501, 3,0)</f>
        <v>0</v>
      </c>
      <c r="L5" s="109"/>
      <c r="M5" s="48">
        <v>1</v>
      </c>
      <c r="N5" s="48">
        <v>999</v>
      </c>
      <c r="P5" s="50"/>
      <c r="Q5" s="50"/>
      <c r="R5" s="50"/>
      <c r="S5" s="52">
        <v>0</v>
      </c>
      <c r="T5" s="52">
        <v>0</v>
      </c>
      <c r="V5" s="52" t="s">
        <v>458</v>
      </c>
      <c r="W5" s="52">
        <v>1</v>
      </c>
    </row>
    <row r="6" spans="1:23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50"/>
      <c r="H6" s="50"/>
      <c r="I6" s="50"/>
      <c r="J6" s="106">
        <f>VLOOKUP($A6, Stat!$A$1:$C$501, 2,0)</f>
        <v>40</v>
      </c>
      <c r="K6" s="106">
        <f>VLOOKUP($A6, Stat!$A$1:$C$501, 3,0)</f>
        <v>0</v>
      </c>
      <c r="L6" s="109"/>
      <c r="M6" s="48">
        <v>1</v>
      </c>
      <c r="P6" s="50"/>
      <c r="Q6" s="50"/>
      <c r="R6" s="50"/>
      <c r="S6" s="52">
        <v>0</v>
      </c>
      <c r="T6" s="52">
        <v>0</v>
      </c>
      <c r="V6" s="52" t="s">
        <v>459</v>
      </c>
      <c r="W6" s="52">
        <v>1</v>
      </c>
    </row>
    <row r="7" spans="1:23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50"/>
      <c r="H7" s="50"/>
      <c r="I7" s="50"/>
      <c r="J7" s="106">
        <f>VLOOKUP($A7, Stat!$A$1:$C$501, 2,0)</f>
        <v>85</v>
      </c>
      <c r="K7" s="106">
        <f>VLOOKUP($A7, Stat!$A$1:$C$501, 3,0)</f>
        <v>26</v>
      </c>
      <c r="L7" s="48">
        <v>1</v>
      </c>
      <c r="P7" s="50"/>
      <c r="Q7" s="50"/>
      <c r="R7" s="50"/>
      <c r="S7" s="52">
        <v>60</v>
      </c>
      <c r="T7" s="52">
        <v>0</v>
      </c>
      <c r="W7" s="52">
        <v>1</v>
      </c>
    </row>
    <row r="8" spans="1:23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50"/>
      <c r="H8" s="50"/>
      <c r="I8" s="50"/>
      <c r="J8" s="106">
        <f>VLOOKUP($A8, Stat!$A$1:$C$501, 2,0)</f>
        <v>1</v>
      </c>
      <c r="K8" s="106">
        <f>VLOOKUP($A8, Stat!$A$1:$C$501, 3,0)</f>
        <v>1</v>
      </c>
      <c r="L8" s="109"/>
      <c r="P8" s="50"/>
      <c r="Q8" s="50"/>
      <c r="R8" s="50"/>
      <c r="S8" s="52">
        <v>70</v>
      </c>
      <c r="T8" s="52">
        <v>0</v>
      </c>
      <c r="W8" s="52">
        <v>1</v>
      </c>
    </row>
    <row r="9" spans="1:23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308</v>
      </c>
      <c r="G9" s="49"/>
      <c r="H9" s="49"/>
      <c r="I9" s="49"/>
      <c r="J9" s="106">
        <f>VLOOKUP($A9, Stat!$A$1:$C$501, 2,0)</f>
        <v>482</v>
      </c>
      <c r="K9" s="106">
        <f>VLOOKUP($A9, Stat!$A$1:$C$501, 3,0)</f>
        <v>1</v>
      </c>
      <c r="L9" s="109"/>
      <c r="P9" s="50"/>
      <c r="Q9" s="50"/>
      <c r="R9" s="50"/>
      <c r="S9" s="52">
        <v>0</v>
      </c>
      <c r="T9" s="52">
        <v>-1</v>
      </c>
      <c r="W9" s="52">
        <v>1</v>
      </c>
    </row>
    <row r="10" spans="1:23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50"/>
      <c r="H10" s="50"/>
      <c r="I10" s="50"/>
      <c r="J10" s="106">
        <f>VLOOKUP($A10, Stat!$A$1:$C$501, 2,0)</f>
        <v>130</v>
      </c>
      <c r="K10" s="106">
        <f>VLOOKUP($A10, Stat!$A$1:$C$501, 3,0)</f>
        <v>45</v>
      </c>
      <c r="L10" s="48">
        <v>1</v>
      </c>
      <c r="N10" s="48">
        <v>999</v>
      </c>
      <c r="P10" s="50"/>
      <c r="Q10" s="50"/>
      <c r="R10" s="50"/>
      <c r="S10" s="52">
        <v>60</v>
      </c>
      <c r="T10" s="52">
        <v>0</v>
      </c>
      <c r="V10" s="52" t="s">
        <v>428</v>
      </c>
      <c r="W10" s="52">
        <v>1</v>
      </c>
    </row>
    <row r="11" spans="1:23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50"/>
      <c r="H11" s="50"/>
      <c r="I11" s="50"/>
      <c r="J11" s="106">
        <f>VLOOKUP($A11, Stat!$A$1:$C$501, 2,0)</f>
        <v>39</v>
      </c>
      <c r="K11" s="106">
        <f>VLOOKUP($A11, Stat!$A$1:$C$501, 3,0)</f>
        <v>1</v>
      </c>
      <c r="M11" s="48">
        <v>1</v>
      </c>
      <c r="P11" s="50"/>
      <c r="Q11" s="50"/>
      <c r="R11" s="50"/>
      <c r="S11" s="52">
        <v>0</v>
      </c>
      <c r="T11" s="52">
        <v>-1</v>
      </c>
      <c r="U11" s="52" t="s">
        <v>78</v>
      </c>
      <c r="V11" s="52" t="s">
        <v>439</v>
      </c>
      <c r="W11" s="52">
        <v>1</v>
      </c>
    </row>
    <row r="12" spans="1:23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50"/>
      <c r="H12" s="50"/>
      <c r="I12" s="50"/>
      <c r="J12" s="106">
        <f>VLOOKUP($A12, Stat!$A$1:$C$501, 2,0)</f>
        <v>124</v>
      </c>
      <c r="K12" s="106">
        <f>VLOOKUP($A12, Stat!$A$1:$C$501, 3,0)</f>
        <v>2</v>
      </c>
      <c r="O12" s="48">
        <v>1</v>
      </c>
      <c r="P12" s="50"/>
      <c r="Q12" s="50"/>
      <c r="R12" s="50"/>
      <c r="S12" s="52">
        <v>70</v>
      </c>
      <c r="T12" s="52">
        <v>0</v>
      </c>
      <c r="V12" s="52" t="s">
        <v>230</v>
      </c>
      <c r="W12" s="52">
        <v>1</v>
      </c>
    </row>
    <row r="13" spans="1:23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50"/>
      <c r="H13" s="50"/>
      <c r="I13" s="50"/>
      <c r="J13" s="106">
        <f>VLOOKUP($A13, Stat!$A$1:$C$501, 2,0)</f>
        <v>105</v>
      </c>
      <c r="K13" s="106">
        <f>VLOOKUP($A13, Stat!$A$1:$C$501, 3,0)</f>
        <v>41</v>
      </c>
      <c r="L13" s="48">
        <v>1</v>
      </c>
      <c r="P13" s="49" t="s">
        <v>269</v>
      </c>
      <c r="Q13" s="50"/>
      <c r="R13" s="50"/>
      <c r="S13" s="52">
        <v>100</v>
      </c>
      <c r="T13" s="52">
        <v>0</v>
      </c>
      <c r="V13" s="52" t="s">
        <v>389</v>
      </c>
      <c r="W13" s="52">
        <v>1</v>
      </c>
    </row>
    <row r="14" spans="1:23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50"/>
      <c r="H14" s="50"/>
      <c r="I14" s="50"/>
      <c r="J14" s="106">
        <f>VLOOKUP($A14, Stat!$A$1:$C$501, 2,0)</f>
        <v>58</v>
      </c>
      <c r="K14" s="106">
        <f>VLOOKUP($A14, Stat!$A$1:$C$501, 3,0)</f>
        <v>10</v>
      </c>
      <c r="L14" s="48">
        <v>1</v>
      </c>
      <c r="P14" s="50"/>
      <c r="Q14" s="50"/>
      <c r="R14" s="50"/>
      <c r="S14" s="52">
        <v>30</v>
      </c>
      <c r="T14" s="52">
        <v>0</v>
      </c>
      <c r="U14" s="52" t="s">
        <v>549</v>
      </c>
      <c r="W14" s="52">
        <v>1</v>
      </c>
    </row>
    <row r="15" spans="1:23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50"/>
      <c r="H15" s="50"/>
      <c r="I15" s="50"/>
      <c r="J15" s="106">
        <f>VLOOKUP($A15, Stat!$A$1:$C$501, 2,0)</f>
        <v>182</v>
      </c>
      <c r="K15" s="106">
        <f>VLOOKUP($A15, Stat!$A$1:$C$501, 3,0)</f>
        <v>26</v>
      </c>
      <c r="L15" s="48">
        <v>1</v>
      </c>
      <c r="P15" s="50"/>
      <c r="Q15" s="50"/>
      <c r="R15" s="50"/>
      <c r="S15" s="52">
        <v>0</v>
      </c>
      <c r="T15" s="52">
        <v>-1</v>
      </c>
      <c r="U15" s="52" t="s">
        <v>549</v>
      </c>
      <c r="W15" s="52">
        <v>1</v>
      </c>
    </row>
    <row r="16" spans="1:23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49"/>
      <c r="H16" s="49"/>
      <c r="I16" s="49"/>
      <c r="J16" s="106">
        <f>VLOOKUP($A16, Stat!$A$1:$C$501, 2,0)</f>
        <v>99</v>
      </c>
      <c r="K16" s="106">
        <f>VLOOKUP($A16, Stat!$A$1:$C$501, 3,0)</f>
        <v>2</v>
      </c>
      <c r="M16" s="48">
        <v>1</v>
      </c>
      <c r="O16" s="48">
        <v>1</v>
      </c>
      <c r="P16" s="50"/>
      <c r="Q16" s="49"/>
      <c r="R16" s="49"/>
      <c r="S16" s="52">
        <v>0</v>
      </c>
      <c r="T16" s="52">
        <v>0</v>
      </c>
      <c r="V16" s="52" t="s">
        <v>499</v>
      </c>
      <c r="W16" s="52">
        <v>1</v>
      </c>
    </row>
    <row r="17" spans="1:23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49"/>
      <c r="H17" s="49"/>
      <c r="I17" s="49"/>
      <c r="J17" s="106">
        <f>VLOOKUP($A17, Stat!$A$1:$C$501, 2,0)</f>
        <v>46</v>
      </c>
      <c r="K17" s="106">
        <f>VLOOKUP($A17, Stat!$A$1:$C$501, 3,0)</f>
        <v>1</v>
      </c>
      <c r="M17" s="48">
        <v>1</v>
      </c>
      <c r="P17" s="50"/>
      <c r="Q17" s="49"/>
      <c r="R17" s="49"/>
      <c r="S17" s="52">
        <v>0</v>
      </c>
      <c r="T17" s="52">
        <v>0</v>
      </c>
      <c r="V17" s="52" t="s">
        <v>499</v>
      </c>
      <c r="W17" s="52">
        <v>1</v>
      </c>
    </row>
    <row r="18" spans="1:23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49"/>
      <c r="H18" s="49"/>
      <c r="I18" s="49"/>
      <c r="J18" s="106">
        <f>VLOOKUP($A18, Stat!$A$1:$C$501, 2,0)</f>
        <v>40</v>
      </c>
      <c r="K18" s="106">
        <f>VLOOKUP($A18, Stat!$A$1:$C$501, 3,0)</f>
        <v>1</v>
      </c>
      <c r="M18" s="48">
        <v>1</v>
      </c>
      <c r="P18" s="49"/>
      <c r="Q18" s="50"/>
      <c r="R18" s="49" t="s">
        <v>266</v>
      </c>
      <c r="S18" s="52">
        <v>20</v>
      </c>
      <c r="T18" s="52">
        <v>0</v>
      </c>
      <c r="W18" s="52">
        <v>1</v>
      </c>
    </row>
    <row r="19" spans="1:23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50"/>
      <c r="H19" s="50"/>
      <c r="I19" s="50"/>
      <c r="J19" s="106">
        <f>VLOOKUP($A19, Stat!$A$1:$C$501, 2,0)</f>
        <v>7</v>
      </c>
      <c r="K19" s="106">
        <f>VLOOKUP($A19, Stat!$A$1:$C$501, 3,0)</f>
        <v>2</v>
      </c>
      <c r="L19" s="107"/>
      <c r="P19" s="50"/>
      <c r="Q19" s="50"/>
      <c r="R19" s="50"/>
      <c r="S19" s="52">
        <v>0</v>
      </c>
      <c r="T19" s="52">
        <v>0</v>
      </c>
      <c r="U19" s="52" t="s">
        <v>552</v>
      </c>
      <c r="W19" s="52">
        <v>1</v>
      </c>
    </row>
    <row r="20" spans="1:23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50"/>
      <c r="H20" s="50"/>
      <c r="I20" s="50"/>
      <c r="J20" s="106">
        <f>VLOOKUP($A20, Stat!$A$1:$C$501, 2,0)</f>
        <v>24</v>
      </c>
      <c r="K20" s="106">
        <f>VLOOKUP($A20, Stat!$A$1:$C$501, 3,0)</f>
        <v>16</v>
      </c>
      <c r="L20" s="48">
        <v>1</v>
      </c>
      <c r="P20" s="49" t="s">
        <v>432</v>
      </c>
      <c r="Q20" s="50"/>
      <c r="R20" s="50"/>
      <c r="S20" s="52">
        <v>60</v>
      </c>
      <c r="T20" s="52">
        <v>0</v>
      </c>
      <c r="U20" s="52" t="s">
        <v>552</v>
      </c>
      <c r="W20" s="52">
        <v>1</v>
      </c>
    </row>
    <row r="21" spans="1:23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49"/>
      <c r="H21" s="49"/>
      <c r="I21" s="49"/>
      <c r="J21" s="106">
        <f>VLOOKUP($A21, Stat!$A$1:$C$501, 2,0)</f>
        <v>118</v>
      </c>
      <c r="K21" s="106">
        <f>VLOOKUP($A21, Stat!$A$1:$C$501, 3,0)</f>
        <v>1</v>
      </c>
      <c r="M21" s="48">
        <v>1</v>
      </c>
      <c r="P21" s="49"/>
      <c r="Q21" s="50"/>
      <c r="R21" s="49" t="s">
        <v>266</v>
      </c>
      <c r="S21" s="52">
        <v>20</v>
      </c>
      <c r="T21" s="52">
        <v>0</v>
      </c>
      <c r="W21" s="52">
        <v>1</v>
      </c>
    </row>
    <row r="22" spans="1:23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50"/>
      <c r="H22" s="50"/>
      <c r="I22" s="50"/>
      <c r="J22" s="106">
        <f>VLOOKUP($A22, Stat!$A$1:$C$501, 2,0)</f>
        <v>197</v>
      </c>
      <c r="K22" s="106">
        <f>VLOOKUP($A22, Stat!$A$1:$C$501, 3,0)</f>
        <v>1</v>
      </c>
      <c r="L22" s="109"/>
      <c r="O22" s="48">
        <v>1</v>
      </c>
      <c r="P22" s="50"/>
      <c r="Q22" s="50"/>
      <c r="R22" s="50"/>
      <c r="S22" s="52">
        <v>60</v>
      </c>
      <c r="T22" s="52">
        <v>-1</v>
      </c>
      <c r="V22" s="52" t="s">
        <v>381</v>
      </c>
      <c r="W22" s="52">
        <v>1</v>
      </c>
    </row>
    <row r="23" spans="1:23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308</v>
      </c>
      <c r="G23" s="49"/>
      <c r="H23" s="49"/>
      <c r="I23" s="49"/>
      <c r="J23" s="106">
        <f>VLOOKUP($A23, Stat!$A$1:$C$501, 2,0)</f>
        <v>24</v>
      </c>
      <c r="K23" s="106">
        <f>VLOOKUP($A23, Stat!$A$1:$C$501, 3,0)</f>
        <v>12</v>
      </c>
      <c r="L23" s="48">
        <v>1</v>
      </c>
      <c r="P23" s="50"/>
      <c r="Q23" s="50"/>
      <c r="R23" s="50"/>
      <c r="S23" s="52">
        <v>30</v>
      </c>
      <c r="T23" s="52">
        <v>-1</v>
      </c>
      <c r="W23" s="52">
        <v>1</v>
      </c>
    </row>
    <row r="24" spans="1:23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49"/>
      <c r="H24" s="49"/>
      <c r="I24" s="49"/>
      <c r="J24" s="106">
        <f>VLOOKUP($A24, Stat!$A$1:$C$501, 2,0)</f>
        <v>19</v>
      </c>
      <c r="K24" s="106">
        <f>VLOOKUP($A24, Stat!$A$1:$C$501, 3,0)</f>
        <v>1</v>
      </c>
      <c r="L24" s="108"/>
      <c r="P24" s="49"/>
      <c r="Q24" s="50"/>
      <c r="R24" s="49" t="s">
        <v>266</v>
      </c>
      <c r="S24" s="52">
        <v>20</v>
      </c>
      <c r="T24" s="52">
        <v>0</v>
      </c>
      <c r="W24" s="52">
        <v>1</v>
      </c>
    </row>
    <row r="25" spans="1:23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50"/>
      <c r="H25" s="50"/>
      <c r="I25" s="50"/>
      <c r="J25" s="106">
        <f>VLOOKUP($A25, Stat!$A$1:$C$501, 2,0)</f>
        <v>50</v>
      </c>
      <c r="K25" s="106">
        <f>VLOOKUP($A25, Stat!$A$1:$C$501, 3,0)</f>
        <v>7</v>
      </c>
      <c r="L25" s="48">
        <v>1</v>
      </c>
      <c r="P25" s="50"/>
      <c r="Q25" s="50"/>
      <c r="R25" s="50"/>
      <c r="S25" s="52">
        <v>60</v>
      </c>
      <c r="T25" s="52">
        <v>0</v>
      </c>
      <c r="W25" s="52">
        <v>1</v>
      </c>
    </row>
    <row r="26" spans="1:23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50"/>
      <c r="H26" s="50"/>
      <c r="I26" s="50"/>
      <c r="J26" s="106">
        <f>VLOOKUP($A26, Stat!$A$1:$C$501, 2,0)</f>
        <v>26</v>
      </c>
      <c r="K26" s="106">
        <f>VLOOKUP($A26, Stat!$A$1:$C$501, 3,0)</f>
        <v>0</v>
      </c>
      <c r="L26" s="109"/>
      <c r="O26" s="48">
        <v>1</v>
      </c>
      <c r="P26" s="49" t="s">
        <v>415</v>
      </c>
      <c r="Q26" s="50"/>
      <c r="R26" s="50"/>
      <c r="S26" s="52">
        <v>60</v>
      </c>
      <c r="T26" s="52">
        <v>0</v>
      </c>
      <c r="V26" s="52" t="s">
        <v>226</v>
      </c>
      <c r="W26" s="52">
        <v>1</v>
      </c>
    </row>
    <row r="27" spans="1:23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50"/>
      <c r="H27" s="50"/>
      <c r="I27" s="50"/>
      <c r="J27" s="106">
        <f>VLOOKUP($A27, Stat!$A$1:$C$501, 2,0)</f>
        <v>31</v>
      </c>
      <c r="K27" s="106">
        <f>VLOOKUP($A27, Stat!$A$1:$C$501, 3,0)</f>
        <v>1</v>
      </c>
      <c r="L27" s="109"/>
      <c r="O27" s="48">
        <v>1</v>
      </c>
      <c r="P27" s="50"/>
      <c r="Q27" s="50"/>
      <c r="R27" s="50"/>
      <c r="S27" s="52">
        <v>60</v>
      </c>
      <c r="T27" s="52">
        <v>-1</v>
      </c>
      <c r="V27" s="52" t="s">
        <v>227</v>
      </c>
      <c r="W27" s="52">
        <v>1</v>
      </c>
    </row>
    <row r="28" spans="1:23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308</v>
      </c>
      <c r="G28" s="49"/>
      <c r="H28" s="49"/>
      <c r="I28" s="49"/>
      <c r="J28" s="106">
        <f>VLOOKUP($A28, Stat!$A$1:$C$501, 2,0)</f>
        <v>61</v>
      </c>
      <c r="K28" s="106">
        <f>VLOOKUP($A28, Stat!$A$1:$C$501, 3,0)</f>
        <v>1</v>
      </c>
      <c r="P28" s="50"/>
      <c r="Q28" s="50"/>
      <c r="R28" s="50"/>
      <c r="S28" s="52">
        <v>100</v>
      </c>
      <c r="T28" s="52">
        <v>0</v>
      </c>
      <c r="W28" s="52">
        <v>1</v>
      </c>
    </row>
    <row r="29" spans="1:23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50"/>
      <c r="H29" s="50"/>
      <c r="I29" s="50"/>
      <c r="J29" s="106">
        <f>VLOOKUP($A29, Stat!$A$1:$C$501, 2,0)</f>
        <v>13</v>
      </c>
      <c r="K29" s="106">
        <f>VLOOKUP($A29, Stat!$A$1:$C$501, 3,0)</f>
        <v>3</v>
      </c>
      <c r="L29" s="48">
        <v>1</v>
      </c>
      <c r="P29" s="50"/>
      <c r="Q29" s="50"/>
      <c r="R29" s="50"/>
      <c r="S29" s="52">
        <v>0</v>
      </c>
      <c r="T29" s="52">
        <v>-1</v>
      </c>
      <c r="W29" s="52">
        <v>1</v>
      </c>
    </row>
    <row r="30" spans="1:23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50"/>
      <c r="H30" s="50"/>
      <c r="I30" s="50"/>
      <c r="J30" s="106">
        <f>VLOOKUP($A30, Stat!$A$1:$C$501, 2,0)</f>
        <v>324</v>
      </c>
      <c r="K30" s="106">
        <f>VLOOKUP($A30, Stat!$A$1:$C$501, 3,0)</f>
        <v>0</v>
      </c>
      <c r="L30" s="109"/>
      <c r="P30" s="50"/>
      <c r="Q30" s="50"/>
      <c r="R30" s="50"/>
      <c r="S30" s="52">
        <v>0</v>
      </c>
      <c r="T30" s="52">
        <v>-1</v>
      </c>
      <c r="W30" s="52">
        <v>1</v>
      </c>
    </row>
    <row r="31" spans="1:23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50"/>
      <c r="H31" s="50"/>
      <c r="I31" s="50"/>
      <c r="J31" s="108">
        <f>VLOOKUP($A31, Stat!$A$1:$C$501, 2,0)</f>
        <v>0</v>
      </c>
      <c r="K31" s="108">
        <f>VLOOKUP($A31, Stat!$A$1:$C$501, 3,0)</f>
        <v>0</v>
      </c>
      <c r="L31" s="48">
        <v>1</v>
      </c>
      <c r="P31" s="50"/>
      <c r="Q31" s="50"/>
      <c r="S31" s="52">
        <v>100</v>
      </c>
      <c r="T31" s="52">
        <v>0</v>
      </c>
      <c r="W31" s="52">
        <v>1</v>
      </c>
    </row>
    <row r="32" spans="1:23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308</v>
      </c>
      <c r="G32" s="49"/>
      <c r="H32" s="49"/>
      <c r="I32" s="49"/>
      <c r="J32" s="106">
        <f>VLOOKUP($A32, Stat!$A$1:$C$501, 2,0)</f>
        <v>30</v>
      </c>
      <c r="K32" s="106">
        <f>VLOOKUP($A32, Stat!$A$1:$C$501, 3,0)</f>
        <v>3</v>
      </c>
      <c r="L32" s="107"/>
      <c r="P32" s="49" t="s">
        <v>310</v>
      </c>
      <c r="Q32" s="50"/>
      <c r="R32" s="50"/>
      <c r="S32" s="52">
        <v>60</v>
      </c>
      <c r="T32" s="52">
        <v>0</v>
      </c>
      <c r="U32" s="52" t="s">
        <v>592</v>
      </c>
      <c r="W32" s="52">
        <v>1</v>
      </c>
    </row>
    <row r="33" spans="1:23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308</v>
      </c>
      <c r="G33" s="49"/>
      <c r="H33" s="49"/>
      <c r="I33" s="49"/>
      <c r="J33" s="106">
        <f>VLOOKUP($A33, Stat!$A$1:$C$501, 2,0)</f>
        <v>18</v>
      </c>
      <c r="K33" s="106">
        <f>VLOOKUP($A33, Stat!$A$1:$C$501, 3,0)</f>
        <v>5</v>
      </c>
      <c r="L33" s="48">
        <v>1</v>
      </c>
      <c r="P33" s="50"/>
      <c r="Q33" s="50"/>
      <c r="R33" s="50"/>
      <c r="S33" s="52">
        <v>100</v>
      </c>
      <c r="T33" s="52">
        <v>0</v>
      </c>
      <c r="U33" s="52" t="s">
        <v>592</v>
      </c>
      <c r="V33" s="52" t="s">
        <v>561</v>
      </c>
      <c r="W33" s="52">
        <v>1</v>
      </c>
    </row>
    <row r="34" spans="1:23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50"/>
      <c r="H34" s="50"/>
      <c r="I34" s="50"/>
      <c r="J34" s="106">
        <f>VLOOKUP($A34, Stat!$A$1:$C$501, 2,0)</f>
        <v>50</v>
      </c>
      <c r="K34" s="106">
        <f>VLOOKUP($A34, Stat!$A$1:$C$501, 3,0)</f>
        <v>5</v>
      </c>
      <c r="L34" s="48">
        <v>1</v>
      </c>
      <c r="P34" s="50"/>
      <c r="Q34" s="50"/>
      <c r="R34" s="50"/>
      <c r="S34" s="52">
        <v>100</v>
      </c>
      <c r="T34" s="52">
        <v>0</v>
      </c>
      <c r="U34" s="52" t="s">
        <v>549</v>
      </c>
      <c r="W34" s="52">
        <v>1</v>
      </c>
    </row>
    <row r="35" spans="1:23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50"/>
      <c r="H35" s="50"/>
      <c r="I35" s="50"/>
      <c r="J35" s="106">
        <f>VLOOKUP($A35, Stat!$A$1:$C$501, 2,0)</f>
        <v>43</v>
      </c>
      <c r="K35" s="106">
        <f>VLOOKUP($A35, Stat!$A$1:$C$501, 3,0)</f>
        <v>5</v>
      </c>
      <c r="L35" s="48">
        <v>1</v>
      </c>
      <c r="P35" s="50"/>
      <c r="Q35" s="50"/>
      <c r="R35" s="50"/>
      <c r="S35" s="52">
        <v>0</v>
      </c>
      <c r="T35" s="52">
        <v>-1</v>
      </c>
      <c r="U35" s="52" t="s">
        <v>549</v>
      </c>
      <c r="W35" s="52">
        <v>1</v>
      </c>
    </row>
    <row r="36" spans="1:23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50"/>
      <c r="H36" s="50"/>
      <c r="I36" s="50"/>
      <c r="J36" s="106">
        <f>VLOOKUP($A36, Stat!$A$1:$C$501, 2,0)</f>
        <v>167</v>
      </c>
      <c r="K36" s="106">
        <f>VLOOKUP($A36, Stat!$A$1:$C$501, 3,0)</f>
        <v>0</v>
      </c>
      <c r="L36" s="109"/>
      <c r="N36" s="48">
        <v>999</v>
      </c>
      <c r="P36" s="50"/>
      <c r="Q36" s="50"/>
      <c r="R36" s="50"/>
      <c r="S36" s="52">
        <v>0</v>
      </c>
      <c r="T36" s="52">
        <v>-1</v>
      </c>
      <c r="W36" s="52">
        <v>1</v>
      </c>
    </row>
    <row r="37" spans="1:23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50"/>
      <c r="H37" s="50"/>
      <c r="I37" s="50"/>
      <c r="J37" s="106">
        <f>VLOOKUP($A37, Stat!$A$1:$C$501, 2,0)</f>
        <v>45</v>
      </c>
      <c r="K37" s="106">
        <f>VLOOKUP($A37, Stat!$A$1:$C$501, 3,0)</f>
        <v>1</v>
      </c>
      <c r="M37" s="48">
        <v>1</v>
      </c>
      <c r="P37" s="50"/>
      <c r="Q37" s="50"/>
      <c r="R37" s="50"/>
      <c r="S37" s="52">
        <v>60</v>
      </c>
      <c r="T37" s="52">
        <v>0</v>
      </c>
      <c r="V37" s="52" t="s">
        <v>228</v>
      </c>
      <c r="W37" s="52">
        <v>1</v>
      </c>
    </row>
    <row r="38" spans="1:23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50"/>
      <c r="H38" s="50"/>
      <c r="I38" s="50"/>
      <c r="J38" s="106">
        <f>VLOOKUP($A38, Stat!$A$1:$C$501, 2,0)</f>
        <v>28</v>
      </c>
      <c r="K38" s="106">
        <f>VLOOKUP($A38, Stat!$A$1:$C$501, 3,0)</f>
        <v>1</v>
      </c>
      <c r="P38" s="50"/>
      <c r="Q38" s="50"/>
      <c r="R38" s="50"/>
      <c r="S38" s="52">
        <v>70</v>
      </c>
      <c r="T38" s="52">
        <v>0</v>
      </c>
      <c r="W38" s="52">
        <v>1</v>
      </c>
    </row>
    <row r="39" spans="1:23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50"/>
      <c r="H39" s="50"/>
      <c r="I39" s="50"/>
      <c r="J39" s="106">
        <f>VLOOKUP($A39, Stat!$A$1:$C$501, 2,0)</f>
        <v>167</v>
      </c>
      <c r="K39" s="106">
        <f>VLOOKUP($A39, Stat!$A$1:$C$501, 3,0)</f>
        <v>3</v>
      </c>
      <c r="L39" s="109"/>
      <c r="P39" s="50"/>
      <c r="Q39" s="50"/>
      <c r="R39" s="50"/>
      <c r="S39" s="52">
        <v>0</v>
      </c>
      <c r="T39" s="52">
        <v>0</v>
      </c>
      <c r="V39" s="52" t="s">
        <v>417</v>
      </c>
      <c r="W39" s="52">
        <v>1</v>
      </c>
    </row>
    <row r="40" spans="1:23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50"/>
      <c r="H40" s="50"/>
      <c r="I40" s="50"/>
      <c r="J40" s="106">
        <f>VLOOKUP($A40, Stat!$A$1:$C$501, 2,0)</f>
        <v>21</v>
      </c>
      <c r="K40" s="106">
        <f>VLOOKUP($A40, Stat!$A$1:$C$501, 3,0)</f>
        <v>0</v>
      </c>
      <c r="L40" s="109"/>
      <c r="P40" s="50"/>
      <c r="Q40" s="50"/>
      <c r="R40" s="50"/>
      <c r="S40" s="52">
        <v>60</v>
      </c>
      <c r="T40" s="52">
        <v>0</v>
      </c>
      <c r="U40" s="52" t="s">
        <v>78</v>
      </c>
      <c r="W40" s="52">
        <v>1</v>
      </c>
    </row>
    <row r="41" spans="1:23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J41" s="106">
        <f>VLOOKUP($A41, Stat!$A$1:$C$501, 2,0)</f>
        <v>36</v>
      </c>
      <c r="K41" s="106">
        <f>VLOOKUP($A41, Stat!$A$1:$C$501, 3,0)</f>
        <v>2</v>
      </c>
      <c r="S41" s="52">
        <v>70</v>
      </c>
      <c r="T41" s="52">
        <v>0</v>
      </c>
      <c r="V41" s="52" t="s">
        <v>542</v>
      </c>
      <c r="W41" s="52">
        <v>1</v>
      </c>
    </row>
    <row r="42" spans="1:23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J42" s="106">
        <f>VLOOKUP($A42, Stat!$A$1:$C$501, 2,0)</f>
        <v>15</v>
      </c>
      <c r="K42" s="106">
        <f>VLOOKUP($A42, Stat!$A$1:$C$501, 3,0)</f>
        <v>12</v>
      </c>
      <c r="L42" s="48">
        <v>1</v>
      </c>
      <c r="S42" s="52">
        <v>60</v>
      </c>
      <c r="T42" s="52">
        <v>0</v>
      </c>
      <c r="V42" s="52" t="s">
        <v>544</v>
      </c>
      <c r="W42" s="52">
        <v>1</v>
      </c>
    </row>
    <row r="43" spans="1:23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308</v>
      </c>
      <c r="G43" s="49"/>
      <c r="H43" s="49"/>
      <c r="I43" s="49"/>
      <c r="J43" s="106">
        <f>VLOOKUP($A43, Stat!$A$1:$C$501, 2,0)</f>
        <v>195</v>
      </c>
      <c r="K43" s="106">
        <f>VLOOKUP($A43, Stat!$A$1:$C$501, 3,0)</f>
        <v>0</v>
      </c>
      <c r="L43" s="109"/>
      <c r="N43" s="48">
        <v>999</v>
      </c>
      <c r="P43" s="50"/>
      <c r="Q43" s="50"/>
      <c r="R43" s="50"/>
      <c r="S43" s="52">
        <v>0</v>
      </c>
      <c r="T43" s="52">
        <v>-1</v>
      </c>
      <c r="U43" s="52" t="s">
        <v>88</v>
      </c>
      <c r="W43" s="52">
        <v>1</v>
      </c>
    </row>
    <row r="44" spans="1:23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308</v>
      </c>
      <c r="G44" s="49"/>
      <c r="H44" s="49"/>
      <c r="I44" s="49"/>
      <c r="J44" s="106">
        <f>VLOOKUP($A44, Stat!$A$1:$C$501, 2,0)</f>
        <v>80</v>
      </c>
      <c r="K44" s="106">
        <f>VLOOKUP($A44, Stat!$A$1:$C$501, 3,0)</f>
        <v>0</v>
      </c>
      <c r="L44" s="108"/>
      <c r="N44" s="48">
        <v>999</v>
      </c>
      <c r="P44" s="50"/>
      <c r="Q44" s="50"/>
      <c r="R44" s="50"/>
      <c r="S44" s="52">
        <v>0</v>
      </c>
      <c r="T44" s="52">
        <v>-1</v>
      </c>
      <c r="U44" s="52" t="s">
        <v>88</v>
      </c>
      <c r="W44" s="52">
        <v>1</v>
      </c>
    </row>
    <row r="45" spans="1:23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308</v>
      </c>
      <c r="G45" s="49"/>
      <c r="H45" s="49"/>
      <c r="I45" s="49"/>
      <c r="J45" s="106">
        <f>VLOOKUP($A45, Stat!$A$1:$C$501, 2,0)</f>
        <v>66</v>
      </c>
      <c r="K45" s="106">
        <f>VLOOKUP($A45, Stat!$A$1:$C$501, 3,0)</f>
        <v>0</v>
      </c>
      <c r="L45" s="108"/>
      <c r="N45" s="48">
        <v>999</v>
      </c>
      <c r="P45" s="50"/>
      <c r="Q45" s="50"/>
      <c r="R45" s="50"/>
      <c r="S45" s="52">
        <v>40</v>
      </c>
      <c r="T45" s="52">
        <v>-1</v>
      </c>
      <c r="U45" s="52" t="s">
        <v>88</v>
      </c>
      <c r="W45" s="52">
        <v>1</v>
      </c>
    </row>
    <row r="46" spans="1:23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308</v>
      </c>
      <c r="G46" s="49"/>
      <c r="H46" s="49"/>
      <c r="I46" s="49"/>
      <c r="J46" s="106">
        <f>VLOOKUP($A46, Stat!$A$1:$C$501, 2,0)</f>
        <v>8</v>
      </c>
      <c r="K46" s="106">
        <f>VLOOKUP($A46, Stat!$A$1:$C$501, 3,0)</f>
        <v>0</v>
      </c>
      <c r="L46" s="108"/>
      <c r="N46" s="48">
        <v>999</v>
      </c>
      <c r="P46" s="50"/>
      <c r="Q46" s="50"/>
      <c r="R46" s="50"/>
      <c r="S46" s="52">
        <v>60</v>
      </c>
      <c r="T46" s="52">
        <v>1</v>
      </c>
      <c r="U46" s="52" t="s">
        <v>88</v>
      </c>
      <c r="W46" s="52">
        <v>1</v>
      </c>
    </row>
    <row r="47" spans="1:23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50"/>
      <c r="H47" s="50"/>
      <c r="I47" s="50"/>
      <c r="J47" s="106">
        <f>VLOOKUP($A47, Stat!$A$1:$C$501, 2,0)</f>
        <v>68</v>
      </c>
      <c r="K47" s="106">
        <f>VLOOKUP($A47, Stat!$A$1:$C$501, 3,0)</f>
        <v>0</v>
      </c>
      <c r="L47" s="109"/>
      <c r="P47" s="50"/>
      <c r="Q47" s="50"/>
      <c r="R47" s="50"/>
      <c r="S47" s="52">
        <v>60</v>
      </c>
      <c r="T47" s="52">
        <v>-1</v>
      </c>
      <c r="W47" s="52">
        <v>1</v>
      </c>
    </row>
    <row r="48" spans="1:23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50"/>
      <c r="H48" s="50"/>
      <c r="I48" s="50"/>
      <c r="J48" s="106">
        <f>VLOOKUP($A48, Stat!$A$1:$C$501, 2,0)</f>
        <v>100</v>
      </c>
      <c r="K48" s="106">
        <f>VLOOKUP($A48, Stat!$A$1:$C$501, 3,0)</f>
        <v>5</v>
      </c>
      <c r="P48" s="50"/>
      <c r="Q48" s="50"/>
      <c r="R48" s="50"/>
      <c r="S48" s="52">
        <v>30</v>
      </c>
      <c r="T48" s="52">
        <v>0</v>
      </c>
      <c r="V48" s="52" t="s">
        <v>593</v>
      </c>
      <c r="W48" s="52">
        <v>1</v>
      </c>
    </row>
    <row r="49" spans="1:23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49"/>
      <c r="H49" s="49"/>
      <c r="I49" s="49"/>
      <c r="J49" s="106">
        <f>VLOOKUP($A49, Stat!$A$1:$C$501, 2,0)</f>
        <v>1</v>
      </c>
      <c r="K49" s="106">
        <f>VLOOKUP($A49, Stat!$A$1:$C$501, 3,0)</f>
        <v>1</v>
      </c>
      <c r="L49" s="48">
        <v>1</v>
      </c>
      <c r="P49" s="49"/>
      <c r="Q49" s="50"/>
      <c r="R49" s="49" t="s">
        <v>266</v>
      </c>
      <c r="S49" s="52">
        <v>30</v>
      </c>
      <c r="T49" s="52">
        <v>0</v>
      </c>
      <c r="V49" s="52" t="s">
        <v>538</v>
      </c>
      <c r="W49" s="52">
        <v>1</v>
      </c>
    </row>
    <row r="50" spans="1:23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50"/>
      <c r="H50" s="50"/>
      <c r="I50" s="50"/>
      <c r="J50" s="106">
        <f>VLOOKUP($A50, Stat!$A$1:$C$501, 2,0)</f>
        <v>5</v>
      </c>
      <c r="K50" s="106">
        <f>VLOOKUP($A50, Stat!$A$1:$C$501, 3,0)</f>
        <v>1</v>
      </c>
      <c r="L50" s="48">
        <v>1</v>
      </c>
      <c r="P50" s="50"/>
      <c r="Q50" s="50"/>
      <c r="R50" s="50"/>
      <c r="S50" s="52">
        <v>0</v>
      </c>
      <c r="T50" s="52">
        <v>1</v>
      </c>
      <c r="U50" s="52" t="s">
        <v>549</v>
      </c>
      <c r="W50" s="52">
        <v>1</v>
      </c>
    </row>
    <row r="51" spans="1:23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50"/>
      <c r="H51" s="50"/>
      <c r="I51" s="50"/>
      <c r="J51" s="106">
        <f>VLOOKUP($A51, Stat!$A$1:$C$501, 2,0)</f>
        <v>24</v>
      </c>
      <c r="K51" s="106">
        <f>VLOOKUP($A51, Stat!$A$1:$C$501, 3,0)</f>
        <v>1</v>
      </c>
      <c r="L51" s="48">
        <v>1</v>
      </c>
      <c r="P51" s="50"/>
      <c r="Q51" s="50"/>
      <c r="R51" s="50"/>
      <c r="S51" s="52">
        <v>100</v>
      </c>
      <c r="T51" s="52">
        <v>0</v>
      </c>
      <c r="U51" s="52" t="s">
        <v>549</v>
      </c>
      <c r="W51" s="52">
        <v>1</v>
      </c>
    </row>
    <row r="52" spans="1:23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50"/>
      <c r="H52" s="50"/>
      <c r="I52" s="50"/>
      <c r="J52" s="106">
        <f>VLOOKUP($A52, Stat!$A$1:$C$501, 2,0)</f>
        <v>19</v>
      </c>
      <c r="K52" s="106">
        <f>VLOOKUP($A52, Stat!$A$1:$C$501, 3,0)</f>
        <v>2</v>
      </c>
      <c r="L52" s="48">
        <v>1</v>
      </c>
      <c r="P52" s="50"/>
      <c r="Q52" s="50"/>
      <c r="R52" s="50"/>
      <c r="S52" s="52">
        <v>30</v>
      </c>
      <c r="T52" s="52">
        <v>-1</v>
      </c>
      <c r="U52" s="52" t="s">
        <v>549</v>
      </c>
      <c r="W52" s="52">
        <v>1</v>
      </c>
    </row>
    <row r="53" spans="1:23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J53" s="106">
        <f>VLOOKUP($A53, Stat!$A$1:$C$501, 2,0)</f>
        <v>12</v>
      </c>
      <c r="K53" s="106">
        <f>VLOOKUP($A53, Stat!$A$1:$C$501, 3,0)</f>
        <v>1</v>
      </c>
      <c r="S53" s="52">
        <v>0</v>
      </c>
      <c r="T53" s="52">
        <v>0</v>
      </c>
      <c r="V53" s="52" t="s">
        <v>564</v>
      </c>
      <c r="W53" s="52">
        <v>1</v>
      </c>
    </row>
    <row r="54" spans="1:23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308</v>
      </c>
      <c r="G54" s="49"/>
      <c r="H54" s="49"/>
      <c r="I54" s="49"/>
      <c r="J54" s="106">
        <f>VLOOKUP($A54, Stat!$A$1:$C$501, 2,0)</f>
        <v>46</v>
      </c>
      <c r="K54" s="106">
        <f>VLOOKUP($A54, Stat!$A$1:$C$501, 3,0)</f>
        <v>0</v>
      </c>
      <c r="L54" s="108"/>
      <c r="P54" s="50"/>
      <c r="Q54" s="50"/>
      <c r="R54" s="50"/>
      <c r="S54" s="52">
        <v>0</v>
      </c>
      <c r="T54" s="52">
        <v>-1</v>
      </c>
      <c r="W54" s="52">
        <v>1</v>
      </c>
    </row>
    <row r="55" spans="1:23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308</v>
      </c>
      <c r="G55" s="49"/>
      <c r="H55" s="49"/>
      <c r="I55" s="49"/>
      <c r="J55" s="106">
        <f>VLOOKUP($A55, Stat!$A$1:$C$501, 2,0)</f>
        <v>26</v>
      </c>
      <c r="K55" s="106">
        <f>VLOOKUP($A55, Stat!$A$1:$C$501, 3,0)</f>
        <v>0</v>
      </c>
      <c r="L55" s="108"/>
      <c r="P55" s="50"/>
      <c r="Q55" s="50"/>
      <c r="R55" s="50"/>
      <c r="S55" s="52">
        <v>10</v>
      </c>
      <c r="T55" s="52">
        <v>-1</v>
      </c>
      <c r="W55" s="52">
        <v>1</v>
      </c>
    </row>
    <row r="56" spans="1:23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308</v>
      </c>
      <c r="G56" s="49"/>
      <c r="H56" s="49"/>
      <c r="I56" s="49"/>
      <c r="J56" s="106">
        <f>VLOOKUP($A56, Stat!$A$1:$C$501, 2,0)</f>
        <v>41</v>
      </c>
      <c r="K56" s="106">
        <f>VLOOKUP($A56, Stat!$A$1:$C$501, 3,0)</f>
        <v>0</v>
      </c>
      <c r="L56" s="108"/>
      <c r="P56" s="50"/>
      <c r="Q56" s="50"/>
      <c r="R56" s="50"/>
      <c r="S56" s="52">
        <v>40</v>
      </c>
      <c r="T56" s="52">
        <v>-1</v>
      </c>
      <c r="W56" s="52">
        <v>1</v>
      </c>
    </row>
    <row r="57" spans="1:23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308</v>
      </c>
      <c r="G57" s="49"/>
      <c r="H57" s="49"/>
      <c r="I57" s="49"/>
      <c r="J57" s="106">
        <f>VLOOKUP($A57, Stat!$A$1:$C$501, 2,0)</f>
        <v>25</v>
      </c>
      <c r="K57" s="106">
        <f>VLOOKUP($A57, Stat!$A$1:$C$501, 3,0)</f>
        <v>0</v>
      </c>
      <c r="L57" s="108"/>
      <c r="P57" s="50"/>
      <c r="Q57" s="50"/>
      <c r="R57" s="50"/>
      <c r="S57" s="52">
        <v>60</v>
      </c>
      <c r="T57" s="52">
        <v>-1</v>
      </c>
      <c r="W57" s="52">
        <v>1</v>
      </c>
    </row>
    <row r="58" spans="1:23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49"/>
      <c r="H58" s="49"/>
      <c r="I58" s="49"/>
      <c r="J58" s="106">
        <f>VLOOKUP($A58, Stat!$A$1:$C$501, 2,0)</f>
        <v>517</v>
      </c>
      <c r="K58" s="106">
        <f>VLOOKUP($A58, Stat!$A$1:$C$501, 3,0)</f>
        <v>1</v>
      </c>
      <c r="L58" s="109"/>
      <c r="P58" s="49"/>
      <c r="Q58" s="50"/>
      <c r="R58" s="49" t="s">
        <v>266</v>
      </c>
      <c r="S58" s="52">
        <v>0</v>
      </c>
      <c r="T58" s="52">
        <v>-1</v>
      </c>
      <c r="W58" s="52">
        <v>1</v>
      </c>
    </row>
    <row r="59" spans="1:23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308</v>
      </c>
      <c r="G59" s="49"/>
      <c r="H59" s="49"/>
      <c r="I59" s="49"/>
      <c r="J59" s="106">
        <f>VLOOKUP($A59, Stat!$A$1:$C$501, 2,0)</f>
        <v>170</v>
      </c>
      <c r="K59" s="106">
        <f>VLOOKUP($A59, Stat!$A$1:$C$501, 3,0)</f>
        <v>33</v>
      </c>
      <c r="L59" s="48">
        <v>1</v>
      </c>
      <c r="P59" s="50"/>
      <c r="Q59" s="50"/>
      <c r="R59" s="50"/>
      <c r="S59" s="52">
        <v>0</v>
      </c>
      <c r="T59" s="52">
        <v>-1</v>
      </c>
      <c r="W59" s="52">
        <v>1</v>
      </c>
    </row>
    <row r="60" spans="1:23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308</v>
      </c>
      <c r="G60" s="49"/>
      <c r="H60" s="49"/>
      <c r="I60" s="49"/>
      <c r="J60" s="106">
        <f>VLOOKUP($A60, Stat!$A$1:$C$501, 2,0)</f>
        <v>205</v>
      </c>
      <c r="K60" s="106">
        <f>VLOOKUP($A60, Stat!$A$1:$C$501, 3,0)</f>
        <v>0</v>
      </c>
      <c r="L60" s="109"/>
      <c r="P60" s="50"/>
      <c r="Q60" s="50"/>
      <c r="R60" s="50"/>
      <c r="S60" s="52">
        <v>0</v>
      </c>
      <c r="T60" s="52">
        <v>1</v>
      </c>
      <c r="W60" s="52">
        <v>1</v>
      </c>
    </row>
    <row r="61" spans="1:23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308</v>
      </c>
      <c r="G61" s="49"/>
      <c r="H61" s="49"/>
      <c r="I61" s="49"/>
      <c r="J61" s="106">
        <f>VLOOKUP($A61, Stat!$A$1:$C$501, 2,0)</f>
        <v>59</v>
      </c>
      <c r="K61" s="106">
        <f>VLOOKUP($A61, Stat!$A$1:$C$501, 3,0)</f>
        <v>6</v>
      </c>
      <c r="L61" s="109"/>
      <c r="P61" s="50"/>
      <c r="Q61" s="50"/>
      <c r="R61" s="50"/>
      <c r="S61" s="52">
        <v>0</v>
      </c>
      <c r="T61" s="52">
        <v>1</v>
      </c>
      <c r="W61" s="52">
        <v>1</v>
      </c>
    </row>
    <row r="62" spans="1:23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308</v>
      </c>
      <c r="G62" s="49"/>
      <c r="H62" s="49"/>
      <c r="I62" s="49"/>
      <c r="J62" s="106">
        <f>VLOOKUP($A62, Stat!$A$1:$C$501, 2,0)</f>
        <v>48</v>
      </c>
      <c r="K62" s="106">
        <f>VLOOKUP($A62, Stat!$A$1:$C$501, 3,0)</f>
        <v>5</v>
      </c>
      <c r="L62" s="109"/>
      <c r="P62" s="49"/>
      <c r="Q62" s="50"/>
      <c r="R62" s="50"/>
      <c r="S62" s="52">
        <v>40</v>
      </c>
      <c r="T62" s="52">
        <v>1</v>
      </c>
      <c r="W62" s="52">
        <v>1</v>
      </c>
    </row>
    <row r="63" spans="1:23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308</v>
      </c>
      <c r="G63" s="49"/>
      <c r="H63" s="49"/>
      <c r="I63" s="49"/>
      <c r="J63" s="106">
        <f>VLOOKUP($A63, Stat!$A$1:$C$501, 2,0)</f>
        <v>31</v>
      </c>
      <c r="K63" s="106">
        <f>VLOOKUP($A63, Stat!$A$1:$C$501, 3,0)</f>
        <v>3</v>
      </c>
      <c r="L63" s="109"/>
      <c r="P63" s="50"/>
      <c r="Q63" s="50"/>
      <c r="R63" s="50"/>
      <c r="S63" s="52">
        <v>100</v>
      </c>
      <c r="T63" s="52">
        <v>0</v>
      </c>
      <c r="W63" s="52">
        <v>1</v>
      </c>
    </row>
    <row r="64" spans="1:23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308</v>
      </c>
      <c r="G64" s="49"/>
      <c r="H64" s="49"/>
      <c r="I64" s="49"/>
      <c r="J64" s="106">
        <f>VLOOKUP($A64, Stat!$A$1:$C$501, 2,0)</f>
        <v>26</v>
      </c>
      <c r="K64" s="106">
        <f>VLOOKUP($A64, Stat!$A$1:$C$501, 3,0)</f>
        <v>8</v>
      </c>
      <c r="L64" s="48">
        <v>1</v>
      </c>
      <c r="P64" s="49" t="s">
        <v>277</v>
      </c>
      <c r="Q64" s="50"/>
      <c r="R64" s="50"/>
      <c r="S64" s="52">
        <v>0</v>
      </c>
      <c r="T64" s="52">
        <v>0</v>
      </c>
      <c r="W64" s="52">
        <v>1</v>
      </c>
    </row>
    <row r="65" spans="1:23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308</v>
      </c>
      <c r="G65" s="49"/>
      <c r="H65" s="49"/>
      <c r="I65" s="49"/>
      <c r="J65" s="106">
        <f>VLOOKUP($A65, Stat!$A$1:$C$501, 2,0)</f>
        <v>6</v>
      </c>
      <c r="K65" s="106">
        <f>VLOOKUP($A65, Stat!$A$1:$C$501, 3,0)</f>
        <v>2</v>
      </c>
      <c r="L65" s="48">
        <v>1</v>
      </c>
      <c r="P65" s="49" t="s">
        <v>278</v>
      </c>
      <c r="Q65" s="50"/>
      <c r="R65" s="50"/>
      <c r="S65" s="52">
        <v>0</v>
      </c>
      <c r="T65" s="52">
        <v>0</v>
      </c>
      <c r="W65" s="52">
        <v>1</v>
      </c>
    </row>
    <row r="66" spans="1:23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308</v>
      </c>
      <c r="G66" s="49"/>
      <c r="H66" s="49"/>
      <c r="I66" s="49"/>
      <c r="J66" s="106">
        <f>VLOOKUP($A66, Stat!$A$1:$C$501, 2,0)</f>
        <v>7</v>
      </c>
      <c r="K66" s="106">
        <f>VLOOKUP($A66, Stat!$A$1:$C$501, 3,0)</f>
        <v>2</v>
      </c>
      <c r="L66" s="48">
        <v>1</v>
      </c>
      <c r="P66" s="49" t="s">
        <v>279</v>
      </c>
      <c r="Q66" s="50"/>
      <c r="R66" s="50"/>
      <c r="S66" s="52">
        <v>60</v>
      </c>
      <c r="T66" s="52">
        <v>0</v>
      </c>
      <c r="W66" s="52">
        <v>1</v>
      </c>
    </row>
    <row r="67" spans="1:23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308</v>
      </c>
      <c r="G67" s="49"/>
      <c r="H67" s="49"/>
      <c r="I67" s="49"/>
      <c r="J67" s="106">
        <f>VLOOKUP($A67, Stat!$A$1:$C$501, 2,0)</f>
        <v>5</v>
      </c>
      <c r="K67" s="106">
        <f>VLOOKUP($A67, Stat!$A$1:$C$501, 3,0)</f>
        <v>3</v>
      </c>
      <c r="L67" s="48">
        <v>1</v>
      </c>
      <c r="P67" s="49" t="s">
        <v>280</v>
      </c>
      <c r="Q67" s="50"/>
      <c r="R67" s="50"/>
      <c r="S67" s="52">
        <v>100</v>
      </c>
      <c r="T67" s="52">
        <v>0</v>
      </c>
      <c r="W67" s="52">
        <v>1</v>
      </c>
    </row>
    <row r="68" spans="1:23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50"/>
      <c r="H68" s="50"/>
      <c r="I68" s="50"/>
      <c r="J68" s="106">
        <f>VLOOKUP($A68, Stat!$A$1:$C$501, 2,0)</f>
        <v>176</v>
      </c>
      <c r="K68" s="106">
        <f>VLOOKUP($A68, Stat!$A$1:$C$501, 3,0)</f>
        <v>44</v>
      </c>
      <c r="L68" s="109">
        <v>1</v>
      </c>
      <c r="P68" s="50"/>
      <c r="Q68" s="50"/>
      <c r="R68" s="50"/>
      <c r="S68" s="52">
        <v>0</v>
      </c>
      <c r="T68" s="52">
        <v>-1</v>
      </c>
      <c r="W68" s="52">
        <v>1</v>
      </c>
    </row>
    <row r="69" spans="1:23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50"/>
      <c r="H69" s="50"/>
      <c r="I69" s="50"/>
      <c r="J69" s="106">
        <f>VLOOKUP($A69, Stat!$A$1:$C$501, 2,0)</f>
        <v>19</v>
      </c>
      <c r="K69" s="106">
        <f>VLOOKUP($A69, Stat!$A$1:$C$501, 3,0)</f>
        <v>10</v>
      </c>
      <c r="L69" s="48">
        <v>1</v>
      </c>
      <c r="P69" s="50"/>
      <c r="Q69" s="50"/>
      <c r="R69" s="50"/>
      <c r="S69" s="52">
        <v>70</v>
      </c>
      <c r="T69" s="52">
        <v>-1</v>
      </c>
      <c r="W69" s="52">
        <v>1</v>
      </c>
    </row>
    <row r="70" spans="1:23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50"/>
      <c r="H70" s="50"/>
      <c r="I70" s="50"/>
      <c r="J70" s="106">
        <f>VLOOKUP($A70, Stat!$A$1:$C$501, 2,0)</f>
        <v>70</v>
      </c>
      <c r="K70" s="106">
        <f>VLOOKUP($A70, Stat!$A$1:$C$501, 3,0)</f>
        <v>24</v>
      </c>
      <c r="L70" s="48">
        <v>1</v>
      </c>
      <c r="P70" s="50"/>
      <c r="Q70" s="50"/>
      <c r="R70" s="50"/>
      <c r="S70" s="52">
        <v>100</v>
      </c>
      <c r="T70" s="52">
        <v>0</v>
      </c>
      <c r="W70" s="52">
        <v>1</v>
      </c>
    </row>
    <row r="71" spans="1:23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308</v>
      </c>
      <c r="G71" s="49"/>
      <c r="H71" s="49"/>
      <c r="I71" s="49"/>
      <c r="J71" s="106">
        <f>VLOOKUP($A71, Stat!$A$1:$C$501, 2,0)</f>
        <v>38</v>
      </c>
      <c r="K71" s="106">
        <f>VLOOKUP($A71, Stat!$A$1:$C$501, 3,0)</f>
        <v>0</v>
      </c>
      <c r="L71" s="109"/>
      <c r="O71" s="48">
        <v>1</v>
      </c>
      <c r="P71" s="50"/>
      <c r="Q71" s="50"/>
      <c r="R71" s="50"/>
      <c r="S71" s="52">
        <v>60</v>
      </c>
      <c r="T71" s="52">
        <v>0</v>
      </c>
      <c r="W71" s="52">
        <v>1</v>
      </c>
    </row>
    <row r="72" spans="1:23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308</v>
      </c>
      <c r="G72" s="49"/>
      <c r="H72" s="49"/>
      <c r="I72" s="49"/>
      <c r="J72" s="106">
        <f>VLOOKUP($A72, Stat!$A$1:$C$501, 2,0)</f>
        <v>10</v>
      </c>
      <c r="K72" s="106">
        <f>VLOOKUP($A72, Stat!$A$1:$C$501, 3,0)</f>
        <v>1</v>
      </c>
      <c r="L72" s="109"/>
      <c r="O72" s="48">
        <v>1</v>
      </c>
      <c r="P72" s="49" t="s">
        <v>264</v>
      </c>
      <c r="Q72" s="50"/>
      <c r="R72" s="50"/>
      <c r="S72" s="52">
        <v>100</v>
      </c>
      <c r="T72" s="52">
        <v>0</v>
      </c>
      <c r="W72" s="52">
        <v>1</v>
      </c>
    </row>
    <row r="73" spans="1:23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50"/>
      <c r="H73" s="50"/>
      <c r="I73" s="50"/>
      <c r="J73" s="106">
        <f>VLOOKUP($A73, Stat!$A$1:$C$501, 2,0)</f>
        <v>25</v>
      </c>
      <c r="K73" s="106">
        <f>VLOOKUP($A73, Stat!$A$1:$C$501, 3,0)</f>
        <v>0</v>
      </c>
      <c r="L73" s="109"/>
      <c r="P73" s="50"/>
      <c r="Q73" s="50"/>
      <c r="R73" s="50"/>
      <c r="S73" s="52">
        <v>60</v>
      </c>
      <c r="T73" s="52">
        <v>0</v>
      </c>
      <c r="V73" s="52" t="s">
        <v>229</v>
      </c>
      <c r="W73" s="52">
        <v>1</v>
      </c>
    </row>
    <row r="74" spans="1:23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50"/>
      <c r="H74" s="50"/>
      <c r="I74" s="50"/>
      <c r="J74" s="106">
        <f>VLOOKUP($A74, Stat!$A$1:$C$501, 2,0)</f>
        <v>23</v>
      </c>
      <c r="K74" s="106">
        <f>VLOOKUP($A74, Stat!$A$1:$C$501, 3,0)</f>
        <v>0</v>
      </c>
      <c r="L74" s="109"/>
      <c r="P74" s="50"/>
      <c r="Q74" s="50"/>
      <c r="R74" s="50"/>
      <c r="S74" s="52">
        <v>60</v>
      </c>
      <c r="T74" s="52">
        <v>0</v>
      </c>
      <c r="V74" s="52" t="s">
        <v>229</v>
      </c>
      <c r="W74" s="52">
        <v>1</v>
      </c>
    </row>
    <row r="75" spans="1:23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50"/>
      <c r="H75" s="50"/>
      <c r="I75" s="50"/>
      <c r="J75" s="106">
        <f>VLOOKUP($A75, Stat!$A$1:$C$501, 2,0)</f>
        <v>25</v>
      </c>
      <c r="K75" s="106">
        <f>VLOOKUP($A75, Stat!$A$1:$C$501, 3,0)</f>
        <v>4</v>
      </c>
      <c r="L75" s="48">
        <v>1</v>
      </c>
      <c r="P75" s="50"/>
      <c r="Q75" s="50"/>
      <c r="R75" s="50"/>
      <c r="S75" s="52">
        <v>60</v>
      </c>
      <c r="T75" s="52">
        <v>0</v>
      </c>
      <c r="V75" s="52" t="s">
        <v>232</v>
      </c>
      <c r="W75" s="52">
        <v>1</v>
      </c>
    </row>
    <row r="76" spans="1:23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50"/>
      <c r="H76" s="50"/>
      <c r="I76" s="50"/>
      <c r="J76" s="106">
        <f>VLOOKUP($A76, Stat!$A$1:$C$501, 2,0)</f>
        <v>35</v>
      </c>
      <c r="K76" s="106">
        <f>VLOOKUP($A76, Stat!$A$1:$C$501, 3,0)</f>
        <v>20</v>
      </c>
      <c r="L76" s="48">
        <v>1</v>
      </c>
      <c r="P76" s="50"/>
      <c r="Q76" s="50"/>
      <c r="R76" s="50"/>
      <c r="S76" s="52">
        <v>30</v>
      </c>
      <c r="T76" s="52">
        <v>0</v>
      </c>
      <c r="V76" s="52" t="s">
        <v>539</v>
      </c>
      <c r="W76" s="52">
        <v>1</v>
      </c>
    </row>
    <row r="77" spans="1:23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50"/>
      <c r="H77" s="50"/>
      <c r="I77" s="50"/>
      <c r="J77" s="106">
        <f>VLOOKUP($A77, Stat!$A$1:$C$501, 2,0)</f>
        <v>46</v>
      </c>
      <c r="K77" s="106">
        <f>VLOOKUP($A77, Stat!$A$1:$C$501, 3,0)</f>
        <v>1</v>
      </c>
      <c r="M77" s="48">
        <v>1</v>
      </c>
      <c r="P77" s="50"/>
      <c r="Q77" s="50"/>
      <c r="R77" s="50"/>
      <c r="S77" s="52">
        <v>20</v>
      </c>
      <c r="T77" s="52">
        <v>0</v>
      </c>
      <c r="V77" s="52" t="s">
        <v>228</v>
      </c>
      <c r="W77" s="52">
        <v>1</v>
      </c>
    </row>
    <row r="78" spans="1:23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49"/>
      <c r="H78" s="49"/>
      <c r="I78" s="49"/>
      <c r="J78" s="106">
        <f>VLOOKUP($A78, Stat!$A$1:$C$501, 2,0)</f>
        <v>577</v>
      </c>
      <c r="K78" s="106">
        <f>VLOOKUP($A78, Stat!$A$1:$C$501, 3,0)</f>
        <v>0</v>
      </c>
      <c r="L78" s="109"/>
      <c r="P78" s="49"/>
      <c r="Q78" s="50"/>
      <c r="R78" s="49" t="s">
        <v>266</v>
      </c>
      <c r="S78" s="52">
        <v>0</v>
      </c>
      <c r="T78" s="52">
        <v>-1</v>
      </c>
      <c r="W78" s="52">
        <v>1</v>
      </c>
    </row>
    <row r="79" spans="1:23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50"/>
      <c r="H79" s="50"/>
      <c r="I79" s="50"/>
      <c r="J79" s="106">
        <f>VLOOKUP($A79, Stat!$A$1:$C$501, 2,0)</f>
        <v>69</v>
      </c>
      <c r="K79" s="106">
        <f>VLOOKUP($A79, Stat!$A$1:$C$501, 3,0)</f>
        <v>1</v>
      </c>
      <c r="O79" s="48">
        <v>1</v>
      </c>
      <c r="P79" s="50"/>
      <c r="Q79" s="50"/>
      <c r="R79" s="50"/>
      <c r="S79" s="52">
        <v>60</v>
      </c>
      <c r="T79" s="52">
        <v>-1</v>
      </c>
      <c r="V79" s="52" t="s">
        <v>381</v>
      </c>
      <c r="W79" s="52">
        <v>1</v>
      </c>
    </row>
    <row r="80" spans="1:23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50"/>
      <c r="H80" s="50"/>
      <c r="I80" s="50"/>
      <c r="J80" s="106">
        <f>VLOOKUP($A80, Stat!$A$1:$C$501, 2,0)</f>
        <v>91</v>
      </c>
      <c r="K80" s="106">
        <f>VLOOKUP($A80, Stat!$A$1:$C$501, 3,0)</f>
        <v>0</v>
      </c>
      <c r="L80" s="109"/>
      <c r="O80" s="48">
        <v>1</v>
      </c>
      <c r="P80" s="50"/>
      <c r="Q80" s="50"/>
      <c r="R80" s="50"/>
      <c r="S80" s="52">
        <v>30</v>
      </c>
      <c r="T80" s="52">
        <v>-1</v>
      </c>
      <c r="V80" s="52" t="s">
        <v>381</v>
      </c>
      <c r="W80" s="52">
        <v>1</v>
      </c>
    </row>
    <row r="81" spans="1:23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49" t="s">
        <v>268</v>
      </c>
      <c r="H81" s="50"/>
      <c r="I81" s="50"/>
      <c r="J81" s="106">
        <f>VLOOKUP($A81, Stat!$A$1:$C$501, 2,0)</f>
        <v>328</v>
      </c>
      <c r="K81" s="106">
        <f>VLOOKUP($A81, Stat!$A$1:$C$501, 3,0)</f>
        <v>2</v>
      </c>
      <c r="L81" s="109"/>
      <c r="P81" s="50"/>
      <c r="Q81" s="50"/>
      <c r="R81" s="50"/>
      <c r="S81" s="52">
        <v>0</v>
      </c>
      <c r="T81" s="52">
        <v>-1</v>
      </c>
      <c r="W81" s="52">
        <v>1</v>
      </c>
    </row>
    <row r="82" spans="1:23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49" t="s">
        <v>268</v>
      </c>
      <c r="H82" s="50"/>
      <c r="I82" s="50"/>
      <c r="J82" s="106">
        <f>VLOOKUP($A82, Stat!$A$1:$C$501, 2,0)</f>
        <v>63</v>
      </c>
      <c r="K82" s="106">
        <f>VLOOKUP($A82, Stat!$A$1:$C$501, 3,0)</f>
        <v>2</v>
      </c>
      <c r="P82" s="50"/>
      <c r="Q82" s="50"/>
      <c r="R82" s="50"/>
      <c r="S82" s="52">
        <v>60</v>
      </c>
      <c r="T82" s="52">
        <v>1</v>
      </c>
      <c r="W82" s="52">
        <v>1</v>
      </c>
    </row>
    <row r="83" spans="1:23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49" t="s">
        <v>268</v>
      </c>
      <c r="H83" s="50"/>
      <c r="I83" s="50"/>
      <c r="J83" s="106">
        <f>VLOOKUP($A83, Stat!$A$1:$C$501, 2,0)</f>
        <v>48</v>
      </c>
      <c r="K83" s="106">
        <f>VLOOKUP($A83, Stat!$A$1:$C$501, 3,0)</f>
        <v>11</v>
      </c>
      <c r="L83" s="48">
        <v>1</v>
      </c>
      <c r="P83" s="49" t="s">
        <v>265</v>
      </c>
      <c r="Q83" s="50"/>
      <c r="R83" s="50"/>
      <c r="S83" s="52">
        <v>60</v>
      </c>
      <c r="T83" s="52">
        <v>-1</v>
      </c>
      <c r="W83" s="52">
        <v>1</v>
      </c>
    </row>
    <row r="84" spans="1:23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49" t="s">
        <v>268</v>
      </c>
      <c r="H84" s="50"/>
      <c r="I84" s="50"/>
      <c r="J84" s="106">
        <f>VLOOKUP($A84, Stat!$A$1:$C$501, 2,0)</f>
        <v>188</v>
      </c>
      <c r="K84" s="106">
        <f>VLOOKUP($A84, Stat!$A$1:$C$501, 3,0)</f>
        <v>5</v>
      </c>
      <c r="L84" s="109"/>
      <c r="P84" s="49" t="s">
        <v>332</v>
      </c>
      <c r="Q84" s="50"/>
      <c r="R84" s="50"/>
      <c r="S84" s="52">
        <v>100</v>
      </c>
      <c r="T84" s="52">
        <v>0</v>
      </c>
      <c r="W84" s="52">
        <v>1</v>
      </c>
    </row>
    <row r="85" spans="1:23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49" t="s">
        <v>268</v>
      </c>
      <c r="H85" s="49" t="s">
        <v>268</v>
      </c>
      <c r="I85" s="49"/>
      <c r="J85" s="106">
        <f>VLOOKUP($A85, Stat!$A$1:$C$501, 2,0)</f>
        <v>120</v>
      </c>
      <c r="K85" s="106">
        <f>VLOOKUP($A85, Stat!$A$1:$C$501, 3,0)</f>
        <v>7</v>
      </c>
      <c r="P85" s="50"/>
      <c r="Q85" s="50"/>
      <c r="R85" s="50"/>
      <c r="S85" s="52">
        <v>60</v>
      </c>
      <c r="T85" s="52">
        <v>0</v>
      </c>
      <c r="W85" s="52">
        <v>1</v>
      </c>
    </row>
    <row r="86" spans="1:23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49" t="s">
        <v>268</v>
      </c>
      <c r="H86" s="49" t="s">
        <v>268</v>
      </c>
      <c r="I86" s="49"/>
      <c r="J86" s="106">
        <f>VLOOKUP($A86, Stat!$A$1:$C$501, 2,0)</f>
        <v>11</v>
      </c>
      <c r="K86" s="106">
        <f>VLOOKUP($A86, Stat!$A$1:$C$501, 3,0)</f>
        <v>4</v>
      </c>
      <c r="L86" s="48">
        <v>1</v>
      </c>
      <c r="P86" s="50"/>
      <c r="Q86" s="50"/>
      <c r="R86" s="50"/>
      <c r="S86" s="52">
        <v>60</v>
      </c>
      <c r="T86" s="52">
        <v>0</v>
      </c>
      <c r="V86" s="52" t="s">
        <v>445</v>
      </c>
      <c r="W86" s="52">
        <v>1</v>
      </c>
    </row>
    <row r="87" spans="1:23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49" t="s">
        <v>268</v>
      </c>
      <c r="H87" s="49" t="s">
        <v>268</v>
      </c>
      <c r="I87" s="49"/>
      <c r="J87" s="106">
        <f>VLOOKUP($A87, Stat!$A$1:$C$501, 2,0)</f>
        <v>160</v>
      </c>
      <c r="K87" s="106">
        <f>VLOOKUP($A87, Stat!$A$1:$C$501, 3,0)</f>
        <v>1</v>
      </c>
      <c r="L87" s="109"/>
      <c r="P87" s="50"/>
      <c r="Q87" s="50"/>
      <c r="R87" s="50"/>
      <c r="S87" s="52">
        <v>60</v>
      </c>
      <c r="T87" s="52">
        <v>-1</v>
      </c>
      <c r="W87" s="52">
        <v>1</v>
      </c>
    </row>
    <row r="88" spans="1:23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J88" s="106">
        <f>VLOOKUP($A88, Stat!$A$1:$C$501, 2,0)</f>
        <v>46</v>
      </c>
      <c r="K88" s="106">
        <f>VLOOKUP($A88, Stat!$A$1:$C$501, 3,0)</f>
        <v>1</v>
      </c>
      <c r="S88" s="52">
        <v>0</v>
      </c>
      <c r="T88" s="52">
        <v>0</v>
      </c>
      <c r="V88" s="52" t="s">
        <v>565</v>
      </c>
      <c r="W88" s="52">
        <v>1</v>
      </c>
    </row>
    <row r="89" spans="1:23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308</v>
      </c>
      <c r="G89" s="49"/>
      <c r="H89" s="49"/>
      <c r="I89" s="49"/>
      <c r="J89" s="106">
        <f>VLOOKUP($A89, Stat!$A$1:$C$501, 2,0)</f>
        <v>32</v>
      </c>
      <c r="K89" s="106">
        <f>VLOOKUP($A89, Stat!$A$1:$C$501, 3,0)</f>
        <v>15</v>
      </c>
      <c r="L89" s="48">
        <v>1</v>
      </c>
      <c r="P89" s="50"/>
      <c r="Q89" s="50"/>
      <c r="R89" s="50"/>
      <c r="S89" s="52">
        <v>60</v>
      </c>
      <c r="T89" s="52">
        <v>0</v>
      </c>
      <c r="V89" s="52" t="s">
        <v>245</v>
      </c>
      <c r="W89" s="52">
        <v>1</v>
      </c>
    </row>
    <row r="90" spans="1:23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49" t="s">
        <v>268</v>
      </c>
      <c r="H90" s="50"/>
      <c r="I90" s="50"/>
      <c r="J90" s="106">
        <f>VLOOKUP($A90, Stat!$A$1:$C$501, 2,0)</f>
        <v>45</v>
      </c>
      <c r="K90" s="106">
        <f>VLOOKUP($A90, Stat!$A$1:$C$501, 3,0)</f>
        <v>0</v>
      </c>
      <c r="L90" s="109"/>
      <c r="P90" s="50"/>
      <c r="Q90" s="50"/>
      <c r="R90" s="50"/>
      <c r="S90" s="52">
        <v>0</v>
      </c>
      <c r="T90" s="52">
        <v>1</v>
      </c>
      <c r="U90" s="52" t="s">
        <v>80</v>
      </c>
      <c r="W90" s="52">
        <v>1</v>
      </c>
    </row>
    <row r="91" spans="1:23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50"/>
      <c r="H91" s="50"/>
      <c r="I91" s="50"/>
      <c r="J91" s="106">
        <f>VLOOKUP($A91, Stat!$A$1:$C$501, 2,0)</f>
        <v>3</v>
      </c>
      <c r="K91" s="106">
        <f>VLOOKUP($A91, Stat!$A$1:$C$501, 3,0)</f>
        <v>1</v>
      </c>
      <c r="L91" s="48">
        <v>1</v>
      </c>
      <c r="P91" s="50"/>
      <c r="Q91" s="50"/>
      <c r="R91" s="50"/>
      <c r="S91" s="52">
        <v>60</v>
      </c>
      <c r="T91" s="52">
        <v>0</v>
      </c>
      <c r="U91" s="52" t="s">
        <v>549</v>
      </c>
      <c r="W91" s="52">
        <v>1</v>
      </c>
    </row>
    <row r="92" spans="1:23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50"/>
      <c r="H92" s="50"/>
      <c r="I92" s="50"/>
      <c r="J92" s="106">
        <f>VLOOKUP($A92, Stat!$A$1:$C$501, 2,0)</f>
        <v>5</v>
      </c>
      <c r="K92" s="106">
        <f>VLOOKUP($A92, Stat!$A$1:$C$501, 3,0)</f>
        <v>2</v>
      </c>
      <c r="L92" s="48">
        <v>1</v>
      </c>
      <c r="P92" s="50"/>
      <c r="Q92" s="50"/>
      <c r="R92" s="50"/>
      <c r="S92" s="52">
        <v>60</v>
      </c>
      <c r="T92" s="52">
        <v>0</v>
      </c>
      <c r="V92" s="52" t="s">
        <v>304</v>
      </c>
      <c r="W92" s="52">
        <v>1</v>
      </c>
    </row>
    <row r="93" spans="1:23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49"/>
      <c r="H93" s="49"/>
      <c r="I93" s="49"/>
      <c r="J93" s="106">
        <f>VLOOKUP($A93, Stat!$A$1:$C$501, 2,0)</f>
        <v>102</v>
      </c>
      <c r="K93" s="106">
        <f>VLOOKUP($A93, Stat!$A$1:$C$501, 3,0)</f>
        <v>1</v>
      </c>
      <c r="P93" s="49"/>
      <c r="Q93" s="50"/>
      <c r="R93" s="49" t="s">
        <v>266</v>
      </c>
      <c r="S93" s="52">
        <v>0</v>
      </c>
      <c r="T93" s="52">
        <v>-1</v>
      </c>
      <c r="W93" s="52">
        <v>1</v>
      </c>
    </row>
    <row r="94" spans="1:23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50"/>
      <c r="H94" s="50"/>
      <c r="I94" s="50"/>
      <c r="J94" s="106">
        <f>VLOOKUP($A94, Stat!$A$1:$C$501, 2,0)</f>
        <v>38</v>
      </c>
      <c r="K94" s="106">
        <f>VLOOKUP($A94, Stat!$A$1:$C$501, 3,0)</f>
        <v>0</v>
      </c>
      <c r="L94" s="109"/>
      <c r="O94" s="48">
        <v>1</v>
      </c>
      <c r="P94" s="50"/>
      <c r="Q94" s="50"/>
      <c r="R94" s="50"/>
      <c r="S94" s="52">
        <v>0</v>
      </c>
      <c r="T94" s="52">
        <v>0</v>
      </c>
      <c r="U94" s="52" t="s">
        <v>135</v>
      </c>
      <c r="W94" s="52">
        <v>1</v>
      </c>
    </row>
    <row r="95" spans="1:23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50"/>
      <c r="H95" s="50"/>
      <c r="I95" s="50"/>
      <c r="J95" s="106">
        <f>VLOOKUP($A95, Stat!$A$1:$C$501, 2,0)</f>
        <v>4</v>
      </c>
      <c r="K95" s="106">
        <f>VLOOKUP($A95, Stat!$A$1:$C$501, 3,0)</f>
        <v>0</v>
      </c>
      <c r="L95" s="109"/>
      <c r="O95" s="48">
        <v>1</v>
      </c>
      <c r="P95" s="49" t="s">
        <v>274</v>
      </c>
      <c r="Q95" s="50"/>
      <c r="R95" s="50"/>
      <c r="S95" s="52">
        <v>40</v>
      </c>
      <c r="T95" s="52">
        <v>0</v>
      </c>
      <c r="U95" s="52" t="s">
        <v>135</v>
      </c>
      <c r="W95" s="52">
        <v>1</v>
      </c>
    </row>
    <row r="96" spans="1:23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50"/>
      <c r="H96" s="50"/>
      <c r="I96" s="50"/>
      <c r="J96" s="106">
        <f>VLOOKUP($A96, Stat!$A$1:$C$501, 2,0)</f>
        <v>22</v>
      </c>
      <c r="K96" s="106">
        <f>VLOOKUP($A96, Stat!$A$1:$C$501, 3,0)</f>
        <v>0</v>
      </c>
      <c r="L96" s="109"/>
      <c r="O96" s="48">
        <v>1</v>
      </c>
      <c r="P96" s="49" t="s">
        <v>273</v>
      </c>
      <c r="Q96" s="50"/>
      <c r="R96" s="50"/>
      <c r="S96" s="52">
        <v>60</v>
      </c>
      <c r="T96" s="52">
        <v>0</v>
      </c>
      <c r="U96" s="52" t="s">
        <v>135</v>
      </c>
      <c r="W96" s="52">
        <v>1</v>
      </c>
    </row>
    <row r="97" spans="1:23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49" t="s">
        <v>268</v>
      </c>
      <c r="H97" s="50"/>
      <c r="I97" s="50"/>
      <c r="J97" s="106">
        <f>VLOOKUP($A97, Stat!$A$1:$C$501, 2,0)</f>
        <v>14</v>
      </c>
      <c r="K97" s="106">
        <f>VLOOKUP($A97, Stat!$A$1:$C$501, 3,0)</f>
        <v>0</v>
      </c>
      <c r="L97" s="109"/>
      <c r="P97" s="50"/>
      <c r="Q97" s="50"/>
      <c r="R97" s="50"/>
      <c r="S97" s="52">
        <v>0</v>
      </c>
      <c r="T97" s="52">
        <v>0</v>
      </c>
      <c r="U97" s="52" t="s">
        <v>80</v>
      </c>
      <c r="W97" s="52">
        <v>1</v>
      </c>
    </row>
    <row r="98" spans="1:23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J98" s="106">
        <f>VLOOKUP($A98, Stat!$A$1:$C$501, 2,0)</f>
        <v>4</v>
      </c>
      <c r="K98" s="106">
        <f>VLOOKUP($A98, Stat!$A$1:$C$501, 3,0)</f>
        <v>0</v>
      </c>
      <c r="L98" s="108"/>
      <c r="S98" s="52">
        <v>40</v>
      </c>
      <c r="T98" s="52">
        <v>0</v>
      </c>
      <c r="V98" s="52" t="s">
        <v>491</v>
      </c>
      <c r="W98" s="52">
        <v>1</v>
      </c>
    </row>
    <row r="99" spans="1:23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50"/>
      <c r="H99" s="50"/>
      <c r="I99" s="50"/>
      <c r="J99" s="106">
        <f>VLOOKUP($A99, Stat!$A$1:$C$501, 2,0)</f>
        <v>21</v>
      </c>
      <c r="K99" s="106">
        <f>VLOOKUP($A99, Stat!$A$1:$C$501, 3,0)</f>
        <v>0</v>
      </c>
      <c r="L99" s="109"/>
      <c r="M99" s="48">
        <v>1</v>
      </c>
      <c r="P99" s="50"/>
      <c r="Q99" s="50"/>
      <c r="R99" s="50"/>
      <c r="S99" s="52">
        <v>0</v>
      </c>
      <c r="T99" s="52">
        <v>0</v>
      </c>
      <c r="V99" s="52" t="s">
        <v>231</v>
      </c>
      <c r="W99" s="52">
        <v>1</v>
      </c>
    </row>
    <row r="100" spans="1:23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49"/>
      <c r="H100" s="49"/>
      <c r="I100" s="49"/>
      <c r="J100" s="106">
        <f>VLOOKUP($A100, Stat!$A$1:$C$501, 2,0)</f>
        <v>151</v>
      </c>
      <c r="K100" s="106">
        <f>VLOOKUP($A100, Stat!$A$1:$C$501, 3,0)</f>
        <v>4</v>
      </c>
      <c r="L100" s="109"/>
      <c r="P100" s="49"/>
      <c r="Q100" s="50"/>
      <c r="R100" s="49" t="s">
        <v>266</v>
      </c>
      <c r="S100" s="52">
        <v>30</v>
      </c>
      <c r="T100" s="52">
        <v>0</v>
      </c>
      <c r="W100" s="52">
        <v>1</v>
      </c>
    </row>
    <row r="101" spans="1:23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308</v>
      </c>
      <c r="G101" s="49"/>
      <c r="H101" s="49"/>
      <c r="I101" s="49"/>
      <c r="J101" s="108">
        <f>VLOOKUP($A101, Stat!$A$1:$C$501, 2,0)</f>
        <v>0</v>
      </c>
      <c r="K101" s="108">
        <f>VLOOKUP($A101, Stat!$A$1:$C$501, 3,0)</f>
        <v>0</v>
      </c>
      <c r="L101" s="108"/>
      <c r="P101" s="50"/>
      <c r="Q101" s="50"/>
      <c r="R101" s="50"/>
      <c r="S101" s="52">
        <v>0</v>
      </c>
      <c r="T101" s="52">
        <v>0</v>
      </c>
      <c r="U101" s="52" t="s">
        <v>433</v>
      </c>
      <c r="W101" s="52">
        <v>1</v>
      </c>
    </row>
    <row r="102" spans="1:23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308</v>
      </c>
      <c r="G102" s="49"/>
      <c r="H102" s="49"/>
      <c r="I102" s="49"/>
      <c r="J102" s="106">
        <f>VLOOKUP($A102, Stat!$A$1:$C$501, 2,0)</f>
        <v>85</v>
      </c>
      <c r="K102" s="106">
        <f>VLOOKUP($A102, Stat!$A$1:$C$501, 3,0)</f>
        <v>0</v>
      </c>
      <c r="L102" s="108"/>
      <c r="P102" s="50"/>
      <c r="Q102" s="50"/>
      <c r="R102" s="50"/>
      <c r="S102" s="52">
        <v>0</v>
      </c>
      <c r="T102" s="52">
        <v>-1</v>
      </c>
      <c r="U102" s="52" t="s">
        <v>433</v>
      </c>
      <c r="W102" s="52">
        <v>1</v>
      </c>
    </row>
    <row r="103" spans="1:23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308</v>
      </c>
      <c r="G103" s="49"/>
      <c r="H103" s="49"/>
      <c r="I103" s="49"/>
      <c r="J103" s="106">
        <f>VLOOKUP($A103, Stat!$A$1:$C$501, 2,0)</f>
        <v>68</v>
      </c>
      <c r="K103" s="106">
        <f>VLOOKUP($A103, Stat!$A$1:$C$501, 3,0)</f>
        <v>0</v>
      </c>
      <c r="L103" s="108"/>
      <c r="P103" s="50"/>
      <c r="Q103" s="50"/>
      <c r="R103" s="50"/>
      <c r="S103" s="52">
        <v>40</v>
      </c>
      <c r="T103" s="52">
        <v>-1</v>
      </c>
      <c r="U103" s="52" t="s">
        <v>433</v>
      </c>
      <c r="W103" s="52">
        <v>1</v>
      </c>
    </row>
    <row r="104" spans="1:23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308</v>
      </c>
      <c r="G104" s="49"/>
      <c r="H104" s="49"/>
      <c r="I104" s="49"/>
      <c r="J104" s="106">
        <f>VLOOKUP($A104, Stat!$A$1:$C$501, 2,0)</f>
        <v>39</v>
      </c>
      <c r="K104" s="106">
        <f>VLOOKUP($A104, Stat!$A$1:$C$501, 3,0)</f>
        <v>0</v>
      </c>
      <c r="L104" s="108"/>
      <c r="P104" s="50"/>
      <c r="Q104" s="50"/>
      <c r="R104" s="50"/>
      <c r="S104" s="52">
        <v>60</v>
      </c>
      <c r="T104" s="52">
        <v>-1</v>
      </c>
      <c r="U104" s="52" t="s">
        <v>433</v>
      </c>
      <c r="W104" s="52">
        <v>1</v>
      </c>
    </row>
    <row r="105" spans="1:23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308</v>
      </c>
      <c r="G105" s="49"/>
      <c r="H105" s="49"/>
      <c r="I105" s="49"/>
      <c r="J105" s="108">
        <f>VLOOKUP($A105, Stat!$A$1:$C$501, 2,0)</f>
        <v>0</v>
      </c>
      <c r="K105" s="108">
        <f>VLOOKUP($A105, Stat!$A$1:$C$501, 3,0)</f>
        <v>0</v>
      </c>
      <c r="L105" s="108"/>
      <c r="P105" s="50"/>
      <c r="Q105" s="50"/>
      <c r="R105" s="50"/>
      <c r="S105" s="52">
        <v>0</v>
      </c>
      <c r="T105" s="52">
        <v>0</v>
      </c>
      <c r="W105" s="52">
        <v>1</v>
      </c>
    </row>
    <row r="106" spans="1:23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308</v>
      </c>
      <c r="G106" s="49"/>
      <c r="H106" s="49"/>
      <c r="I106" s="49"/>
      <c r="J106" s="106">
        <f>VLOOKUP($A106, Stat!$A$1:$C$501, 2,0)</f>
        <v>0</v>
      </c>
      <c r="K106" s="106">
        <f>VLOOKUP($A106, Stat!$A$1:$C$501, 3,0)</f>
        <v>0</v>
      </c>
      <c r="L106" s="108"/>
      <c r="P106" s="50"/>
      <c r="Q106" s="50"/>
      <c r="R106" s="50"/>
      <c r="S106" s="52">
        <v>10</v>
      </c>
      <c r="T106" s="52">
        <v>0</v>
      </c>
      <c r="W106" s="52">
        <v>1</v>
      </c>
    </row>
    <row r="107" spans="1:23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308</v>
      </c>
      <c r="G107" s="49"/>
      <c r="H107" s="49"/>
      <c r="I107" s="49"/>
      <c r="J107" s="108">
        <f>VLOOKUP($A107, Stat!$A$1:$C$501, 2,0)</f>
        <v>0</v>
      </c>
      <c r="K107" s="108">
        <f>VLOOKUP($A107, Stat!$A$1:$C$501, 3,0)</f>
        <v>0</v>
      </c>
      <c r="L107" s="108"/>
      <c r="P107" s="50"/>
      <c r="Q107" s="50"/>
      <c r="R107" s="50"/>
      <c r="S107" s="52">
        <v>40</v>
      </c>
      <c r="T107" s="52">
        <v>0</v>
      </c>
      <c r="W107" s="52">
        <v>1</v>
      </c>
    </row>
    <row r="108" spans="1:23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308</v>
      </c>
      <c r="G108" s="49"/>
      <c r="H108" s="49"/>
      <c r="I108" s="49"/>
      <c r="J108" s="108">
        <f>VLOOKUP($A108, Stat!$A$1:$C$501, 2,0)</f>
        <v>0</v>
      </c>
      <c r="K108" s="108">
        <f>VLOOKUP($A108, Stat!$A$1:$C$501, 3,0)</f>
        <v>0</v>
      </c>
      <c r="L108" s="108"/>
      <c r="P108" s="50"/>
      <c r="Q108" s="50"/>
      <c r="R108" s="50"/>
      <c r="S108" s="52">
        <v>60</v>
      </c>
      <c r="T108" s="52">
        <v>0</v>
      </c>
      <c r="W108" s="52">
        <v>1</v>
      </c>
    </row>
    <row r="109" spans="1:23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308</v>
      </c>
      <c r="G109" s="49"/>
      <c r="H109" s="49"/>
      <c r="I109" s="49"/>
      <c r="J109" s="106">
        <f>VLOOKUP($A109, Stat!$A$1:$C$501, 2,0)</f>
        <v>73</v>
      </c>
      <c r="K109" s="106">
        <f>VLOOKUP($A109, Stat!$A$1:$C$501, 3,0)</f>
        <v>0</v>
      </c>
      <c r="L109" s="109"/>
      <c r="P109" s="49" t="s">
        <v>260</v>
      </c>
      <c r="Q109" s="50"/>
      <c r="R109" s="50"/>
      <c r="S109" s="52">
        <v>0</v>
      </c>
      <c r="T109" s="52">
        <v>-1</v>
      </c>
      <c r="W109" s="52">
        <v>1</v>
      </c>
    </row>
    <row r="110" spans="1:23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308</v>
      </c>
      <c r="G110" s="49"/>
      <c r="H110" s="49"/>
      <c r="I110" s="49"/>
      <c r="J110" s="106">
        <f>VLOOKUP($A110, Stat!$A$1:$C$501, 2,0)</f>
        <v>11</v>
      </c>
      <c r="K110" s="106">
        <f>VLOOKUP($A110, Stat!$A$1:$C$501, 3,0)</f>
        <v>5</v>
      </c>
      <c r="L110" s="48">
        <v>1</v>
      </c>
      <c r="P110" s="49" t="s">
        <v>261</v>
      </c>
      <c r="Q110" s="50"/>
      <c r="R110" s="50"/>
      <c r="S110" s="52">
        <v>0</v>
      </c>
      <c r="T110" s="52">
        <v>0</v>
      </c>
      <c r="W110" s="52">
        <v>1</v>
      </c>
    </row>
    <row r="111" spans="1:23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308</v>
      </c>
      <c r="G111" s="49"/>
      <c r="H111" s="49"/>
      <c r="I111" s="49"/>
      <c r="J111" s="106">
        <f>VLOOKUP($A111, Stat!$A$1:$C$501, 2,0)</f>
        <v>9</v>
      </c>
      <c r="K111" s="106">
        <f>VLOOKUP($A111, Stat!$A$1:$C$501, 3,0)</f>
        <v>3</v>
      </c>
      <c r="L111" s="48">
        <v>1</v>
      </c>
      <c r="P111" s="49" t="s">
        <v>262</v>
      </c>
      <c r="Q111" s="50"/>
      <c r="R111" s="50"/>
      <c r="S111" s="52">
        <v>60</v>
      </c>
      <c r="T111" s="52">
        <v>0</v>
      </c>
      <c r="W111" s="52">
        <v>1</v>
      </c>
    </row>
    <row r="112" spans="1:23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308</v>
      </c>
      <c r="G112" s="49"/>
      <c r="H112" s="49"/>
      <c r="I112" s="49"/>
      <c r="J112" s="106">
        <f>VLOOKUP($A112, Stat!$A$1:$C$501, 2,0)</f>
        <v>2</v>
      </c>
      <c r="K112" s="106">
        <f>VLOOKUP($A112, Stat!$A$1:$C$501, 3,0)</f>
        <v>1</v>
      </c>
      <c r="L112" s="48">
        <v>1</v>
      </c>
      <c r="P112" s="49" t="s">
        <v>263</v>
      </c>
      <c r="Q112" s="50"/>
      <c r="R112" s="50"/>
      <c r="S112" s="52">
        <v>100</v>
      </c>
      <c r="T112" s="52">
        <v>0</v>
      </c>
      <c r="W112" s="52">
        <v>1</v>
      </c>
    </row>
    <row r="113" spans="1:23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308</v>
      </c>
      <c r="G113" s="49"/>
      <c r="H113" s="49"/>
      <c r="I113" s="49"/>
      <c r="J113" s="106">
        <f>VLOOKUP($A113, Stat!$A$1:$C$501, 2,0)</f>
        <v>149</v>
      </c>
      <c r="K113" s="106">
        <f>VLOOKUP($A113, Stat!$A$1:$C$501, 3,0)</f>
        <v>0</v>
      </c>
      <c r="L113" s="109"/>
      <c r="P113" s="49" t="s">
        <v>393</v>
      </c>
      <c r="Q113" s="50"/>
      <c r="R113" s="49"/>
      <c r="S113" s="52">
        <v>0</v>
      </c>
      <c r="T113" s="52">
        <v>-1</v>
      </c>
      <c r="W113" s="52">
        <v>1</v>
      </c>
    </row>
    <row r="114" spans="1:23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308</v>
      </c>
      <c r="G114" s="49"/>
      <c r="H114" s="49"/>
      <c r="I114" s="49"/>
      <c r="J114" s="106">
        <f>VLOOKUP($A114, Stat!$A$1:$C$501, 2,0)</f>
        <v>22</v>
      </c>
      <c r="K114" s="106">
        <f>VLOOKUP($A114, Stat!$A$1:$C$501, 3,0)</f>
        <v>0</v>
      </c>
      <c r="L114" s="108"/>
      <c r="P114" s="49" t="s">
        <v>394</v>
      </c>
      <c r="Q114" s="50"/>
      <c r="R114" s="49"/>
      <c r="S114" s="52">
        <v>0</v>
      </c>
      <c r="T114" s="52">
        <v>-1</v>
      </c>
      <c r="W114" s="52">
        <v>1</v>
      </c>
    </row>
    <row r="115" spans="1:23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308</v>
      </c>
      <c r="G115" s="49"/>
      <c r="H115" s="49"/>
      <c r="I115" s="49"/>
      <c r="J115" s="106">
        <f>VLOOKUP($A115, Stat!$A$1:$C$501, 2,0)</f>
        <v>16</v>
      </c>
      <c r="K115" s="106">
        <f>VLOOKUP($A115, Stat!$A$1:$C$501, 3,0)</f>
        <v>0</v>
      </c>
      <c r="L115" s="108"/>
      <c r="P115" s="49" t="s">
        <v>395</v>
      </c>
      <c r="Q115" s="50"/>
      <c r="R115" s="49"/>
      <c r="S115" s="52">
        <v>60</v>
      </c>
      <c r="T115" s="52">
        <v>0</v>
      </c>
      <c r="W115" s="52">
        <v>1</v>
      </c>
    </row>
    <row r="116" spans="1:23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308</v>
      </c>
      <c r="G116" s="49"/>
      <c r="H116" s="49"/>
      <c r="I116" s="49"/>
      <c r="J116" s="106">
        <f>VLOOKUP($A116, Stat!$A$1:$C$501, 2,0)</f>
        <v>20</v>
      </c>
      <c r="K116" s="106">
        <f>VLOOKUP($A116, Stat!$A$1:$C$501, 3,0)</f>
        <v>0</v>
      </c>
      <c r="L116" s="108"/>
      <c r="P116" s="49" t="s">
        <v>396</v>
      </c>
      <c r="Q116" s="50"/>
      <c r="R116" s="49"/>
      <c r="S116" s="52">
        <v>100</v>
      </c>
      <c r="T116" s="52">
        <v>0</v>
      </c>
      <c r="W116" s="52">
        <v>1</v>
      </c>
    </row>
    <row r="117" spans="1:23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308</v>
      </c>
      <c r="G117" s="49"/>
      <c r="H117" s="49"/>
      <c r="I117" s="49"/>
      <c r="J117" s="106">
        <f>VLOOKUP($A117, Stat!$A$1:$C$501, 2,0)</f>
        <v>43</v>
      </c>
      <c r="K117" s="106">
        <f>VLOOKUP($A117, Stat!$A$1:$C$501, 3,0)</f>
        <v>0</v>
      </c>
      <c r="L117" s="108"/>
      <c r="P117" s="49" t="s">
        <v>393</v>
      </c>
      <c r="Q117" s="50"/>
      <c r="R117" s="50"/>
      <c r="S117" s="52">
        <v>0</v>
      </c>
      <c r="T117" s="52">
        <v>-1</v>
      </c>
      <c r="U117" s="52" t="s">
        <v>170</v>
      </c>
      <c r="W117" s="52">
        <v>1</v>
      </c>
    </row>
    <row r="118" spans="1:23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308</v>
      </c>
      <c r="G118" s="49"/>
      <c r="H118" s="49"/>
      <c r="I118" s="49"/>
      <c r="J118" s="106">
        <f>VLOOKUP($A118, Stat!$A$1:$C$501, 2,0)</f>
        <v>57</v>
      </c>
      <c r="K118" s="106">
        <f>VLOOKUP($A118, Stat!$A$1:$C$501, 3,0)</f>
        <v>0</v>
      </c>
      <c r="L118" s="108"/>
      <c r="P118" s="49" t="s">
        <v>394</v>
      </c>
      <c r="Q118" s="50"/>
      <c r="R118" s="50"/>
      <c r="S118" s="52">
        <v>0</v>
      </c>
      <c r="T118" s="52">
        <v>-1</v>
      </c>
      <c r="U118" s="52" t="s">
        <v>170</v>
      </c>
      <c r="W118" s="52">
        <v>1</v>
      </c>
    </row>
    <row r="119" spans="1:23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308</v>
      </c>
      <c r="G119" s="49"/>
      <c r="H119" s="49"/>
      <c r="I119" s="49"/>
      <c r="J119" s="106">
        <f>VLOOKUP($A119, Stat!$A$1:$C$501, 2,0)</f>
        <v>31</v>
      </c>
      <c r="K119" s="106">
        <f>VLOOKUP($A119, Stat!$A$1:$C$501, 3,0)</f>
        <v>0</v>
      </c>
      <c r="L119" s="108"/>
      <c r="P119" s="49" t="s">
        <v>395</v>
      </c>
      <c r="Q119" s="50"/>
      <c r="R119" s="50"/>
      <c r="S119" s="52">
        <v>60</v>
      </c>
      <c r="T119" s="52">
        <v>-1</v>
      </c>
      <c r="U119" s="52" t="s">
        <v>170</v>
      </c>
      <c r="W119" s="52">
        <v>1</v>
      </c>
    </row>
    <row r="120" spans="1:23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308</v>
      </c>
      <c r="G120" s="49"/>
      <c r="H120" s="49"/>
      <c r="I120" s="49"/>
      <c r="J120" s="106">
        <f>VLOOKUP($A120, Stat!$A$1:$C$501, 2,0)</f>
        <v>21</v>
      </c>
      <c r="K120" s="106">
        <f>VLOOKUP($A120, Stat!$A$1:$C$501, 3,0)</f>
        <v>0</v>
      </c>
      <c r="L120" s="109"/>
      <c r="P120" s="49" t="s">
        <v>396</v>
      </c>
      <c r="Q120" s="50"/>
      <c r="R120" s="50"/>
      <c r="S120" s="52">
        <v>100</v>
      </c>
      <c r="T120" s="52">
        <v>-1</v>
      </c>
      <c r="U120" s="52" t="s">
        <v>170</v>
      </c>
      <c r="W120" s="52">
        <v>1</v>
      </c>
    </row>
    <row r="121" spans="1:23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308</v>
      </c>
      <c r="G121" s="49"/>
      <c r="H121" s="49"/>
      <c r="I121" s="49"/>
      <c r="J121" s="106">
        <f>VLOOKUP($A121, Stat!$A$1:$C$501, 2,0)</f>
        <v>85</v>
      </c>
      <c r="K121" s="106">
        <f>VLOOKUP($A121, Stat!$A$1:$C$501, 3,0)</f>
        <v>0</v>
      </c>
      <c r="L121" s="108"/>
      <c r="N121" s="48">
        <v>999</v>
      </c>
      <c r="P121" s="49"/>
      <c r="Q121" s="50"/>
      <c r="R121" s="50"/>
      <c r="S121" s="52">
        <v>0</v>
      </c>
      <c r="T121" s="52">
        <v>-1</v>
      </c>
      <c r="W121" s="52">
        <v>1</v>
      </c>
    </row>
    <row r="122" spans="1:23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308</v>
      </c>
      <c r="G122" s="49"/>
      <c r="H122" s="49"/>
      <c r="I122" s="49"/>
      <c r="J122" s="106">
        <f>VLOOKUP($A122, Stat!$A$1:$C$501, 2,0)</f>
        <v>52</v>
      </c>
      <c r="K122" s="106">
        <f>VLOOKUP($A122, Stat!$A$1:$C$501, 3,0)</f>
        <v>0</v>
      </c>
      <c r="L122" s="108"/>
      <c r="N122" s="48">
        <v>999</v>
      </c>
      <c r="P122" s="49"/>
      <c r="Q122" s="50"/>
      <c r="R122" s="50"/>
      <c r="S122" s="52">
        <v>0</v>
      </c>
      <c r="T122" s="52">
        <v>-1</v>
      </c>
      <c r="W122" s="52">
        <v>1</v>
      </c>
    </row>
    <row r="123" spans="1:23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308</v>
      </c>
      <c r="G123" s="49"/>
      <c r="H123" s="49"/>
      <c r="I123" s="49"/>
      <c r="J123" s="106">
        <f>VLOOKUP($A123, Stat!$A$1:$C$501, 2,0)</f>
        <v>13</v>
      </c>
      <c r="K123" s="106">
        <f>VLOOKUP($A123, Stat!$A$1:$C$501, 3,0)</f>
        <v>0</v>
      </c>
      <c r="L123" s="108"/>
      <c r="N123" s="48">
        <v>999</v>
      </c>
      <c r="P123" s="49"/>
      <c r="Q123" s="50"/>
      <c r="R123" s="50"/>
      <c r="S123" s="52">
        <v>60</v>
      </c>
      <c r="T123" s="52">
        <v>-1</v>
      </c>
      <c r="W123" s="52">
        <v>1</v>
      </c>
    </row>
    <row r="124" spans="1:23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308</v>
      </c>
      <c r="G124" s="49"/>
      <c r="H124" s="49"/>
      <c r="I124" s="49"/>
      <c r="J124" s="108">
        <f>VLOOKUP($A124, Stat!$A$1:$C$501, 2,0)</f>
        <v>0</v>
      </c>
      <c r="K124" s="108">
        <f>VLOOKUP($A124, Stat!$A$1:$C$501, 3,0)</f>
        <v>0</v>
      </c>
      <c r="L124" s="108"/>
      <c r="N124" s="48">
        <v>999</v>
      </c>
      <c r="P124" s="49"/>
      <c r="Q124" s="50"/>
      <c r="R124" s="50"/>
      <c r="S124" s="52">
        <v>60</v>
      </c>
      <c r="T124" s="52">
        <v>0</v>
      </c>
      <c r="V124" s="52" t="s">
        <v>598</v>
      </c>
      <c r="W124" s="52">
        <v>1</v>
      </c>
    </row>
    <row r="125" spans="1:23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308</v>
      </c>
      <c r="G125" s="49"/>
      <c r="H125" s="49"/>
      <c r="I125" s="49"/>
      <c r="J125" s="106">
        <f>VLOOKUP($A125, Stat!$A$1:$C$501, 2,0)</f>
        <v>34</v>
      </c>
      <c r="K125" s="106">
        <f>VLOOKUP($A125, Stat!$A$1:$C$501, 3,0)</f>
        <v>1</v>
      </c>
      <c r="P125" s="49" t="s">
        <v>393</v>
      </c>
      <c r="Q125" s="50"/>
      <c r="R125" s="50"/>
      <c r="S125" s="52">
        <v>0</v>
      </c>
      <c r="T125" s="52">
        <v>-1</v>
      </c>
      <c r="U125" s="52" t="s">
        <v>171</v>
      </c>
      <c r="W125" s="52">
        <v>1</v>
      </c>
    </row>
    <row r="126" spans="1:23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308</v>
      </c>
      <c r="G126" s="49"/>
      <c r="H126" s="49"/>
      <c r="I126" s="49"/>
      <c r="J126" s="106">
        <f>VLOOKUP($A126, Stat!$A$1:$C$501, 2,0)</f>
        <v>55</v>
      </c>
      <c r="K126" s="106">
        <f>VLOOKUP($A126, Stat!$A$1:$C$501, 3,0)</f>
        <v>1</v>
      </c>
      <c r="P126" s="49" t="s">
        <v>394</v>
      </c>
      <c r="Q126" s="50"/>
      <c r="R126" s="50"/>
      <c r="S126" s="52">
        <v>0</v>
      </c>
      <c r="T126" s="52">
        <v>0</v>
      </c>
      <c r="U126" s="52" t="s">
        <v>171</v>
      </c>
      <c r="V126" s="52" t="s">
        <v>438</v>
      </c>
      <c r="W126" s="52">
        <v>1</v>
      </c>
    </row>
    <row r="127" spans="1:23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308</v>
      </c>
      <c r="G127" s="49"/>
      <c r="H127" s="49"/>
      <c r="I127" s="49"/>
      <c r="J127" s="106">
        <f>VLOOKUP($A127, Stat!$A$1:$C$501, 2,0)</f>
        <v>97</v>
      </c>
      <c r="K127" s="106">
        <f>VLOOKUP($A127, Stat!$A$1:$C$501, 3,0)</f>
        <v>1</v>
      </c>
      <c r="P127" s="49" t="s">
        <v>395</v>
      </c>
      <c r="Q127" s="50"/>
      <c r="R127" s="50"/>
      <c r="S127" s="52">
        <v>60</v>
      </c>
      <c r="T127" s="52">
        <v>0</v>
      </c>
      <c r="U127" s="52" t="s">
        <v>171</v>
      </c>
      <c r="W127" s="52">
        <v>1</v>
      </c>
    </row>
    <row r="128" spans="1:23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308</v>
      </c>
      <c r="G128" s="49"/>
      <c r="H128" s="49"/>
      <c r="I128" s="49"/>
      <c r="J128" s="106">
        <f>VLOOKUP($A128, Stat!$A$1:$C$501, 2,0)</f>
        <v>106</v>
      </c>
      <c r="K128" s="106">
        <f>VLOOKUP($A128, Stat!$A$1:$C$501, 3,0)</f>
        <v>1</v>
      </c>
      <c r="P128" s="49" t="s">
        <v>396</v>
      </c>
      <c r="Q128" s="50"/>
      <c r="R128" s="50"/>
      <c r="S128" s="52">
        <v>100</v>
      </c>
      <c r="T128" s="52">
        <v>0</v>
      </c>
      <c r="U128" s="52" t="s">
        <v>171</v>
      </c>
      <c r="W128" s="52">
        <v>1</v>
      </c>
    </row>
    <row r="129" spans="1:23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308</v>
      </c>
      <c r="G129" s="49"/>
      <c r="H129" s="49"/>
      <c r="I129" s="49"/>
      <c r="J129" s="106">
        <f>VLOOKUP($A129, Stat!$A$1:$C$501, 2,0)</f>
        <v>147</v>
      </c>
      <c r="K129" s="106">
        <f>VLOOKUP($A129, Stat!$A$1:$C$501, 3,0)</f>
        <v>0</v>
      </c>
      <c r="L129" s="109"/>
      <c r="P129" s="50"/>
      <c r="Q129" s="50"/>
      <c r="R129" s="50"/>
      <c r="S129" s="52">
        <v>0</v>
      </c>
      <c r="T129" s="52">
        <v>-1</v>
      </c>
      <c r="W129" s="52">
        <v>1</v>
      </c>
    </row>
    <row r="130" spans="1:23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308</v>
      </c>
      <c r="G130" s="49"/>
      <c r="H130" s="49"/>
      <c r="I130" s="49"/>
      <c r="J130" s="106">
        <f>VLOOKUP($A130, Stat!$A$1:$C$501, 2,0)</f>
        <v>64</v>
      </c>
      <c r="K130" s="106">
        <f>VLOOKUP($A130, Stat!$A$1:$C$501, 3,0)</f>
        <v>9</v>
      </c>
      <c r="L130" s="109"/>
      <c r="P130" s="50"/>
      <c r="Q130" s="50"/>
      <c r="R130" s="50"/>
      <c r="S130" s="52">
        <v>0</v>
      </c>
      <c r="T130" s="52">
        <v>-1</v>
      </c>
      <c r="W130" s="52">
        <v>1</v>
      </c>
    </row>
    <row r="131" spans="1:23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308</v>
      </c>
      <c r="G131" s="49"/>
      <c r="H131" s="49"/>
      <c r="I131" s="49"/>
      <c r="J131" s="106">
        <f>VLOOKUP($A131, Stat!$A$1:$C$501, 2,0)</f>
        <v>43</v>
      </c>
      <c r="K131" s="106">
        <f>VLOOKUP($A131, Stat!$A$1:$C$501, 3,0)</f>
        <v>5</v>
      </c>
      <c r="L131" s="109"/>
      <c r="P131" s="50"/>
      <c r="Q131" s="50"/>
      <c r="R131" s="50"/>
      <c r="S131" s="52">
        <v>40</v>
      </c>
      <c r="T131" s="52">
        <v>-1</v>
      </c>
      <c r="W131" s="52">
        <v>1</v>
      </c>
    </row>
    <row r="132" spans="1:23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308</v>
      </c>
      <c r="G132" s="49"/>
      <c r="H132" s="49"/>
      <c r="I132" s="49"/>
      <c r="J132" s="106">
        <f>VLOOKUP($A132, Stat!$A$1:$C$501, 2,0)</f>
        <v>29</v>
      </c>
      <c r="K132" s="106">
        <f>VLOOKUP($A132, Stat!$A$1:$C$501, 3,0)</f>
        <v>14</v>
      </c>
      <c r="L132" s="48">
        <v>1</v>
      </c>
      <c r="P132" s="50"/>
      <c r="Q132" s="50"/>
      <c r="R132" s="50"/>
      <c r="S132" s="52">
        <v>100</v>
      </c>
      <c r="T132" s="52">
        <v>0</v>
      </c>
      <c r="W132" s="52">
        <v>1</v>
      </c>
    </row>
    <row r="133" spans="1:23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308</v>
      </c>
      <c r="G133" s="49"/>
      <c r="H133" s="49"/>
      <c r="I133" s="49"/>
      <c r="J133" s="106">
        <f>VLOOKUP($A133, Stat!$A$1:$C$501, 2,0)</f>
        <v>179</v>
      </c>
      <c r="K133" s="106">
        <f>VLOOKUP($A133, Stat!$A$1:$C$501, 3,0)</f>
        <v>0</v>
      </c>
      <c r="L133" s="109"/>
      <c r="P133" s="50"/>
      <c r="Q133" s="50"/>
      <c r="R133" s="50"/>
      <c r="S133" s="52">
        <v>0</v>
      </c>
      <c r="T133" s="52">
        <v>-1</v>
      </c>
      <c r="W133" s="52">
        <v>1</v>
      </c>
    </row>
    <row r="134" spans="1:23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308</v>
      </c>
      <c r="G134" s="49"/>
      <c r="H134" s="49"/>
      <c r="I134" s="49"/>
      <c r="J134" s="106">
        <f>VLOOKUP($A134, Stat!$A$1:$C$501, 2,0)</f>
        <v>67</v>
      </c>
      <c r="K134" s="106">
        <f>VLOOKUP($A134, Stat!$A$1:$C$501, 3,0)</f>
        <v>7</v>
      </c>
      <c r="L134" s="109"/>
      <c r="P134" s="50"/>
      <c r="Q134" s="50"/>
      <c r="R134" s="50"/>
      <c r="S134" s="52">
        <v>0</v>
      </c>
      <c r="T134" s="52">
        <v>1</v>
      </c>
      <c r="W134" s="52">
        <v>1</v>
      </c>
    </row>
    <row r="135" spans="1:23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308</v>
      </c>
      <c r="G135" s="49"/>
      <c r="H135" s="49"/>
      <c r="I135" s="49"/>
      <c r="J135" s="106">
        <f>VLOOKUP($A135, Stat!$A$1:$C$501, 2,0)</f>
        <v>36</v>
      </c>
      <c r="K135" s="106">
        <f>VLOOKUP($A135, Stat!$A$1:$C$501, 3,0)</f>
        <v>6</v>
      </c>
      <c r="L135" s="109"/>
      <c r="P135" s="49"/>
      <c r="Q135" s="50"/>
      <c r="R135" s="50"/>
      <c r="S135" s="52">
        <v>40</v>
      </c>
      <c r="T135" s="52">
        <v>1</v>
      </c>
      <c r="W135" s="52">
        <v>1</v>
      </c>
    </row>
    <row r="136" spans="1:23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308</v>
      </c>
      <c r="G136" s="49"/>
      <c r="H136" s="49"/>
      <c r="I136" s="49"/>
      <c r="J136" s="106">
        <f>VLOOKUP($A136, Stat!$A$1:$C$501, 2,0)</f>
        <v>13</v>
      </c>
      <c r="K136" s="106">
        <f>VLOOKUP($A136, Stat!$A$1:$C$501, 3,0)</f>
        <v>4</v>
      </c>
      <c r="L136" s="48">
        <v>1</v>
      </c>
      <c r="P136" s="50"/>
      <c r="Q136" s="50"/>
      <c r="R136" s="50"/>
      <c r="S136" s="52">
        <v>100</v>
      </c>
      <c r="T136" s="52">
        <v>0</v>
      </c>
      <c r="W136" s="52">
        <v>1</v>
      </c>
    </row>
    <row r="137" spans="1:23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J137" s="106">
        <f>VLOOKUP($A137, Stat!$A$1:$C$501, 2,0)</f>
        <v>7</v>
      </c>
      <c r="K137" s="106">
        <f>VLOOKUP($A137, Stat!$A$1:$C$501, 3,0)</f>
        <v>2</v>
      </c>
      <c r="L137" s="48">
        <v>1</v>
      </c>
      <c r="S137" s="52">
        <v>0</v>
      </c>
      <c r="T137" s="52">
        <v>1</v>
      </c>
      <c r="V137" s="52" t="s">
        <v>520</v>
      </c>
      <c r="W137" s="52">
        <v>1</v>
      </c>
    </row>
    <row r="138" spans="1:23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J138" s="106">
        <f>VLOOKUP($A138, Stat!$A$1:$C$501, 2,0)</f>
        <v>13</v>
      </c>
      <c r="K138" s="106">
        <f>VLOOKUP($A138, Stat!$A$1:$C$501, 3,0)</f>
        <v>3</v>
      </c>
      <c r="L138" s="48">
        <v>1</v>
      </c>
      <c r="S138" s="52">
        <v>0</v>
      </c>
      <c r="T138" s="52">
        <v>1</v>
      </c>
      <c r="W138" s="52">
        <v>1</v>
      </c>
    </row>
    <row r="139" spans="1:23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J139" s="106">
        <f>VLOOKUP($A139, Stat!$A$1:$C$501, 2,0)</f>
        <v>9</v>
      </c>
      <c r="K139" s="106">
        <f>VLOOKUP($A139, Stat!$A$1:$C$501, 3,0)</f>
        <v>4</v>
      </c>
      <c r="L139" s="48">
        <v>1</v>
      </c>
      <c r="S139" s="52">
        <v>0</v>
      </c>
      <c r="T139" s="52">
        <v>1</v>
      </c>
      <c r="W139" s="52">
        <v>1</v>
      </c>
    </row>
    <row r="140" spans="1:23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J140" s="106">
        <f>VLOOKUP($A140, Stat!$A$1:$C$501, 2,0)</f>
        <v>11</v>
      </c>
      <c r="K140" s="106">
        <f>VLOOKUP($A140, Stat!$A$1:$C$501, 3,0)</f>
        <v>9</v>
      </c>
      <c r="L140" s="48">
        <v>1</v>
      </c>
      <c r="S140" s="52">
        <v>0</v>
      </c>
      <c r="T140" s="52">
        <v>0</v>
      </c>
      <c r="V140" s="52" t="s">
        <v>465</v>
      </c>
      <c r="W140" s="52">
        <v>1</v>
      </c>
    </row>
    <row r="141" spans="1:23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308</v>
      </c>
      <c r="G141" s="49"/>
      <c r="H141" s="49"/>
      <c r="I141" s="49"/>
      <c r="J141" s="106">
        <f>VLOOKUP($A141, Stat!$A$1:$C$501, 2,0)</f>
        <v>69</v>
      </c>
      <c r="K141" s="106">
        <f>VLOOKUP($A141, Stat!$A$1:$C$501, 3,0)</f>
        <v>1</v>
      </c>
      <c r="L141" s="109"/>
      <c r="P141" s="49" t="s">
        <v>256</v>
      </c>
      <c r="Q141" s="50"/>
      <c r="R141" s="50"/>
      <c r="S141" s="52">
        <v>0</v>
      </c>
      <c r="T141" s="52">
        <v>-1</v>
      </c>
      <c r="W141" s="52">
        <v>1</v>
      </c>
    </row>
    <row r="142" spans="1:23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308</v>
      </c>
      <c r="G142" s="49"/>
      <c r="H142" s="49"/>
      <c r="I142" s="49"/>
      <c r="J142" s="106">
        <f>VLOOKUP($A142, Stat!$A$1:$C$501, 2,0)</f>
        <v>28</v>
      </c>
      <c r="K142" s="106">
        <f>VLOOKUP($A142, Stat!$A$1:$C$501, 3,0)</f>
        <v>1</v>
      </c>
      <c r="L142" s="109"/>
      <c r="P142" s="49" t="s">
        <v>257</v>
      </c>
      <c r="Q142" s="50"/>
      <c r="R142" s="50"/>
      <c r="S142" s="52">
        <v>0</v>
      </c>
      <c r="T142" s="52">
        <v>-1</v>
      </c>
      <c r="W142" s="52">
        <v>1</v>
      </c>
    </row>
    <row r="143" spans="1:23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308</v>
      </c>
      <c r="G143" s="49"/>
      <c r="H143" s="49"/>
      <c r="I143" s="49"/>
      <c r="J143" s="106">
        <f>VLOOKUP($A143, Stat!$A$1:$C$501, 2,0)</f>
        <v>13</v>
      </c>
      <c r="K143" s="106">
        <f>VLOOKUP($A143, Stat!$A$1:$C$501, 3,0)</f>
        <v>3</v>
      </c>
      <c r="L143" s="48">
        <v>1</v>
      </c>
      <c r="P143" s="49" t="s">
        <v>258</v>
      </c>
      <c r="Q143" s="50"/>
      <c r="R143" s="50"/>
      <c r="S143" s="52">
        <v>60</v>
      </c>
      <c r="T143" s="52">
        <v>0</v>
      </c>
      <c r="W143" s="52">
        <v>1</v>
      </c>
    </row>
    <row r="144" spans="1:23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308</v>
      </c>
      <c r="G144" s="49"/>
      <c r="H144" s="49"/>
      <c r="I144" s="49"/>
      <c r="J144" s="106">
        <f>VLOOKUP($A144, Stat!$A$1:$C$501, 2,0)</f>
        <v>5</v>
      </c>
      <c r="K144" s="106">
        <f>VLOOKUP($A144, Stat!$A$1:$C$501, 3,0)</f>
        <v>4</v>
      </c>
      <c r="L144" s="48">
        <v>1</v>
      </c>
      <c r="P144" s="49" t="s">
        <v>259</v>
      </c>
      <c r="Q144" s="50"/>
      <c r="R144" s="50"/>
      <c r="S144" s="52">
        <v>100</v>
      </c>
      <c r="T144" s="52">
        <v>0</v>
      </c>
      <c r="W144" s="52">
        <v>1</v>
      </c>
    </row>
    <row r="145" spans="1:23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308</v>
      </c>
      <c r="G145" s="49"/>
      <c r="H145" s="49"/>
      <c r="I145" s="49"/>
      <c r="J145" s="106">
        <f>VLOOKUP($A145, Stat!$A$1:$C$501, 2,0)</f>
        <v>0</v>
      </c>
      <c r="K145" s="108">
        <f>VLOOKUP($A145, Stat!$A$1:$C$501, 3,0)</f>
        <v>0</v>
      </c>
      <c r="L145" s="108"/>
      <c r="P145" s="50"/>
      <c r="Q145" s="50"/>
      <c r="R145" s="50"/>
      <c r="S145" s="52">
        <v>0</v>
      </c>
      <c r="T145" s="52">
        <v>-1</v>
      </c>
      <c r="U145" s="52" t="s">
        <v>434</v>
      </c>
      <c r="W145" s="52">
        <v>1</v>
      </c>
    </row>
    <row r="146" spans="1:23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308</v>
      </c>
      <c r="G146" s="49"/>
      <c r="H146" s="49"/>
      <c r="I146" s="49"/>
      <c r="J146" s="106">
        <f>VLOOKUP($A146, Stat!$A$1:$C$501, 2,0)</f>
        <v>48</v>
      </c>
      <c r="K146" s="106">
        <f>VLOOKUP($A146, Stat!$A$1:$C$501, 3,0)</f>
        <v>0</v>
      </c>
      <c r="L146" s="108"/>
      <c r="P146" s="50"/>
      <c r="Q146" s="50"/>
      <c r="R146" s="50"/>
      <c r="S146" s="52">
        <v>0</v>
      </c>
      <c r="T146" s="52">
        <v>-1</v>
      </c>
      <c r="U146" s="52" t="s">
        <v>434</v>
      </c>
      <c r="W146" s="52">
        <v>1</v>
      </c>
    </row>
    <row r="147" spans="1:23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308</v>
      </c>
      <c r="G147" s="49"/>
      <c r="H147" s="49"/>
      <c r="I147" s="49"/>
      <c r="J147" s="106">
        <f>VLOOKUP($A147, Stat!$A$1:$C$501, 2,0)</f>
        <v>33</v>
      </c>
      <c r="K147" s="106">
        <f>VLOOKUP($A147, Stat!$A$1:$C$501, 3,0)</f>
        <v>0</v>
      </c>
      <c r="L147" s="108"/>
      <c r="P147" s="50"/>
      <c r="Q147" s="50"/>
      <c r="R147" s="50"/>
      <c r="S147" s="52">
        <v>40</v>
      </c>
      <c r="T147" s="52">
        <v>-1</v>
      </c>
      <c r="U147" s="52" t="s">
        <v>434</v>
      </c>
      <c r="W147" s="52">
        <v>1</v>
      </c>
    </row>
    <row r="148" spans="1:23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308</v>
      </c>
      <c r="G148" s="49"/>
      <c r="H148" s="49"/>
      <c r="I148" s="49"/>
      <c r="J148" s="106">
        <f>VLOOKUP($A148, Stat!$A$1:$C$501, 2,0)</f>
        <v>14</v>
      </c>
      <c r="K148" s="106">
        <f>VLOOKUP($A148, Stat!$A$1:$C$501, 3,0)</f>
        <v>0</v>
      </c>
      <c r="L148" s="109"/>
      <c r="P148" s="50"/>
      <c r="Q148" s="50"/>
      <c r="R148" s="50"/>
      <c r="S148" s="52">
        <v>100</v>
      </c>
      <c r="T148" s="52">
        <v>-1</v>
      </c>
      <c r="U148" s="52" t="s">
        <v>434</v>
      </c>
      <c r="W148" s="52">
        <v>1</v>
      </c>
    </row>
    <row r="149" spans="1:23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308</v>
      </c>
      <c r="G149" s="49"/>
      <c r="H149" s="49"/>
      <c r="I149" s="49"/>
      <c r="J149" s="106">
        <f>VLOOKUP($A149, Stat!$A$1:$C$501, 2,0)</f>
        <v>47</v>
      </c>
      <c r="K149" s="106">
        <f>VLOOKUP($A149, Stat!$A$1:$C$501, 3,0)</f>
        <v>4</v>
      </c>
      <c r="L149" s="109"/>
      <c r="P149" s="49" t="s">
        <v>281</v>
      </c>
      <c r="Q149" s="50"/>
      <c r="R149" s="50"/>
      <c r="S149" s="52">
        <v>0</v>
      </c>
      <c r="T149" s="52">
        <v>0</v>
      </c>
      <c r="U149" s="52" t="s">
        <v>276</v>
      </c>
      <c r="W149" s="52">
        <v>1</v>
      </c>
    </row>
    <row r="150" spans="1:23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308</v>
      </c>
      <c r="G150" s="49"/>
      <c r="H150" s="49"/>
      <c r="I150" s="49"/>
      <c r="J150" s="106">
        <f>VLOOKUP($A150, Stat!$A$1:$C$501, 2,0)</f>
        <v>7</v>
      </c>
      <c r="K150" s="106">
        <f>VLOOKUP($A150, Stat!$A$1:$C$501, 3,0)</f>
        <v>3</v>
      </c>
      <c r="L150" s="48">
        <v>1</v>
      </c>
      <c r="P150" s="49" t="s">
        <v>282</v>
      </c>
      <c r="Q150" s="50"/>
      <c r="R150" s="50"/>
      <c r="S150" s="52">
        <v>0</v>
      </c>
      <c r="T150" s="52">
        <v>0</v>
      </c>
      <c r="U150" s="52" t="s">
        <v>276</v>
      </c>
      <c r="W150" s="52">
        <v>1</v>
      </c>
    </row>
    <row r="151" spans="1:23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308</v>
      </c>
      <c r="G151" s="49"/>
      <c r="H151" s="49"/>
      <c r="I151" s="49"/>
      <c r="J151" s="106">
        <f>VLOOKUP($A151, Stat!$A$1:$C$501, 2,0)</f>
        <v>13</v>
      </c>
      <c r="K151" s="106">
        <f>VLOOKUP($A151, Stat!$A$1:$C$501, 3,0)</f>
        <v>7</v>
      </c>
      <c r="L151" s="48">
        <v>1</v>
      </c>
      <c r="P151" s="49" t="s">
        <v>283</v>
      </c>
      <c r="Q151" s="50"/>
      <c r="R151" s="50"/>
      <c r="S151" s="52">
        <v>60</v>
      </c>
      <c r="T151" s="52">
        <v>0</v>
      </c>
      <c r="U151" s="52" t="s">
        <v>276</v>
      </c>
      <c r="W151" s="52">
        <v>1</v>
      </c>
    </row>
    <row r="152" spans="1:23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308</v>
      </c>
      <c r="G152" s="49"/>
      <c r="H152" s="49"/>
      <c r="I152" s="49"/>
      <c r="J152" s="106">
        <f>VLOOKUP($A152, Stat!$A$1:$C$501, 2,0)</f>
        <v>2</v>
      </c>
      <c r="K152" s="106">
        <f>VLOOKUP($A152, Stat!$A$1:$C$501, 3,0)</f>
        <v>1</v>
      </c>
      <c r="L152" s="48">
        <v>1</v>
      </c>
      <c r="P152" s="49" t="s">
        <v>284</v>
      </c>
      <c r="Q152" s="50"/>
      <c r="R152" s="50"/>
      <c r="S152" s="52">
        <v>100</v>
      </c>
      <c r="T152" s="52">
        <v>0</v>
      </c>
      <c r="U152" s="52" t="s">
        <v>276</v>
      </c>
      <c r="W152" s="52">
        <v>1</v>
      </c>
    </row>
    <row r="153" spans="1:23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50"/>
      <c r="H153" s="50"/>
      <c r="I153" s="50"/>
      <c r="J153" s="106">
        <f>VLOOKUP($A153, Stat!$A$1:$C$501, 2,0)</f>
        <v>1</v>
      </c>
      <c r="K153" s="106">
        <f>VLOOKUP($A153, Stat!$A$1:$C$501, 3,0)</f>
        <v>1</v>
      </c>
      <c r="L153" s="48">
        <v>1</v>
      </c>
      <c r="P153" s="50"/>
      <c r="Q153" s="50"/>
      <c r="R153" s="50"/>
      <c r="S153" s="52">
        <v>30</v>
      </c>
      <c r="T153" s="52">
        <v>0</v>
      </c>
      <c r="V153" s="52" t="s">
        <v>234</v>
      </c>
      <c r="W153" s="52">
        <v>1</v>
      </c>
    </row>
    <row r="154" spans="1:23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50"/>
      <c r="H154" s="50"/>
      <c r="I154" s="50"/>
      <c r="J154" s="106">
        <f>VLOOKUP($A154, Stat!$A$1:$C$501, 2,0)</f>
        <v>3</v>
      </c>
      <c r="K154" s="106">
        <f>VLOOKUP($A154, Stat!$A$1:$C$501, 3,0)</f>
        <v>2</v>
      </c>
      <c r="L154" s="48">
        <v>1</v>
      </c>
      <c r="P154" s="50"/>
      <c r="Q154" s="50"/>
      <c r="R154" s="50"/>
      <c r="S154" s="52">
        <v>30</v>
      </c>
      <c r="T154" s="52">
        <v>0</v>
      </c>
      <c r="V154" s="52" t="s">
        <v>234</v>
      </c>
      <c r="W154" s="52">
        <v>1</v>
      </c>
    </row>
    <row r="155" spans="1:23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50"/>
      <c r="H155" s="50"/>
      <c r="I155" s="50"/>
      <c r="J155" s="106">
        <f>VLOOKUP($A155, Stat!$A$1:$C$501, 2,0)</f>
        <v>15</v>
      </c>
      <c r="K155" s="106">
        <f>VLOOKUP($A155, Stat!$A$1:$C$501, 3,0)</f>
        <v>3</v>
      </c>
      <c r="L155" s="48">
        <v>1</v>
      </c>
      <c r="P155" s="50"/>
      <c r="Q155" s="50"/>
      <c r="R155" s="50"/>
      <c r="S155" s="52">
        <v>30</v>
      </c>
      <c r="T155" s="52">
        <v>0</v>
      </c>
      <c r="V155" s="52" t="s">
        <v>235</v>
      </c>
      <c r="W155" s="52">
        <v>1</v>
      </c>
    </row>
    <row r="156" spans="1:23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50"/>
      <c r="H156" s="50"/>
      <c r="I156" s="50"/>
      <c r="J156" s="106">
        <f>VLOOKUP($A156, Stat!$A$1:$C$501, 2,0)</f>
        <v>2</v>
      </c>
      <c r="K156" s="106">
        <f>VLOOKUP($A156, Stat!$A$1:$C$501, 3,0)</f>
        <v>1</v>
      </c>
      <c r="L156" s="48">
        <v>1</v>
      </c>
      <c r="P156" s="50"/>
      <c r="Q156" s="50"/>
      <c r="R156" s="50"/>
      <c r="S156" s="52">
        <v>30</v>
      </c>
      <c r="T156" s="52">
        <v>0</v>
      </c>
      <c r="V156" s="52" t="s">
        <v>235</v>
      </c>
      <c r="W156" s="52">
        <v>1</v>
      </c>
    </row>
    <row r="157" spans="1:23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50"/>
      <c r="H157" s="50"/>
      <c r="I157" s="50"/>
      <c r="J157" s="106">
        <f>VLOOKUP($A157, Stat!$A$1:$C$501, 2,0)</f>
        <v>6</v>
      </c>
      <c r="K157" s="106">
        <f>VLOOKUP($A157, Stat!$A$1:$C$501, 3,0)</f>
        <v>3</v>
      </c>
      <c r="L157" s="48">
        <v>1</v>
      </c>
      <c r="P157" s="50"/>
      <c r="Q157" s="50"/>
      <c r="R157" s="50"/>
      <c r="S157" s="52">
        <v>30</v>
      </c>
      <c r="T157" s="52">
        <v>0</v>
      </c>
      <c r="V157" s="52" t="s">
        <v>235</v>
      </c>
      <c r="W157" s="52">
        <v>1</v>
      </c>
    </row>
    <row r="158" spans="1:23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50"/>
      <c r="H158" s="50"/>
      <c r="I158" s="50"/>
      <c r="J158" s="106">
        <f>VLOOKUP($A158, Stat!$A$1:$C$501, 2,0)</f>
        <v>3</v>
      </c>
      <c r="K158" s="106">
        <f>VLOOKUP($A158, Stat!$A$1:$C$501, 3,0)</f>
        <v>1</v>
      </c>
      <c r="L158" s="48">
        <v>1</v>
      </c>
      <c r="P158" s="50"/>
      <c r="Q158" s="50"/>
      <c r="R158" s="50"/>
      <c r="S158" s="52">
        <v>30</v>
      </c>
      <c r="T158" s="52">
        <v>0</v>
      </c>
      <c r="V158" s="52" t="s">
        <v>235</v>
      </c>
      <c r="W158" s="52">
        <v>1</v>
      </c>
    </row>
    <row r="159" spans="1:23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50"/>
      <c r="H159" s="50"/>
      <c r="I159" s="50"/>
      <c r="J159" s="106">
        <f>VLOOKUP($A159, Stat!$A$1:$C$501, 2,0)</f>
        <v>7</v>
      </c>
      <c r="K159" s="106">
        <f>VLOOKUP($A159, Stat!$A$1:$C$501, 3,0)</f>
        <v>3</v>
      </c>
      <c r="L159" s="48">
        <v>1</v>
      </c>
      <c r="P159" s="50"/>
      <c r="Q159" s="50"/>
      <c r="R159" s="50"/>
      <c r="S159" s="52">
        <v>30</v>
      </c>
      <c r="T159" s="52">
        <v>0</v>
      </c>
      <c r="W159" s="52">
        <v>1</v>
      </c>
    </row>
    <row r="160" spans="1:23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50"/>
      <c r="H160" s="50"/>
      <c r="I160" s="50"/>
      <c r="J160" s="106">
        <f>VLOOKUP($A160, Stat!$A$1:$C$501, 2,0)</f>
        <v>3</v>
      </c>
      <c r="K160" s="106">
        <f>VLOOKUP($A160, Stat!$A$1:$C$501, 3,0)</f>
        <v>1</v>
      </c>
      <c r="L160" s="48">
        <v>1</v>
      </c>
      <c r="P160" s="50"/>
      <c r="Q160" s="50"/>
      <c r="R160" s="50"/>
      <c r="S160" s="52">
        <v>30</v>
      </c>
      <c r="T160" s="52">
        <v>0</v>
      </c>
      <c r="W160" s="52">
        <v>1</v>
      </c>
    </row>
    <row r="161" spans="1:23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50"/>
      <c r="H161" s="50"/>
      <c r="I161" s="50"/>
      <c r="J161" s="106">
        <f>VLOOKUP($A161, Stat!$A$1:$C$501, 2,0)</f>
        <v>16</v>
      </c>
      <c r="K161" s="106">
        <f>VLOOKUP($A161, Stat!$A$1:$C$501, 3,0)</f>
        <v>3</v>
      </c>
      <c r="L161" s="48">
        <v>1</v>
      </c>
      <c r="P161" s="50"/>
      <c r="Q161" s="50"/>
      <c r="R161" s="50"/>
      <c r="S161" s="52">
        <v>0</v>
      </c>
      <c r="T161" s="52">
        <v>-1</v>
      </c>
      <c r="W161" s="52">
        <v>1</v>
      </c>
    </row>
    <row r="162" spans="1:23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50"/>
      <c r="H162" s="50"/>
      <c r="I162" s="50"/>
      <c r="J162" s="106">
        <f>VLOOKUP($A162, Stat!$A$1:$C$501, 2,0)</f>
        <v>24</v>
      </c>
      <c r="K162" s="106">
        <f>VLOOKUP($A162, Stat!$A$1:$C$501, 3,0)</f>
        <v>4</v>
      </c>
      <c r="L162" s="48">
        <v>1</v>
      </c>
      <c r="P162" s="50"/>
      <c r="Q162" s="50"/>
      <c r="R162" s="50"/>
      <c r="S162" s="52">
        <v>0</v>
      </c>
      <c r="T162" s="52">
        <v>-1</v>
      </c>
      <c r="W162" s="52">
        <v>1</v>
      </c>
    </row>
    <row r="163" spans="1:23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50"/>
      <c r="H163" s="50"/>
      <c r="I163" s="50"/>
      <c r="J163" s="106">
        <f>VLOOKUP($A163, Stat!$A$1:$C$501, 2,0)</f>
        <v>8</v>
      </c>
      <c r="K163" s="106">
        <f>VLOOKUP($A163, Stat!$A$1:$C$501, 3,0)</f>
        <v>1</v>
      </c>
      <c r="L163" s="48">
        <v>1</v>
      </c>
      <c r="P163" s="50"/>
      <c r="Q163" s="50"/>
      <c r="R163" s="50"/>
      <c r="S163" s="52">
        <v>0</v>
      </c>
      <c r="T163" s="52">
        <v>-1</v>
      </c>
      <c r="W163" s="52">
        <v>1</v>
      </c>
    </row>
    <row r="164" spans="1:23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50"/>
      <c r="H164" s="50"/>
      <c r="I164" s="50"/>
      <c r="J164" s="106">
        <f>VLOOKUP($A164, Stat!$A$1:$C$501, 2,0)</f>
        <v>19</v>
      </c>
      <c r="K164" s="106">
        <f>VLOOKUP($A164, Stat!$A$1:$C$501, 3,0)</f>
        <v>2</v>
      </c>
      <c r="L164" s="48">
        <v>1</v>
      </c>
      <c r="P164" s="50"/>
      <c r="Q164" s="50"/>
      <c r="R164" s="50"/>
      <c r="S164" s="52">
        <v>0</v>
      </c>
      <c r="T164" s="52">
        <v>-1</v>
      </c>
      <c r="W164" s="52">
        <v>1</v>
      </c>
    </row>
    <row r="165" spans="1:23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50"/>
      <c r="H165" s="50"/>
      <c r="I165" s="50"/>
      <c r="J165" s="106">
        <f>VLOOKUP($A165, Stat!$A$1:$C$501, 2,0)</f>
        <v>10</v>
      </c>
      <c r="K165" s="106">
        <f>VLOOKUP($A165, Stat!$A$1:$C$501, 3,0)</f>
        <v>2</v>
      </c>
      <c r="L165" s="48">
        <v>1</v>
      </c>
      <c r="P165" s="50"/>
      <c r="Q165" s="50"/>
      <c r="R165" s="50"/>
      <c r="S165" s="52">
        <v>30</v>
      </c>
      <c r="T165" s="52">
        <v>0</v>
      </c>
      <c r="W165" s="52">
        <v>1</v>
      </c>
    </row>
    <row r="166" spans="1:23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50"/>
      <c r="H166" s="50"/>
      <c r="I166" s="50"/>
      <c r="J166" s="106">
        <f>VLOOKUP($A166, Stat!$A$1:$C$501, 2,0)</f>
        <v>11</v>
      </c>
      <c r="K166" s="106">
        <f>VLOOKUP($A166, Stat!$A$1:$C$501, 3,0)</f>
        <v>4</v>
      </c>
      <c r="L166" s="48">
        <v>1</v>
      </c>
      <c r="P166" s="50"/>
      <c r="Q166" s="50"/>
      <c r="R166" s="50"/>
      <c r="S166" s="52">
        <v>30</v>
      </c>
      <c r="T166" s="52">
        <v>0</v>
      </c>
      <c r="W166" s="52">
        <v>1</v>
      </c>
    </row>
    <row r="167" spans="1:23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50"/>
      <c r="H167" s="50"/>
      <c r="I167" s="50"/>
      <c r="J167" s="106">
        <f>VLOOKUP($A167, Stat!$A$1:$C$501, 2,0)</f>
        <v>30</v>
      </c>
      <c r="K167" s="106">
        <f>VLOOKUP($A167, Stat!$A$1:$C$501, 3,0)</f>
        <v>3</v>
      </c>
      <c r="L167" s="48">
        <v>1</v>
      </c>
      <c r="P167" s="50"/>
      <c r="Q167" s="50"/>
      <c r="R167" s="50"/>
      <c r="S167" s="52">
        <v>0</v>
      </c>
      <c r="T167" s="52">
        <v>-1</v>
      </c>
      <c r="W167" s="52">
        <v>1</v>
      </c>
    </row>
    <row r="168" spans="1:23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50"/>
      <c r="H168" s="50"/>
      <c r="I168" s="50"/>
      <c r="J168" s="106">
        <f>VLOOKUP($A168, Stat!$A$1:$C$501, 2,0)</f>
        <v>23</v>
      </c>
      <c r="K168" s="106">
        <f>VLOOKUP($A168, Stat!$A$1:$C$501, 3,0)</f>
        <v>3</v>
      </c>
      <c r="L168" s="48">
        <v>1</v>
      </c>
      <c r="P168" s="50"/>
      <c r="Q168" s="50"/>
      <c r="R168" s="50"/>
      <c r="S168" s="52">
        <v>0</v>
      </c>
      <c r="T168" s="52">
        <v>-1</v>
      </c>
      <c r="W168" s="52">
        <v>1</v>
      </c>
    </row>
    <row r="169" spans="1:23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50"/>
      <c r="H169" s="50"/>
      <c r="I169" s="50"/>
      <c r="J169" s="106">
        <f>VLOOKUP($A169, Stat!$A$1:$C$501, 2,0)</f>
        <v>61</v>
      </c>
      <c r="K169" s="106">
        <f>VLOOKUP($A169, Stat!$A$1:$C$501, 3,0)</f>
        <v>4</v>
      </c>
      <c r="L169" s="48">
        <v>1</v>
      </c>
      <c r="P169" s="50"/>
      <c r="Q169" s="50"/>
      <c r="R169" s="50"/>
      <c r="S169" s="52">
        <v>0</v>
      </c>
      <c r="T169" s="52">
        <v>-1</v>
      </c>
      <c r="W169" s="52">
        <v>1</v>
      </c>
    </row>
    <row r="170" spans="1:23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49" t="s">
        <v>268</v>
      </c>
      <c r="H170" s="50"/>
      <c r="I170" s="50"/>
      <c r="J170" s="106">
        <f>VLOOKUP($A170, Stat!$A$1:$C$501, 2,0)</f>
        <v>767</v>
      </c>
      <c r="K170" s="106">
        <f>VLOOKUP($A170, Stat!$A$1:$C$501, 3,0)</f>
        <v>3</v>
      </c>
      <c r="L170" s="109"/>
      <c r="P170" s="50"/>
      <c r="Q170" s="50"/>
      <c r="R170" s="50"/>
      <c r="S170" s="52">
        <v>0</v>
      </c>
      <c r="T170" s="52">
        <v>-1</v>
      </c>
      <c r="W170" s="52">
        <v>1</v>
      </c>
    </row>
    <row r="171" spans="1:23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50"/>
      <c r="H171" s="50"/>
      <c r="I171" s="50"/>
      <c r="J171" s="106">
        <f>VLOOKUP($A171, Stat!$A$1:$C$501, 2,0)</f>
        <v>4</v>
      </c>
      <c r="K171" s="106">
        <f>VLOOKUP($A171, Stat!$A$1:$C$501, 3,0)</f>
        <v>1</v>
      </c>
      <c r="L171" s="48">
        <v>1</v>
      </c>
      <c r="P171" s="50"/>
      <c r="Q171" s="50"/>
      <c r="R171" s="50"/>
      <c r="S171" s="52">
        <v>30</v>
      </c>
      <c r="T171" s="52">
        <v>0</v>
      </c>
      <c r="U171" s="52" t="s">
        <v>112</v>
      </c>
      <c r="W171" s="52">
        <v>1</v>
      </c>
    </row>
    <row r="172" spans="1:23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50"/>
      <c r="H172" s="50"/>
      <c r="I172" s="50"/>
      <c r="J172" s="106">
        <f>VLOOKUP($A172, Stat!$A$1:$C$501, 2,0)</f>
        <v>6</v>
      </c>
      <c r="K172" s="106">
        <f>VLOOKUP($A172, Stat!$A$1:$C$501, 3,0)</f>
        <v>2</v>
      </c>
      <c r="L172" s="48">
        <v>1</v>
      </c>
      <c r="P172" s="50"/>
      <c r="Q172" s="50"/>
      <c r="R172" s="50"/>
      <c r="S172" s="52">
        <v>30</v>
      </c>
      <c r="T172" s="52">
        <v>0</v>
      </c>
      <c r="U172" s="52" t="s">
        <v>112</v>
      </c>
      <c r="W172" s="52">
        <v>1</v>
      </c>
    </row>
    <row r="173" spans="1:23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50"/>
      <c r="H173" s="50"/>
      <c r="I173" s="50"/>
      <c r="J173" s="106">
        <f>VLOOKUP($A173, Stat!$A$1:$C$501, 2,0)</f>
        <v>10</v>
      </c>
      <c r="K173" s="106">
        <f>VLOOKUP($A173, Stat!$A$1:$C$501, 3,0)</f>
        <v>2</v>
      </c>
      <c r="L173" s="48">
        <v>1</v>
      </c>
      <c r="P173" s="50"/>
      <c r="Q173" s="50"/>
      <c r="R173" s="50"/>
      <c r="S173" s="52">
        <v>30</v>
      </c>
      <c r="T173" s="52">
        <v>0</v>
      </c>
      <c r="U173" s="52" t="s">
        <v>112</v>
      </c>
      <c r="W173" s="52">
        <v>1</v>
      </c>
    </row>
    <row r="174" spans="1:23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50"/>
      <c r="H174" s="50"/>
      <c r="I174" s="50"/>
      <c r="J174" s="106">
        <f>VLOOKUP($A174, Stat!$A$1:$C$501, 2,0)</f>
        <v>7</v>
      </c>
      <c r="K174" s="106">
        <f>VLOOKUP($A174, Stat!$A$1:$C$501, 3,0)</f>
        <v>3</v>
      </c>
      <c r="L174" s="48">
        <v>1</v>
      </c>
      <c r="P174" s="50"/>
      <c r="Q174" s="50"/>
      <c r="R174" s="50"/>
      <c r="S174" s="52">
        <v>30</v>
      </c>
      <c r="T174" s="52">
        <v>0</v>
      </c>
      <c r="U174" s="52" t="s">
        <v>112</v>
      </c>
      <c r="W174" s="52">
        <v>1</v>
      </c>
    </row>
    <row r="175" spans="1:23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50"/>
      <c r="H175" s="50"/>
      <c r="I175" s="50"/>
      <c r="J175" s="106">
        <f>VLOOKUP($A175, Stat!$A$1:$C$501, 2,0)</f>
        <v>11</v>
      </c>
      <c r="K175" s="106">
        <f>VLOOKUP($A175, Stat!$A$1:$C$501, 3,0)</f>
        <v>2</v>
      </c>
      <c r="L175" s="48">
        <v>1</v>
      </c>
      <c r="P175" s="50"/>
      <c r="Q175" s="50"/>
      <c r="R175" s="50"/>
      <c r="S175" s="52">
        <v>30</v>
      </c>
      <c r="T175" s="52">
        <v>0</v>
      </c>
      <c r="U175" s="52" t="s">
        <v>112</v>
      </c>
      <c r="W175" s="52">
        <v>1</v>
      </c>
    </row>
    <row r="176" spans="1:23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308</v>
      </c>
      <c r="G176" s="49"/>
      <c r="H176" s="49"/>
      <c r="I176" s="49"/>
      <c r="J176" s="106">
        <f>VLOOKUP($A176, Stat!$A$1:$C$501, 2,0)</f>
        <v>64</v>
      </c>
      <c r="K176" s="106">
        <f>VLOOKUP($A176, Stat!$A$1:$C$501, 3,0)</f>
        <v>7</v>
      </c>
      <c r="L176" s="48">
        <v>1</v>
      </c>
      <c r="P176" s="50"/>
      <c r="Q176" s="50"/>
      <c r="R176" s="50"/>
      <c r="S176" s="52">
        <v>0</v>
      </c>
      <c r="T176" s="52">
        <v>-1</v>
      </c>
      <c r="W176" s="52">
        <v>1</v>
      </c>
    </row>
    <row r="177" spans="1:23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308</v>
      </c>
      <c r="G177" s="49"/>
      <c r="H177" s="49"/>
      <c r="I177" s="49"/>
      <c r="J177" s="106">
        <f>VLOOKUP($A177, Stat!$A$1:$C$501, 2,0)</f>
        <v>69</v>
      </c>
      <c r="K177" s="106">
        <f>VLOOKUP($A177, Stat!$A$1:$C$501, 3,0)</f>
        <v>5</v>
      </c>
      <c r="L177" s="48">
        <v>1</v>
      </c>
      <c r="P177" s="50"/>
      <c r="Q177" s="50"/>
      <c r="R177" s="50"/>
      <c r="S177" s="52">
        <v>0</v>
      </c>
      <c r="T177" s="52">
        <v>-1</v>
      </c>
      <c r="W177" s="52">
        <v>1</v>
      </c>
    </row>
    <row r="178" spans="1:23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308</v>
      </c>
      <c r="G178" s="49"/>
      <c r="H178" s="49"/>
      <c r="I178" s="49"/>
      <c r="J178" s="106">
        <f>VLOOKUP($A178, Stat!$A$1:$C$501, 2,0)</f>
        <v>7</v>
      </c>
      <c r="K178" s="106">
        <f>VLOOKUP($A178, Stat!$A$1:$C$501, 3,0)</f>
        <v>4</v>
      </c>
      <c r="L178" s="48">
        <v>1</v>
      </c>
      <c r="P178" s="50"/>
      <c r="Q178" s="50"/>
      <c r="R178" s="50"/>
      <c r="S178" s="52">
        <v>30</v>
      </c>
      <c r="T178" s="52">
        <v>0</v>
      </c>
      <c r="W178" s="52">
        <v>1</v>
      </c>
    </row>
    <row r="179" spans="1:23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308</v>
      </c>
      <c r="G179" s="49"/>
      <c r="H179" s="49"/>
      <c r="I179" s="49"/>
      <c r="J179" s="106">
        <f>VLOOKUP($A179, Stat!$A$1:$C$501, 2,0)</f>
        <v>6</v>
      </c>
      <c r="K179" s="106">
        <f>VLOOKUP($A179, Stat!$A$1:$C$501, 3,0)</f>
        <v>4</v>
      </c>
      <c r="L179" s="48">
        <v>1</v>
      </c>
      <c r="P179" s="50"/>
      <c r="Q179" s="50"/>
      <c r="R179" s="50"/>
      <c r="S179" s="52">
        <v>100</v>
      </c>
      <c r="T179" s="52">
        <v>0</v>
      </c>
      <c r="W179" s="52">
        <v>1</v>
      </c>
    </row>
    <row r="180" spans="1:23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308</v>
      </c>
      <c r="G180" s="49"/>
      <c r="H180" s="49"/>
      <c r="I180" s="49"/>
      <c r="J180" s="106">
        <f>VLOOKUP($A180, Stat!$A$1:$C$501, 2,0)</f>
        <v>33</v>
      </c>
      <c r="K180" s="106">
        <f>VLOOKUP($A180, Stat!$A$1:$C$501, 3,0)</f>
        <v>6</v>
      </c>
      <c r="L180" s="48">
        <v>1</v>
      </c>
      <c r="P180" s="50"/>
      <c r="Q180" s="50"/>
      <c r="R180" s="50"/>
      <c r="S180" s="52">
        <v>0</v>
      </c>
      <c r="T180" s="52">
        <v>-1</v>
      </c>
      <c r="W180" s="52">
        <v>1</v>
      </c>
    </row>
    <row r="181" spans="1:23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308</v>
      </c>
      <c r="G181" s="49"/>
      <c r="H181" s="49"/>
      <c r="I181" s="49"/>
      <c r="J181" s="106">
        <f>VLOOKUP($A181, Stat!$A$1:$C$501, 2,0)</f>
        <v>6</v>
      </c>
      <c r="K181" s="106">
        <f>VLOOKUP($A181, Stat!$A$1:$C$501, 3,0)</f>
        <v>6</v>
      </c>
      <c r="L181" s="48">
        <v>1</v>
      </c>
      <c r="P181" s="50"/>
      <c r="Q181" s="50"/>
      <c r="R181" s="50"/>
      <c r="S181" s="52">
        <v>100</v>
      </c>
      <c r="T181" s="52">
        <v>0</v>
      </c>
      <c r="W181" s="52">
        <v>1</v>
      </c>
    </row>
    <row r="182" spans="1:23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308</v>
      </c>
      <c r="G182" s="49"/>
      <c r="H182" s="49"/>
      <c r="I182" s="49"/>
      <c r="J182" s="106">
        <f>VLOOKUP($A182, Stat!$A$1:$C$501, 2,0)</f>
        <v>54</v>
      </c>
      <c r="K182" s="106">
        <f>VLOOKUP($A182, Stat!$A$1:$C$501, 3,0)</f>
        <v>8</v>
      </c>
      <c r="L182" s="48">
        <v>1</v>
      </c>
      <c r="P182" s="50"/>
      <c r="Q182" s="50"/>
      <c r="R182" s="50"/>
      <c r="S182" s="52">
        <v>0</v>
      </c>
      <c r="T182" s="52">
        <v>-1</v>
      </c>
      <c r="W182" s="52">
        <v>1</v>
      </c>
    </row>
    <row r="183" spans="1:23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308</v>
      </c>
      <c r="G183" s="49"/>
      <c r="H183" s="49"/>
      <c r="I183" s="49"/>
      <c r="J183" s="106">
        <f>VLOOKUP($A183, Stat!$A$1:$C$501, 2,0)</f>
        <v>34</v>
      </c>
      <c r="K183" s="106">
        <f>VLOOKUP($A183, Stat!$A$1:$C$501, 3,0)</f>
        <v>5</v>
      </c>
      <c r="L183" s="48">
        <v>1</v>
      </c>
      <c r="P183" s="50"/>
      <c r="Q183" s="50"/>
      <c r="R183" s="50"/>
      <c r="S183" s="52">
        <v>0</v>
      </c>
      <c r="T183" s="52">
        <v>-1</v>
      </c>
      <c r="W183" s="52">
        <v>1</v>
      </c>
    </row>
    <row r="184" spans="1:23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308</v>
      </c>
      <c r="G184" s="49"/>
      <c r="H184" s="49"/>
      <c r="I184" s="49"/>
      <c r="J184" s="106">
        <f>VLOOKUP($A184, Stat!$A$1:$C$501, 2,0)</f>
        <v>6</v>
      </c>
      <c r="K184" s="106">
        <f>VLOOKUP($A184, Stat!$A$1:$C$501, 3,0)</f>
        <v>4</v>
      </c>
      <c r="L184" s="48">
        <v>1</v>
      </c>
      <c r="P184" s="50"/>
      <c r="Q184" s="50"/>
      <c r="R184" s="50"/>
      <c r="S184" s="52">
        <v>30</v>
      </c>
      <c r="T184" s="52">
        <v>0</v>
      </c>
      <c r="W184" s="52">
        <v>1</v>
      </c>
    </row>
    <row r="185" spans="1:23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308</v>
      </c>
      <c r="G185" s="49"/>
      <c r="H185" s="49"/>
      <c r="I185" s="49"/>
      <c r="J185" s="106">
        <f>VLOOKUP($A185, Stat!$A$1:$C$501, 2,0)</f>
        <v>3</v>
      </c>
      <c r="K185" s="106">
        <f>VLOOKUP($A185, Stat!$A$1:$C$501, 3,0)</f>
        <v>1</v>
      </c>
      <c r="L185" s="48">
        <v>1</v>
      </c>
      <c r="P185" s="50"/>
      <c r="Q185" s="50"/>
      <c r="R185" s="50"/>
      <c r="S185" s="52">
        <v>100</v>
      </c>
      <c r="T185" s="52">
        <v>0</v>
      </c>
      <c r="W185" s="52">
        <v>1</v>
      </c>
    </row>
    <row r="186" spans="1:23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308</v>
      </c>
      <c r="G186" s="49"/>
      <c r="H186" s="49"/>
      <c r="I186" s="49"/>
      <c r="J186" s="106">
        <f>VLOOKUP($A186, Stat!$A$1:$C$501, 2,0)</f>
        <v>32</v>
      </c>
      <c r="K186" s="106">
        <f>VLOOKUP($A186, Stat!$A$1:$C$501, 3,0)</f>
        <v>6</v>
      </c>
      <c r="L186" s="48">
        <v>1</v>
      </c>
      <c r="P186" s="50"/>
      <c r="Q186" s="50"/>
      <c r="R186" s="50"/>
      <c r="S186" s="52">
        <v>0</v>
      </c>
      <c r="T186" s="52">
        <v>-1</v>
      </c>
      <c r="W186" s="52">
        <v>1</v>
      </c>
    </row>
    <row r="187" spans="1:23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308</v>
      </c>
      <c r="G187" s="49"/>
      <c r="H187" s="49"/>
      <c r="I187" s="49"/>
      <c r="J187" s="106">
        <f>VLOOKUP($A187, Stat!$A$1:$C$501, 2,0)</f>
        <v>5</v>
      </c>
      <c r="K187" s="106">
        <f>VLOOKUP($A187, Stat!$A$1:$C$501, 3,0)</f>
        <v>4</v>
      </c>
      <c r="L187" s="48">
        <v>1</v>
      </c>
      <c r="P187" s="50"/>
      <c r="Q187" s="50"/>
      <c r="R187" s="50"/>
      <c r="S187" s="52">
        <v>100</v>
      </c>
      <c r="T187" s="52">
        <v>0</v>
      </c>
      <c r="W187" s="52">
        <v>1</v>
      </c>
    </row>
    <row r="188" spans="1:23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49" t="s">
        <v>268</v>
      </c>
      <c r="H188" s="50"/>
      <c r="I188" s="50"/>
      <c r="J188" s="106">
        <f>VLOOKUP($A188, Stat!$A$1:$C$501, 2,0)</f>
        <v>133</v>
      </c>
      <c r="K188" s="106">
        <f>VLOOKUP($A188, Stat!$A$1:$C$501, 3,0)</f>
        <v>8</v>
      </c>
      <c r="L188" s="109"/>
      <c r="P188" s="49" t="s">
        <v>331</v>
      </c>
      <c r="Q188" s="50"/>
      <c r="R188" s="50"/>
      <c r="S188" s="52">
        <v>60</v>
      </c>
      <c r="T188" s="52">
        <v>0</v>
      </c>
      <c r="W188" s="52">
        <v>1</v>
      </c>
    </row>
    <row r="189" spans="1:23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50"/>
      <c r="H189" s="50"/>
      <c r="I189" s="50"/>
      <c r="J189" s="106">
        <f>VLOOKUP($A189, Stat!$A$1:$C$501, 2,0)</f>
        <v>20</v>
      </c>
      <c r="K189" s="106">
        <f>VLOOKUP($A189, Stat!$A$1:$C$501, 3,0)</f>
        <v>2</v>
      </c>
      <c r="L189" s="109"/>
      <c r="O189" s="48">
        <v>1</v>
      </c>
      <c r="P189" s="50"/>
      <c r="Q189" s="50"/>
      <c r="R189" s="50"/>
      <c r="S189" s="52">
        <v>0</v>
      </c>
      <c r="T189" s="52">
        <v>1</v>
      </c>
      <c r="U189" s="52" t="s">
        <v>136</v>
      </c>
      <c r="W189" s="52">
        <v>1</v>
      </c>
    </row>
    <row r="190" spans="1:23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50"/>
      <c r="H190" s="50"/>
      <c r="I190" s="50"/>
      <c r="J190" s="106">
        <f>VLOOKUP($A190, Stat!$A$1:$C$501, 2,0)</f>
        <v>15</v>
      </c>
      <c r="K190" s="106">
        <f>VLOOKUP($A190, Stat!$A$1:$C$501, 3,0)</f>
        <v>0</v>
      </c>
      <c r="L190" s="109"/>
      <c r="O190" s="48">
        <v>1</v>
      </c>
      <c r="P190" s="49" t="s">
        <v>272</v>
      </c>
      <c r="Q190" s="50"/>
      <c r="R190" s="50"/>
      <c r="S190" s="52">
        <v>40</v>
      </c>
      <c r="T190" s="52">
        <v>1</v>
      </c>
      <c r="U190" s="52" t="s">
        <v>136</v>
      </c>
      <c r="W190" s="52">
        <v>1</v>
      </c>
    </row>
    <row r="191" spans="1:23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50"/>
      <c r="H191" s="50"/>
      <c r="I191" s="50"/>
      <c r="J191" s="106">
        <f>VLOOKUP($A191, Stat!$A$1:$C$501, 2,0)</f>
        <v>3</v>
      </c>
      <c r="K191" s="106">
        <f>VLOOKUP($A191, Stat!$A$1:$C$501, 3,0)</f>
        <v>0</v>
      </c>
      <c r="L191" s="109"/>
      <c r="O191" s="48">
        <v>1</v>
      </c>
      <c r="P191" s="49" t="s">
        <v>271</v>
      </c>
      <c r="Q191" s="50"/>
      <c r="R191" s="50"/>
      <c r="S191" s="52">
        <v>60</v>
      </c>
      <c r="T191" s="52">
        <v>0</v>
      </c>
      <c r="U191" s="52" t="s">
        <v>136</v>
      </c>
      <c r="W191" s="52">
        <v>1</v>
      </c>
    </row>
    <row r="192" spans="1:23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308</v>
      </c>
      <c r="G192" s="49"/>
      <c r="H192" s="49"/>
      <c r="I192" s="49"/>
      <c r="J192" s="108">
        <f>VLOOKUP($A192, Stat!$A$1:$C$501, 2,0)</f>
        <v>0</v>
      </c>
      <c r="K192" s="108">
        <f>VLOOKUP($A192, Stat!$A$1:$C$501, 3,0)</f>
        <v>0</v>
      </c>
      <c r="L192" s="108"/>
      <c r="P192" s="50"/>
      <c r="Q192" s="50"/>
      <c r="R192" s="50"/>
      <c r="S192" s="52">
        <v>60</v>
      </c>
      <c r="T192" s="52">
        <v>0</v>
      </c>
      <c r="U192" s="52" t="s">
        <v>88</v>
      </c>
      <c r="V192" s="52" t="s">
        <v>599</v>
      </c>
      <c r="W192" s="52">
        <v>1</v>
      </c>
    </row>
    <row r="193" spans="1:23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308</v>
      </c>
      <c r="G193" s="49"/>
      <c r="H193" s="49"/>
      <c r="I193" s="49"/>
      <c r="J193" s="108">
        <f>VLOOKUP($A193, Stat!$A$1:$C$501, 2,0)</f>
        <v>0</v>
      </c>
      <c r="K193" s="108">
        <f>VLOOKUP($A193, Stat!$A$1:$C$501, 3,0)</f>
        <v>0</v>
      </c>
      <c r="L193" s="108"/>
      <c r="P193" s="50"/>
      <c r="Q193" s="50"/>
      <c r="R193" s="50"/>
      <c r="S193" s="52">
        <v>60</v>
      </c>
      <c r="T193" s="52">
        <v>0</v>
      </c>
      <c r="V193" s="52" t="s">
        <v>600</v>
      </c>
      <c r="W193" s="52">
        <v>1</v>
      </c>
    </row>
    <row r="194" spans="1:23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50"/>
      <c r="H194" s="50"/>
      <c r="I194" s="50"/>
      <c r="J194" s="106">
        <f>VLOOKUP($A194, Stat!$A$1:$C$501, 2,0)</f>
        <v>181</v>
      </c>
      <c r="K194" s="106">
        <f>VLOOKUP($A194, Stat!$A$1:$C$501, 3,0)</f>
        <v>0</v>
      </c>
      <c r="L194" s="109"/>
      <c r="O194" s="48">
        <v>1</v>
      </c>
      <c r="P194" s="50"/>
      <c r="Q194" s="50"/>
      <c r="R194" s="50"/>
      <c r="S194" s="52">
        <v>0</v>
      </c>
      <c r="T194" s="52">
        <v>1</v>
      </c>
      <c r="V194" s="52" t="s">
        <v>381</v>
      </c>
      <c r="W194" s="52">
        <v>1</v>
      </c>
    </row>
    <row r="195" spans="1:23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49"/>
      <c r="H195" s="49"/>
      <c r="I195" s="49"/>
      <c r="J195" s="106">
        <f>VLOOKUP($A195, Stat!$A$1:$C$501, 2,0)</f>
        <v>0</v>
      </c>
      <c r="K195" s="108">
        <f>VLOOKUP($A195, Stat!$A$1:$C$501, 3,0)</f>
        <v>0</v>
      </c>
      <c r="L195" s="108"/>
      <c r="P195" s="50"/>
      <c r="Q195" s="50"/>
      <c r="R195" s="50"/>
      <c r="S195" s="52">
        <v>0</v>
      </c>
      <c r="T195" s="52">
        <v>-1</v>
      </c>
      <c r="U195" s="52" t="s">
        <v>398</v>
      </c>
      <c r="W195" s="52">
        <v>1</v>
      </c>
    </row>
    <row r="196" spans="1:23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49"/>
      <c r="H196" s="49"/>
      <c r="I196" s="49"/>
      <c r="J196" s="106">
        <f>VLOOKUP($A196, Stat!$A$1:$C$501, 2,0)</f>
        <v>0</v>
      </c>
      <c r="K196" s="108">
        <f>VLOOKUP($A196, Stat!$A$1:$C$501, 3,0)</f>
        <v>0</v>
      </c>
      <c r="L196" s="108"/>
      <c r="P196" s="50"/>
      <c r="Q196" s="50"/>
      <c r="R196" s="50"/>
      <c r="S196" s="52">
        <v>0</v>
      </c>
      <c r="T196" s="52">
        <v>-1</v>
      </c>
      <c r="U196" s="52" t="s">
        <v>398</v>
      </c>
      <c r="W196" s="52">
        <v>1</v>
      </c>
    </row>
    <row r="197" spans="1:23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50"/>
      <c r="H197" s="50"/>
      <c r="I197" s="50"/>
      <c r="J197" s="106">
        <f>VLOOKUP($A197, Stat!$A$1:$C$501, 2,0)</f>
        <v>7</v>
      </c>
      <c r="K197" s="106">
        <f>VLOOKUP($A197, Stat!$A$1:$C$501, 3,0)</f>
        <v>0</v>
      </c>
      <c r="L197" s="109"/>
      <c r="P197" s="50"/>
      <c r="Q197" s="50"/>
      <c r="R197" s="50"/>
      <c r="S197" s="52">
        <v>20</v>
      </c>
      <c r="T197" s="52">
        <v>0</v>
      </c>
      <c r="V197" s="52" t="s">
        <v>441</v>
      </c>
      <c r="W197" s="52">
        <v>1</v>
      </c>
    </row>
    <row r="198" spans="1:23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50"/>
      <c r="H198" s="50"/>
      <c r="I198" s="50"/>
      <c r="J198" s="106">
        <f>VLOOKUP($A198, Stat!$A$1:$C$501, 2,0)</f>
        <v>4</v>
      </c>
      <c r="K198" s="106">
        <f>VLOOKUP($A198, Stat!$A$1:$C$501, 3,0)</f>
        <v>3</v>
      </c>
      <c r="L198" s="48">
        <v>1</v>
      </c>
      <c r="P198" s="50"/>
      <c r="Q198" s="50"/>
      <c r="R198" s="50"/>
      <c r="S198" s="52">
        <v>60</v>
      </c>
      <c r="T198" s="52">
        <v>0</v>
      </c>
      <c r="V198" s="52" t="s">
        <v>242</v>
      </c>
      <c r="W198" s="52">
        <v>1</v>
      </c>
    </row>
    <row r="199" spans="1:23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50"/>
      <c r="H199" s="50"/>
      <c r="I199" s="50"/>
      <c r="J199" s="106">
        <f>VLOOKUP($A199, Stat!$A$1:$C$501, 2,0)</f>
        <v>8</v>
      </c>
      <c r="K199" s="106">
        <f>VLOOKUP($A199, Stat!$A$1:$C$501, 3,0)</f>
        <v>0</v>
      </c>
      <c r="L199" s="109"/>
      <c r="M199" s="48">
        <v>1</v>
      </c>
      <c r="P199" s="50"/>
      <c r="Q199" s="50"/>
      <c r="R199" s="50"/>
      <c r="S199" s="52">
        <v>0</v>
      </c>
      <c r="T199" s="52">
        <v>0</v>
      </c>
      <c r="V199" s="52" t="s">
        <v>231</v>
      </c>
      <c r="W199" s="52">
        <v>1</v>
      </c>
    </row>
    <row r="200" spans="1:23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50"/>
      <c r="H200" s="50"/>
      <c r="I200" s="50"/>
      <c r="J200" s="106">
        <f>VLOOKUP($A200, Stat!$A$1:$C$501, 2,0)</f>
        <v>56</v>
      </c>
      <c r="K200" s="106">
        <f>VLOOKUP($A200, Stat!$A$1:$C$501, 3,0)</f>
        <v>2</v>
      </c>
      <c r="P200" s="50"/>
      <c r="Q200" s="50"/>
      <c r="R200" s="50"/>
      <c r="S200" s="52">
        <v>60</v>
      </c>
      <c r="T200" s="52">
        <v>0</v>
      </c>
      <c r="W200" s="52">
        <v>1</v>
      </c>
    </row>
    <row r="201" spans="1:23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50"/>
      <c r="H201" s="50"/>
      <c r="I201" s="50"/>
      <c r="J201" s="106">
        <f>VLOOKUP($A201, Stat!$A$1:$C$501, 2,0)</f>
        <v>27</v>
      </c>
      <c r="K201" s="106">
        <f>VLOOKUP($A201, Stat!$A$1:$C$501, 3,0)</f>
        <v>7</v>
      </c>
      <c r="P201" s="50"/>
      <c r="Q201" s="50"/>
      <c r="R201" s="50"/>
      <c r="S201" s="52">
        <v>60</v>
      </c>
      <c r="T201" s="52">
        <v>0</v>
      </c>
      <c r="V201" s="52" t="s">
        <v>233</v>
      </c>
      <c r="W201" s="52">
        <v>1</v>
      </c>
    </row>
    <row r="202" spans="1:23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308</v>
      </c>
      <c r="G202" s="49"/>
      <c r="H202" s="49"/>
      <c r="I202" s="49"/>
      <c r="J202" s="106">
        <f>VLOOKUP($A202, Stat!$A$1:$C$501, 2,0)</f>
        <v>7</v>
      </c>
      <c r="K202" s="106">
        <f>VLOOKUP($A202, Stat!$A$1:$C$501, 3,0)</f>
        <v>2</v>
      </c>
      <c r="L202" s="109"/>
      <c r="P202" s="50"/>
      <c r="Q202" s="50"/>
      <c r="R202" s="50"/>
      <c r="S202" s="52">
        <v>60</v>
      </c>
      <c r="T202" s="52">
        <v>0</v>
      </c>
      <c r="W202" s="52">
        <v>1</v>
      </c>
    </row>
    <row r="203" spans="1:23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50"/>
      <c r="H203" s="50"/>
      <c r="I203" s="50"/>
      <c r="J203" s="106">
        <f>VLOOKUP($A203, Stat!$A$1:$C$501, 2,0)</f>
        <v>6</v>
      </c>
      <c r="K203" s="106">
        <f>VLOOKUP($A203, Stat!$A$1:$C$501, 3,0)</f>
        <v>0</v>
      </c>
      <c r="L203" s="109"/>
      <c r="O203" s="48">
        <v>1</v>
      </c>
      <c r="P203" s="49" t="s">
        <v>412</v>
      </c>
      <c r="Q203" s="50"/>
      <c r="R203" s="50"/>
      <c r="S203" s="52">
        <v>60</v>
      </c>
      <c r="T203" s="52">
        <v>0</v>
      </c>
      <c r="W203" s="52">
        <v>1</v>
      </c>
    </row>
    <row r="204" spans="1:23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50"/>
      <c r="H204" s="50"/>
      <c r="I204" s="50"/>
      <c r="J204" s="106">
        <f>VLOOKUP($A204, Stat!$A$1:$C$501, 2,0)</f>
        <v>9</v>
      </c>
      <c r="K204" s="106">
        <f>VLOOKUP($A204, Stat!$A$1:$C$501, 3,0)</f>
        <v>0</v>
      </c>
      <c r="L204" s="109"/>
      <c r="O204" s="48">
        <v>1</v>
      </c>
      <c r="P204" s="49" t="s">
        <v>413</v>
      </c>
      <c r="Q204" s="50"/>
      <c r="R204" s="50"/>
      <c r="S204" s="52">
        <v>60</v>
      </c>
      <c r="T204" s="52">
        <v>0</v>
      </c>
      <c r="V204" s="52" t="s">
        <v>226</v>
      </c>
      <c r="W204" s="52">
        <v>1</v>
      </c>
    </row>
    <row r="205" spans="1:23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308</v>
      </c>
      <c r="G205" s="49"/>
      <c r="H205" s="49"/>
      <c r="I205" s="49"/>
      <c r="J205" s="106">
        <f>VLOOKUP($A205, Stat!$A$1:$C$501, 2,0)</f>
        <v>75</v>
      </c>
      <c r="K205" s="106">
        <f>VLOOKUP($A205, Stat!$A$1:$C$501, 3,0)</f>
        <v>0</v>
      </c>
      <c r="L205" s="108"/>
      <c r="P205" s="50"/>
      <c r="Q205" s="50"/>
      <c r="R205" s="50"/>
      <c r="S205" s="52">
        <v>0</v>
      </c>
      <c r="T205" s="52">
        <v>-1</v>
      </c>
      <c r="W205" s="52">
        <v>1</v>
      </c>
    </row>
    <row r="206" spans="1:23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308</v>
      </c>
      <c r="G206" s="49"/>
      <c r="H206" s="49"/>
      <c r="I206" s="49"/>
      <c r="J206" s="106">
        <f>VLOOKUP($A206, Stat!$A$1:$C$501, 2,0)</f>
        <v>14</v>
      </c>
      <c r="K206" s="106">
        <f>VLOOKUP($A206, Stat!$A$1:$C$501, 3,0)</f>
        <v>0</v>
      </c>
      <c r="L206" s="108"/>
      <c r="P206" s="50"/>
      <c r="Q206" s="50"/>
      <c r="R206" s="50"/>
      <c r="S206" s="52">
        <v>0</v>
      </c>
      <c r="T206" s="52">
        <v>-1</v>
      </c>
      <c r="W206" s="52">
        <v>1</v>
      </c>
    </row>
    <row r="207" spans="1:23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308</v>
      </c>
      <c r="G207" s="49"/>
      <c r="H207" s="49"/>
      <c r="I207" s="49"/>
      <c r="J207" s="106">
        <f>VLOOKUP($A207, Stat!$A$1:$C$501, 2,0)</f>
        <v>35</v>
      </c>
      <c r="K207" s="106">
        <f>VLOOKUP($A207, Stat!$A$1:$C$501, 3,0)</f>
        <v>0</v>
      </c>
      <c r="L207" s="108"/>
      <c r="P207" s="50"/>
      <c r="Q207" s="50"/>
      <c r="R207" s="50"/>
      <c r="S207" s="52">
        <v>40</v>
      </c>
      <c r="T207" s="52">
        <v>-1</v>
      </c>
      <c r="W207" s="52">
        <v>1</v>
      </c>
    </row>
    <row r="208" spans="1:23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308</v>
      </c>
      <c r="G208" s="49"/>
      <c r="H208" s="49"/>
      <c r="I208" s="49"/>
      <c r="J208" s="106">
        <f>VLOOKUP($A208, Stat!$A$1:$C$501, 2,0)</f>
        <v>17</v>
      </c>
      <c r="K208" s="106">
        <f>VLOOKUP($A208, Stat!$A$1:$C$501, 3,0)</f>
        <v>0</v>
      </c>
      <c r="L208" s="108"/>
      <c r="P208" s="50"/>
      <c r="Q208" s="50"/>
      <c r="R208" s="50"/>
      <c r="S208" s="52">
        <v>100</v>
      </c>
      <c r="T208" s="52">
        <v>-1</v>
      </c>
      <c r="W208" s="52">
        <v>1</v>
      </c>
    </row>
    <row r="209" spans="1:23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49"/>
      <c r="H209" s="49" t="s">
        <v>268</v>
      </c>
      <c r="I209" s="49"/>
      <c r="J209" s="106">
        <f>VLOOKUP($A209, Stat!$A$1:$C$501, 2,0)</f>
        <v>1</v>
      </c>
      <c r="K209" s="106">
        <f>VLOOKUP($A209, Stat!$A$1:$C$501, 3,0)</f>
        <v>1</v>
      </c>
      <c r="L209" s="48">
        <v>1</v>
      </c>
      <c r="P209" s="50"/>
      <c r="Q209" s="50"/>
      <c r="R209" s="50"/>
      <c r="S209" s="52">
        <v>0</v>
      </c>
      <c r="T209" s="52">
        <v>1</v>
      </c>
      <c r="U209" s="52" t="s">
        <v>177</v>
      </c>
      <c r="W209" s="52">
        <v>1</v>
      </c>
    </row>
    <row r="210" spans="1:23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49"/>
      <c r="H210" s="49" t="s">
        <v>268</v>
      </c>
      <c r="I210" s="49"/>
      <c r="J210" s="106">
        <f>VLOOKUP($A210, Stat!$A$1:$C$501, 2,0)</f>
        <v>27</v>
      </c>
      <c r="K210" s="106">
        <f>VLOOKUP($A210, Stat!$A$1:$C$501, 3,0)</f>
        <v>3</v>
      </c>
      <c r="L210" s="48">
        <v>1</v>
      </c>
      <c r="P210" s="50"/>
      <c r="Q210" s="50"/>
      <c r="R210" s="50"/>
      <c r="S210" s="52">
        <v>40</v>
      </c>
      <c r="T210" s="52">
        <v>1</v>
      </c>
      <c r="U210" s="52" t="s">
        <v>177</v>
      </c>
      <c r="W210" s="52">
        <v>1</v>
      </c>
    </row>
    <row r="211" spans="1:23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49"/>
      <c r="H211" s="49" t="s">
        <v>268</v>
      </c>
      <c r="I211" s="49"/>
      <c r="J211" s="106">
        <f>VLOOKUP($A211, Stat!$A$1:$C$501, 2,0)</f>
        <v>19</v>
      </c>
      <c r="K211" s="106">
        <f>VLOOKUP($A211, Stat!$A$1:$C$501, 3,0)</f>
        <v>9</v>
      </c>
      <c r="L211" s="48">
        <v>1</v>
      </c>
      <c r="P211" s="50"/>
      <c r="Q211" s="50"/>
      <c r="R211" s="50"/>
      <c r="S211" s="52">
        <v>40</v>
      </c>
      <c r="T211" s="52">
        <v>0</v>
      </c>
      <c r="U211" s="52" t="s">
        <v>177</v>
      </c>
      <c r="W211" s="52">
        <v>1</v>
      </c>
    </row>
    <row r="212" spans="1:23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49"/>
      <c r="H212" s="49" t="s">
        <v>268</v>
      </c>
      <c r="I212" s="49"/>
      <c r="J212" s="106">
        <f>VLOOKUP($A212, Stat!$A$1:$C$501, 2,0)</f>
        <v>8</v>
      </c>
      <c r="K212" s="106">
        <f>VLOOKUP($A212, Stat!$A$1:$C$501, 3,0)</f>
        <v>4</v>
      </c>
      <c r="L212" s="48">
        <v>1</v>
      </c>
      <c r="P212" s="50"/>
      <c r="Q212" s="50"/>
      <c r="R212" s="50"/>
      <c r="S212" s="52">
        <v>60</v>
      </c>
      <c r="T212" s="52">
        <v>0</v>
      </c>
      <c r="U212" s="52" t="s">
        <v>177</v>
      </c>
      <c r="W212" s="52">
        <v>1</v>
      </c>
    </row>
    <row r="213" spans="1:23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49"/>
      <c r="H213" s="49" t="s">
        <v>268</v>
      </c>
      <c r="I213" s="49"/>
      <c r="J213" s="106">
        <f>VLOOKUP($A213, Stat!$A$1:$C$501, 2,0)</f>
        <v>4</v>
      </c>
      <c r="K213" s="106">
        <f>VLOOKUP($A213, Stat!$A$1:$C$501, 3,0)</f>
        <v>1</v>
      </c>
      <c r="L213" s="48">
        <v>1</v>
      </c>
      <c r="P213" s="50"/>
      <c r="Q213" s="50"/>
      <c r="R213" s="50"/>
      <c r="S213" s="52">
        <v>0</v>
      </c>
      <c r="T213" s="52">
        <v>1</v>
      </c>
      <c r="U213" s="52" t="s">
        <v>178</v>
      </c>
      <c r="W213" s="52">
        <v>1</v>
      </c>
    </row>
    <row r="214" spans="1:23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49"/>
      <c r="H214" s="49" t="s">
        <v>268</v>
      </c>
      <c r="I214" s="49"/>
      <c r="J214" s="106">
        <f>VLOOKUP($A214, Stat!$A$1:$C$501, 2,0)</f>
        <v>22</v>
      </c>
      <c r="K214" s="106">
        <f>VLOOKUP($A214, Stat!$A$1:$C$501, 3,0)</f>
        <v>7</v>
      </c>
      <c r="L214" s="48">
        <v>1</v>
      </c>
      <c r="P214" s="50"/>
      <c r="Q214" s="50"/>
      <c r="R214" s="50"/>
      <c r="S214" s="52">
        <v>40</v>
      </c>
      <c r="T214" s="52">
        <v>1</v>
      </c>
      <c r="U214" s="52" t="s">
        <v>178</v>
      </c>
      <c r="W214" s="52">
        <v>1</v>
      </c>
    </row>
    <row r="215" spans="1:23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49"/>
      <c r="H215" s="49" t="s">
        <v>268</v>
      </c>
      <c r="I215" s="49"/>
      <c r="J215" s="106">
        <f>VLOOKUP($A215, Stat!$A$1:$C$501, 2,0)</f>
        <v>17</v>
      </c>
      <c r="K215" s="106">
        <f>VLOOKUP($A215, Stat!$A$1:$C$501, 3,0)</f>
        <v>6</v>
      </c>
      <c r="L215" s="48">
        <v>1</v>
      </c>
      <c r="P215" s="50"/>
      <c r="Q215" s="50"/>
      <c r="R215" s="50"/>
      <c r="S215" s="52">
        <v>40</v>
      </c>
      <c r="T215" s="52">
        <v>0</v>
      </c>
      <c r="U215" s="52" t="s">
        <v>178</v>
      </c>
      <c r="W215" s="52">
        <v>1</v>
      </c>
    </row>
    <row r="216" spans="1:23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49"/>
      <c r="H216" s="49" t="s">
        <v>268</v>
      </c>
      <c r="I216" s="49"/>
      <c r="J216" s="106">
        <f>VLOOKUP($A216, Stat!$A$1:$C$501, 2,0)</f>
        <v>8</v>
      </c>
      <c r="K216" s="106">
        <f>VLOOKUP($A216, Stat!$A$1:$C$501, 3,0)</f>
        <v>8</v>
      </c>
      <c r="L216" s="48">
        <v>1</v>
      </c>
      <c r="P216" s="50"/>
      <c r="Q216" s="50"/>
      <c r="R216" s="50"/>
      <c r="S216" s="52">
        <v>60</v>
      </c>
      <c r="T216" s="52">
        <v>0</v>
      </c>
      <c r="U216" s="52" t="s">
        <v>178</v>
      </c>
      <c r="W216" s="52">
        <v>1</v>
      </c>
    </row>
    <row r="217" spans="1:23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50"/>
      <c r="H217" s="50"/>
      <c r="I217" s="50"/>
      <c r="J217" s="106">
        <f>VLOOKUP($A217, Stat!$A$1:$C$501, 2,0)</f>
        <v>1</v>
      </c>
      <c r="K217" s="106">
        <f>VLOOKUP($A217, Stat!$A$1:$C$501, 3,0)</f>
        <v>1</v>
      </c>
      <c r="L217" s="48">
        <v>1</v>
      </c>
      <c r="P217" s="50"/>
      <c r="Q217" s="50"/>
      <c r="R217" s="50"/>
      <c r="S217" s="52">
        <v>60</v>
      </c>
      <c r="T217" s="52">
        <v>0</v>
      </c>
      <c r="V217" s="52" t="s">
        <v>504</v>
      </c>
      <c r="W217" s="52">
        <v>1</v>
      </c>
    </row>
    <row r="218" spans="1:23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50"/>
      <c r="H218" s="50"/>
      <c r="I218" s="50"/>
      <c r="J218" s="106">
        <f>VLOOKUP($A218, Stat!$A$1:$C$501, 2,0)</f>
        <v>5</v>
      </c>
      <c r="K218" s="106">
        <f>VLOOKUP($A218, Stat!$A$1:$C$501, 3,0)</f>
        <v>3</v>
      </c>
      <c r="L218" s="48">
        <v>1</v>
      </c>
      <c r="P218" s="50"/>
      <c r="Q218" s="50"/>
      <c r="R218" s="50"/>
      <c r="S218" s="52">
        <v>0</v>
      </c>
      <c r="T218" s="52">
        <v>0</v>
      </c>
      <c r="V218" s="52" t="s">
        <v>505</v>
      </c>
      <c r="W218" s="52">
        <v>1</v>
      </c>
    </row>
    <row r="219" spans="1:23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50"/>
      <c r="H219" s="50"/>
      <c r="I219" s="50"/>
      <c r="J219" s="106">
        <f>VLOOKUP($A219, Stat!$A$1:$C$501, 2,0)</f>
        <v>1</v>
      </c>
      <c r="K219" s="106">
        <f>VLOOKUP($A219, Stat!$A$1:$C$501, 3,0)</f>
        <v>1</v>
      </c>
      <c r="L219" s="48">
        <v>1</v>
      </c>
      <c r="P219" s="50"/>
      <c r="Q219" s="50"/>
      <c r="R219" s="50"/>
      <c r="S219" s="52">
        <v>60</v>
      </c>
      <c r="T219" s="52">
        <v>0</v>
      </c>
      <c r="V219" s="52" t="s">
        <v>238</v>
      </c>
      <c r="W219" s="52">
        <v>1</v>
      </c>
    </row>
    <row r="220" spans="1:23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50"/>
      <c r="H220" s="50"/>
      <c r="I220" s="50"/>
      <c r="J220" s="106">
        <f>VLOOKUP($A220, Stat!$A$1:$C$501, 2,0)</f>
        <v>25</v>
      </c>
      <c r="K220" s="106">
        <f>VLOOKUP($A220, Stat!$A$1:$C$501, 3,0)</f>
        <v>5</v>
      </c>
      <c r="L220" s="48">
        <v>1</v>
      </c>
      <c r="P220" s="50"/>
      <c r="Q220" s="50"/>
      <c r="R220" s="50"/>
      <c r="S220" s="52">
        <v>60</v>
      </c>
      <c r="T220" s="52">
        <v>0</v>
      </c>
      <c r="V220" s="52" t="s">
        <v>237</v>
      </c>
      <c r="W220" s="52">
        <v>1</v>
      </c>
    </row>
    <row r="221" spans="1:23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50"/>
      <c r="H221" s="50"/>
      <c r="I221" s="50"/>
      <c r="J221" s="106">
        <f>VLOOKUP($A221, Stat!$A$1:$C$501, 2,0)</f>
        <v>15</v>
      </c>
      <c r="K221" s="106">
        <f>VLOOKUP($A221, Stat!$A$1:$C$501, 3,0)</f>
        <v>11</v>
      </c>
      <c r="L221" s="48">
        <v>1</v>
      </c>
      <c r="P221" s="50"/>
      <c r="Q221" s="50"/>
      <c r="R221" s="50"/>
      <c r="S221" s="52">
        <v>100</v>
      </c>
      <c r="T221" s="52">
        <v>0</v>
      </c>
      <c r="W221" s="52">
        <v>1</v>
      </c>
    </row>
    <row r="222" spans="1:23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50"/>
      <c r="H222" s="50"/>
      <c r="I222" s="50"/>
      <c r="J222" s="106">
        <f>VLOOKUP($A222, Stat!$A$1:$C$501, 2,0)</f>
        <v>15</v>
      </c>
      <c r="K222" s="106">
        <f>VLOOKUP($A222, Stat!$A$1:$C$501, 3,0)</f>
        <v>7</v>
      </c>
      <c r="L222" s="48">
        <v>1</v>
      </c>
      <c r="P222" s="50"/>
      <c r="Q222" s="50"/>
      <c r="R222" s="50"/>
      <c r="S222" s="52">
        <v>100</v>
      </c>
      <c r="T222" s="52">
        <v>0</v>
      </c>
      <c r="W222" s="52">
        <v>1</v>
      </c>
    </row>
    <row r="223" spans="1:23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50"/>
      <c r="H223" s="50"/>
      <c r="I223" s="50"/>
      <c r="J223" s="106">
        <f>VLOOKUP($A223, Stat!$A$1:$C$501, 2,0)</f>
        <v>6</v>
      </c>
      <c r="K223" s="106">
        <f>VLOOKUP($A223, Stat!$A$1:$C$501, 3,0)</f>
        <v>4</v>
      </c>
      <c r="L223" s="48">
        <v>1</v>
      </c>
      <c r="P223" s="50"/>
      <c r="Q223" s="50"/>
      <c r="R223" s="50"/>
      <c r="S223" s="52">
        <v>0</v>
      </c>
      <c r="T223" s="52">
        <v>1</v>
      </c>
      <c r="V223" s="52" t="s">
        <v>298</v>
      </c>
      <c r="W223" s="52">
        <v>1</v>
      </c>
    </row>
    <row r="224" spans="1:23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49" t="s">
        <v>268</v>
      </c>
      <c r="H224" s="50"/>
      <c r="I224" s="50"/>
      <c r="J224" s="106">
        <f>VLOOKUP($A224, Stat!$A$1:$C$501, 2,0)</f>
        <v>13</v>
      </c>
      <c r="K224" s="106">
        <f>VLOOKUP($A224, Stat!$A$1:$C$501, 3,0)</f>
        <v>6</v>
      </c>
      <c r="L224" s="48">
        <v>1</v>
      </c>
      <c r="P224" s="50"/>
      <c r="Q224" s="50"/>
      <c r="R224" s="50"/>
      <c r="S224" s="52">
        <v>60</v>
      </c>
      <c r="T224" s="52">
        <v>0</v>
      </c>
      <c r="V224" s="52" t="s">
        <v>589</v>
      </c>
      <c r="W224" s="52">
        <v>1</v>
      </c>
    </row>
    <row r="225" spans="1:23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49" t="s">
        <v>268</v>
      </c>
      <c r="H225" s="50"/>
      <c r="I225" s="50"/>
      <c r="J225" s="106">
        <f>VLOOKUP($A225, Stat!$A$1:$C$501, 2,0)</f>
        <v>8</v>
      </c>
      <c r="K225" s="106">
        <f>VLOOKUP($A225, Stat!$A$1:$C$501, 3,0)</f>
        <v>4</v>
      </c>
      <c r="L225" s="48">
        <v>1</v>
      </c>
      <c r="P225" s="50"/>
      <c r="Q225" s="50"/>
      <c r="R225" s="50"/>
      <c r="S225" s="52">
        <v>100</v>
      </c>
      <c r="T225" s="52">
        <v>0</v>
      </c>
      <c r="V225" s="52" t="s">
        <v>338</v>
      </c>
      <c r="W225" s="52">
        <v>1</v>
      </c>
    </row>
    <row r="226" spans="1:23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50"/>
      <c r="H226" s="50"/>
      <c r="I226" s="50"/>
      <c r="J226" s="106">
        <f>VLOOKUP($A226, Stat!$A$1:$C$501, 2,0)</f>
        <v>409</v>
      </c>
      <c r="K226" s="106">
        <f>VLOOKUP($A226, Stat!$A$1:$C$501, 3,0)</f>
        <v>2</v>
      </c>
      <c r="L226" s="109"/>
      <c r="P226" s="50"/>
      <c r="Q226" s="50"/>
      <c r="R226" s="50"/>
      <c r="S226" s="52">
        <v>0</v>
      </c>
      <c r="T226" s="52">
        <v>1</v>
      </c>
      <c r="W226" s="52">
        <v>1</v>
      </c>
    </row>
    <row r="227" spans="1:23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50"/>
      <c r="H227" s="50"/>
      <c r="I227" s="50"/>
      <c r="J227" s="106">
        <f>VLOOKUP($A227, Stat!$A$1:$C$501, 2,0)</f>
        <v>11</v>
      </c>
      <c r="K227" s="106">
        <f>VLOOKUP($A227, Stat!$A$1:$C$501, 3,0)</f>
        <v>7</v>
      </c>
      <c r="L227" s="48">
        <v>1</v>
      </c>
      <c r="P227" s="50"/>
      <c r="Q227" s="50"/>
      <c r="R227" s="50"/>
      <c r="S227" s="52">
        <v>60</v>
      </c>
      <c r="T227" s="52">
        <v>0</v>
      </c>
      <c r="W227" s="52">
        <v>1</v>
      </c>
    </row>
    <row r="228" spans="1:23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50"/>
      <c r="H228" s="50"/>
      <c r="I228" s="50"/>
      <c r="J228" s="106">
        <f>VLOOKUP($A228, Stat!$A$1:$C$501, 2,0)</f>
        <v>44</v>
      </c>
      <c r="K228" s="106">
        <f>VLOOKUP($A228, Stat!$A$1:$C$501, 3,0)</f>
        <v>5</v>
      </c>
      <c r="L228" s="48">
        <v>1</v>
      </c>
      <c r="P228" s="50"/>
      <c r="Q228" s="50"/>
      <c r="R228" s="50"/>
      <c r="S228" s="52">
        <v>0</v>
      </c>
      <c r="T228" s="52">
        <v>1</v>
      </c>
      <c r="W228" s="52">
        <v>1</v>
      </c>
    </row>
    <row r="229" spans="1:23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50"/>
      <c r="H229" s="50"/>
      <c r="I229" s="50"/>
      <c r="J229" s="106">
        <f>VLOOKUP($A229, Stat!$A$1:$C$501, 2,0)</f>
        <v>17</v>
      </c>
      <c r="K229" s="106">
        <f>VLOOKUP($A229, Stat!$A$1:$C$501, 3,0)</f>
        <v>8</v>
      </c>
      <c r="L229" s="48">
        <v>1</v>
      </c>
      <c r="P229" s="50"/>
      <c r="Q229" s="50"/>
      <c r="R229" s="50"/>
      <c r="S229" s="52">
        <v>60</v>
      </c>
      <c r="T229" s="52">
        <v>0</v>
      </c>
      <c r="W229" s="52">
        <v>1</v>
      </c>
    </row>
    <row r="230" spans="1:23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50"/>
      <c r="H230" s="50"/>
      <c r="I230" s="50"/>
      <c r="J230" s="106">
        <f>VLOOKUP($A230, Stat!$A$1:$C$501, 2,0)</f>
        <v>44</v>
      </c>
      <c r="K230" s="106">
        <f>VLOOKUP($A230, Stat!$A$1:$C$501, 3,0)</f>
        <v>9</v>
      </c>
      <c r="L230" s="48">
        <v>1</v>
      </c>
      <c r="P230" s="50"/>
      <c r="Q230" s="50"/>
      <c r="R230" s="50"/>
      <c r="S230" s="52">
        <v>0</v>
      </c>
      <c r="T230" s="52">
        <v>1</v>
      </c>
      <c r="W230" s="52">
        <v>1</v>
      </c>
    </row>
    <row r="231" spans="1:23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50"/>
      <c r="H231" s="50"/>
      <c r="I231" s="50"/>
      <c r="J231" s="106">
        <f>VLOOKUP($A231, Stat!$A$1:$C$501, 2,0)</f>
        <v>11</v>
      </c>
      <c r="K231" s="106">
        <f>VLOOKUP($A231, Stat!$A$1:$C$501, 3,0)</f>
        <v>3</v>
      </c>
      <c r="L231" s="48">
        <v>1</v>
      </c>
      <c r="P231" s="50"/>
      <c r="Q231" s="50"/>
      <c r="R231" s="50"/>
      <c r="S231" s="52">
        <v>60</v>
      </c>
      <c r="T231" s="52">
        <v>0</v>
      </c>
      <c r="W231" s="52">
        <v>1</v>
      </c>
    </row>
    <row r="232" spans="1:23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50"/>
      <c r="H232" s="50"/>
      <c r="I232" s="50"/>
      <c r="J232" s="106">
        <f>VLOOKUP($A232, Stat!$A$1:$C$501, 2,0)</f>
        <v>4</v>
      </c>
      <c r="K232" s="106">
        <f>VLOOKUP($A232, Stat!$A$1:$C$501, 3,0)</f>
        <v>3</v>
      </c>
      <c r="L232" s="48">
        <v>1</v>
      </c>
      <c r="P232" s="50"/>
      <c r="Q232" s="50"/>
      <c r="R232" s="50"/>
      <c r="S232" s="52">
        <v>60</v>
      </c>
      <c r="T232" s="52">
        <v>0</v>
      </c>
      <c r="V232" s="52" t="s">
        <v>244</v>
      </c>
      <c r="W232" s="52">
        <v>1</v>
      </c>
    </row>
    <row r="233" spans="1:23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50"/>
      <c r="H233" s="50"/>
      <c r="I233" s="50"/>
      <c r="J233" s="106">
        <f>VLOOKUP($A233, Stat!$A$1:$C$501, 2,0)</f>
        <v>3</v>
      </c>
      <c r="K233" s="106">
        <f>VLOOKUP($A233, Stat!$A$1:$C$501, 3,0)</f>
        <v>3</v>
      </c>
      <c r="L233" s="48">
        <v>1</v>
      </c>
      <c r="P233" s="50"/>
      <c r="Q233" s="50"/>
      <c r="R233" s="50"/>
      <c r="S233" s="52">
        <v>60</v>
      </c>
      <c r="T233" s="52">
        <v>0</v>
      </c>
      <c r="W233" s="52">
        <v>1</v>
      </c>
    </row>
    <row r="234" spans="1:23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50"/>
      <c r="H234" s="50"/>
      <c r="I234" s="50"/>
      <c r="J234" s="106">
        <f>VLOOKUP($A234, Stat!$A$1:$C$501, 2,0)</f>
        <v>21</v>
      </c>
      <c r="K234" s="106">
        <f>VLOOKUP($A234, Stat!$A$1:$C$501, 3,0)</f>
        <v>4</v>
      </c>
      <c r="L234" s="48">
        <v>1</v>
      </c>
      <c r="P234" s="50"/>
      <c r="Q234" s="50"/>
      <c r="R234" s="50"/>
      <c r="S234" s="52">
        <v>0</v>
      </c>
      <c r="T234" s="52">
        <v>1</v>
      </c>
      <c r="W234" s="52">
        <v>1</v>
      </c>
    </row>
    <row r="235" spans="1:23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50"/>
      <c r="H235" s="50"/>
      <c r="I235" s="50"/>
      <c r="J235" s="106">
        <f>VLOOKUP($A235, Stat!$A$1:$C$501, 2,0)</f>
        <v>8</v>
      </c>
      <c r="K235" s="106">
        <f>VLOOKUP($A235, Stat!$A$1:$C$501, 3,0)</f>
        <v>8</v>
      </c>
      <c r="L235" s="48">
        <v>1</v>
      </c>
      <c r="P235" s="50"/>
      <c r="Q235" s="50"/>
      <c r="R235" s="50"/>
      <c r="S235" s="52">
        <v>60</v>
      </c>
      <c r="T235" s="52">
        <v>0</v>
      </c>
      <c r="W235" s="52">
        <v>1</v>
      </c>
    </row>
    <row r="236" spans="1:23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50"/>
      <c r="H236" s="50"/>
      <c r="I236" s="50"/>
      <c r="J236" s="106">
        <f>VLOOKUP($A236, Stat!$A$1:$C$501, 2,0)</f>
        <v>22</v>
      </c>
      <c r="K236" s="106">
        <f>VLOOKUP($A236, Stat!$A$1:$C$501, 3,0)</f>
        <v>19</v>
      </c>
      <c r="L236" s="48">
        <v>1</v>
      </c>
      <c r="P236" s="50"/>
      <c r="Q236" s="50"/>
      <c r="R236" s="50"/>
      <c r="S236" s="52">
        <v>60</v>
      </c>
      <c r="T236" s="52">
        <v>0</v>
      </c>
      <c r="V236" s="52" t="s">
        <v>239</v>
      </c>
      <c r="W236" s="52">
        <v>1</v>
      </c>
    </row>
    <row r="237" spans="1:23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50"/>
      <c r="H237" s="50"/>
      <c r="I237" s="50"/>
      <c r="J237" s="106">
        <f>VLOOKUP($A237, Stat!$A$1:$C$501, 2,0)</f>
        <v>27</v>
      </c>
      <c r="K237" s="106">
        <f>VLOOKUP($A237, Stat!$A$1:$C$501, 3,0)</f>
        <v>12</v>
      </c>
      <c r="L237" s="48">
        <v>1</v>
      </c>
      <c r="P237" s="50"/>
      <c r="Q237" s="50"/>
      <c r="R237" s="50"/>
      <c r="S237" s="52">
        <v>60</v>
      </c>
      <c r="T237" s="52">
        <v>0</v>
      </c>
      <c r="W237" s="52">
        <v>1</v>
      </c>
    </row>
    <row r="238" spans="1:23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50"/>
      <c r="H238" s="50"/>
      <c r="I238" s="50"/>
      <c r="J238" s="106">
        <f>VLOOKUP($A238, Stat!$A$1:$C$501, 2,0)</f>
        <v>21</v>
      </c>
      <c r="K238" s="106">
        <f>VLOOKUP($A238, Stat!$A$1:$C$501, 3,0)</f>
        <v>18</v>
      </c>
      <c r="L238" s="48">
        <v>1</v>
      </c>
      <c r="P238" s="50"/>
      <c r="Q238" s="50"/>
      <c r="R238" s="50"/>
      <c r="S238" s="52">
        <v>60</v>
      </c>
      <c r="T238" s="52">
        <v>0</v>
      </c>
      <c r="V238" s="52" t="s">
        <v>240</v>
      </c>
      <c r="W238" s="52">
        <v>1</v>
      </c>
    </row>
    <row r="239" spans="1:23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50"/>
      <c r="H239" s="50"/>
      <c r="I239" s="50"/>
      <c r="J239" s="106">
        <f>VLOOKUP($A239, Stat!$A$1:$C$501, 2,0)</f>
        <v>19</v>
      </c>
      <c r="K239" s="106">
        <f>VLOOKUP($A239, Stat!$A$1:$C$501, 3,0)</f>
        <v>6</v>
      </c>
      <c r="L239" s="48">
        <v>1</v>
      </c>
      <c r="P239" s="50"/>
      <c r="Q239" s="50"/>
      <c r="R239" s="50"/>
      <c r="S239" s="52">
        <v>0</v>
      </c>
      <c r="T239" s="52">
        <v>1</v>
      </c>
      <c r="V239" s="52" t="s">
        <v>246</v>
      </c>
      <c r="W239" s="52">
        <v>1</v>
      </c>
    </row>
    <row r="240" spans="1:23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50"/>
      <c r="H240" s="50"/>
      <c r="I240" s="50"/>
      <c r="J240" s="106">
        <f>VLOOKUP($A240, Stat!$A$1:$C$501, 2,0)</f>
        <v>65</v>
      </c>
      <c r="K240" s="106">
        <f>VLOOKUP($A240, Stat!$A$1:$C$501, 3,0)</f>
        <v>18</v>
      </c>
      <c r="L240" s="48">
        <v>1</v>
      </c>
      <c r="P240" s="50"/>
      <c r="Q240" s="50"/>
      <c r="R240" s="50"/>
      <c r="S240" s="52">
        <v>0</v>
      </c>
      <c r="T240" s="52">
        <v>1</v>
      </c>
      <c r="W240" s="52">
        <v>1</v>
      </c>
    </row>
    <row r="241" spans="1:23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50"/>
      <c r="H241" s="50"/>
      <c r="I241" s="50"/>
      <c r="J241" s="106">
        <f>VLOOKUP($A241, Stat!$A$1:$C$501, 2,0)</f>
        <v>10</v>
      </c>
      <c r="K241" s="106">
        <f>VLOOKUP($A241, Stat!$A$1:$C$501, 3,0)</f>
        <v>9</v>
      </c>
      <c r="L241" s="48">
        <v>1</v>
      </c>
      <c r="P241" s="49" t="s">
        <v>291</v>
      </c>
      <c r="Q241" s="50"/>
      <c r="R241" s="50"/>
      <c r="S241" s="52">
        <v>60</v>
      </c>
      <c r="T241" s="52">
        <v>0</v>
      </c>
      <c r="W241" s="52">
        <v>1</v>
      </c>
    </row>
    <row r="242" spans="1:23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50"/>
      <c r="H242" s="50"/>
      <c r="I242" s="50"/>
      <c r="J242" s="106">
        <f>VLOOKUP($A242, Stat!$A$1:$C$501, 2,0)</f>
        <v>71</v>
      </c>
      <c r="K242" s="106">
        <f>VLOOKUP($A242, Stat!$A$1:$C$501, 3,0)</f>
        <v>16</v>
      </c>
      <c r="L242" s="48">
        <v>1</v>
      </c>
      <c r="P242" s="50"/>
      <c r="Q242" s="50"/>
      <c r="R242" s="50"/>
      <c r="S242" s="52">
        <v>0</v>
      </c>
      <c r="T242" s="52">
        <v>1</v>
      </c>
      <c r="W242" s="52">
        <v>1</v>
      </c>
    </row>
    <row r="243" spans="1:23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50"/>
      <c r="H243" s="50"/>
      <c r="I243" s="50"/>
      <c r="J243" s="106">
        <f>VLOOKUP($A243, Stat!$A$1:$C$501, 2,0)</f>
        <v>31</v>
      </c>
      <c r="K243" s="106">
        <f>VLOOKUP($A243, Stat!$A$1:$C$501, 3,0)</f>
        <v>10</v>
      </c>
      <c r="L243" s="48">
        <v>1</v>
      </c>
      <c r="P243" s="50"/>
      <c r="Q243" s="50"/>
      <c r="R243" s="50"/>
      <c r="S243" s="52">
        <v>0</v>
      </c>
      <c r="T243" s="52">
        <v>1</v>
      </c>
      <c r="W243" s="52">
        <v>1</v>
      </c>
    </row>
    <row r="244" spans="1:23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50"/>
      <c r="H244" s="50"/>
      <c r="I244" s="50"/>
      <c r="J244" s="106">
        <f>VLOOKUP($A244, Stat!$A$1:$C$501, 2,0)</f>
        <v>15</v>
      </c>
      <c r="K244" s="106">
        <f>VLOOKUP($A244, Stat!$A$1:$C$501, 3,0)</f>
        <v>3</v>
      </c>
      <c r="L244" s="48">
        <v>1</v>
      </c>
      <c r="P244" s="50"/>
      <c r="Q244" s="50"/>
      <c r="R244" s="50"/>
      <c r="S244" s="52">
        <v>60</v>
      </c>
      <c r="T244" s="52">
        <v>1</v>
      </c>
      <c r="W244" s="52">
        <v>1</v>
      </c>
    </row>
    <row r="245" spans="1:23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50"/>
      <c r="H245" s="50"/>
      <c r="I245" s="50"/>
      <c r="J245" s="106">
        <f>VLOOKUP($A245, Stat!$A$1:$C$501, 2,0)</f>
        <v>3</v>
      </c>
      <c r="K245" s="106">
        <f>VLOOKUP($A245, Stat!$A$1:$C$501, 3,0)</f>
        <v>3</v>
      </c>
      <c r="L245" s="48">
        <v>1</v>
      </c>
      <c r="P245" s="50"/>
      <c r="Q245" s="50"/>
      <c r="R245" s="50"/>
      <c r="S245" s="52">
        <v>60</v>
      </c>
      <c r="T245" s="52">
        <v>0</v>
      </c>
      <c r="W245" s="52">
        <v>1</v>
      </c>
    </row>
    <row r="246" spans="1:23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50"/>
      <c r="H246" s="50"/>
      <c r="I246" s="50"/>
      <c r="J246" s="106">
        <f>VLOOKUP($A246, Stat!$A$1:$C$501, 2,0)</f>
        <v>31</v>
      </c>
      <c r="K246" s="106">
        <f>VLOOKUP($A246, Stat!$A$1:$C$501, 3,0)</f>
        <v>10</v>
      </c>
      <c r="L246" s="48">
        <v>1</v>
      </c>
      <c r="P246" s="50"/>
      <c r="Q246" s="50"/>
      <c r="R246" s="50"/>
      <c r="S246" s="52">
        <v>0</v>
      </c>
      <c r="T246" s="52">
        <v>0</v>
      </c>
      <c r="W246" s="52">
        <v>1</v>
      </c>
    </row>
    <row r="247" spans="1:23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50"/>
      <c r="H247" s="50"/>
      <c r="I247" s="50"/>
      <c r="J247" s="106">
        <f>VLOOKUP($A247, Stat!$A$1:$C$501, 2,0)</f>
        <v>7</v>
      </c>
      <c r="K247" s="106">
        <f>VLOOKUP($A247, Stat!$A$1:$C$501, 3,0)</f>
        <v>2</v>
      </c>
      <c r="L247" s="48">
        <v>1</v>
      </c>
      <c r="P247" s="49" t="s">
        <v>494</v>
      </c>
      <c r="Q247" s="50"/>
      <c r="R247" s="50"/>
      <c r="S247" s="52">
        <v>60</v>
      </c>
      <c r="T247" s="52">
        <v>0</v>
      </c>
      <c r="W247" s="52">
        <v>1</v>
      </c>
    </row>
    <row r="248" spans="1:23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50"/>
      <c r="H248" s="50"/>
      <c r="I248" s="50"/>
      <c r="J248" s="106">
        <f>VLOOKUP($A248, Stat!$A$1:$C$501, 2,0)</f>
        <v>37</v>
      </c>
      <c r="K248" s="106">
        <f>VLOOKUP($A248, Stat!$A$1:$C$501, 3,0)</f>
        <v>16</v>
      </c>
      <c r="L248" s="48">
        <v>1</v>
      </c>
      <c r="P248" s="50"/>
      <c r="Q248" s="50"/>
      <c r="R248" s="50"/>
      <c r="S248" s="52">
        <v>60</v>
      </c>
      <c r="T248" s="52">
        <v>0</v>
      </c>
      <c r="V248" s="52" t="s">
        <v>243</v>
      </c>
      <c r="W248" s="52">
        <v>1</v>
      </c>
    </row>
    <row r="249" spans="1:23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49" t="s">
        <v>268</v>
      </c>
      <c r="H249" s="50"/>
      <c r="I249" s="50"/>
      <c r="J249" s="106">
        <f>VLOOKUP($A249, Stat!$A$1:$C$501, 2,0)</f>
        <v>25</v>
      </c>
      <c r="K249" s="106">
        <f>VLOOKUP($A249, Stat!$A$1:$C$501, 3,0)</f>
        <v>4</v>
      </c>
      <c r="L249" s="48">
        <v>1</v>
      </c>
      <c r="P249" s="50"/>
      <c r="Q249" s="50"/>
      <c r="R249" s="50"/>
      <c r="S249" s="52">
        <v>0</v>
      </c>
      <c r="T249" s="52">
        <v>1</v>
      </c>
      <c r="U249" s="52" t="s">
        <v>448</v>
      </c>
      <c r="W249" s="52">
        <v>1</v>
      </c>
    </row>
    <row r="250" spans="1:23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49" t="s">
        <v>268</v>
      </c>
      <c r="H250" s="50"/>
      <c r="I250" s="50"/>
      <c r="J250" s="106">
        <f>VLOOKUP($A250, Stat!$A$1:$C$501, 2,0)</f>
        <v>135</v>
      </c>
      <c r="K250" s="106">
        <f>VLOOKUP($A250, Stat!$A$1:$C$501, 3,0)</f>
        <v>29</v>
      </c>
      <c r="L250" s="48">
        <v>1</v>
      </c>
      <c r="P250" s="54"/>
      <c r="Q250" s="50"/>
      <c r="R250" s="50"/>
      <c r="S250" s="52">
        <v>0</v>
      </c>
      <c r="T250" s="52">
        <v>1</v>
      </c>
      <c r="U250" s="52" t="s">
        <v>448</v>
      </c>
      <c r="W250" s="52">
        <v>1</v>
      </c>
    </row>
    <row r="251" spans="1:23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49" t="s">
        <v>268</v>
      </c>
      <c r="H251" s="50"/>
      <c r="I251" s="50"/>
      <c r="J251" s="106">
        <f>VLOOKUP($A251, Stat!$A$1:$C$501, 2,0)</f>
        <v>67</v>
      </c>
      <c r="K251" s="106">
        <f>VLOOKUP($A251, Stat!$A$1:$C$501, 3,0)</f>
        <v>17</v>
      </c>
      <c r="L251" s="48">
        <v>1</v>
      </c>
      <c r="P251" s="49" t="s">
        <v>270</v>
      </c>
      <c r="Q251" s="50"/>
      <c r="R251" s="50"/>
      <c r="S251" s="52">
        <v>60</v>
      </c>
      <c r="T251" s="52">
        <v>0</v>
      </c>
      <c r="U251" s="52" t="s">
        <v>448</v>
      </c>
      <c r="V251" s="52" t="s">
        <v>236</v>
      </c>
      <c r="W251" s="52">
        <v>1</v>
      </c>
    </row>
    <row r="252" spans="1:23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50"/>
      <c r="H252" s="50"/>
      <c r="I252" s="50"/>
      <c r="J252" s="106">
        <f>VLOOKUP($A252, Stat!$A$1:$C$501, 2,0)</f>
        <v>4</v>
      </c>
      <c r="K252" s="106">
        <f>VLOOKUP($A252, Stat!$A$1:$C$501, 3,0)</f>
        <v>4</v>
      </c>
      <c r="L252" s="48">
        <v>1</v>
      </c>
      <c r="P252" s="50"/>
      <c r="Q252" s="50"/>
      <c r="R252" s="50"/>
      <c r="S252" s="52">
        <v>60</v>
      </c>
      <c r="T252" s="52">
        <v>0</v>
      </c>
      <c r="W252" s="52">
        <v>1</v>
      </c>
    </row>
    <row r="253" spans="1:23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50"/>
      <c r="H253" s="50"/>
      <c r="I253" s="50"/>
      <c r="J253" s="106">
        <f>VLOOKUP($A253, Stat!$A$1:$C$501, 2,0)</f>
        <v>25</v>
      </c>
      <c r="K253" s="106">
        <f>VLOOKUP($A253, Stat!$A$1:$C$501, 3,0)</f>
        <v>8</v>
      </c>
      <c r="L253" s="48">
        <v>1</v>
      </c>
      <c r="M253" s="51"/>
      <c r="N253" s="51"/>
      <c r="O253" s="48">
        <v>1</v>
      </c>
      <c r="P253" s="50"/>
      <c r="Q253" s="50"/>
      <c r="R253" s="50"/>
      <c r="S253" s="52">
        <v>60</v>
      </c>
      <c r="T253" s="52">
        <v>0</v>
      </c>
      <c r="W253" s="52">
        <v>1</v>
      </c>
    </row>
    <row r="254" spans="1:23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50"/>
      <c r="H254" s="50"/>
      <c r="I254" s="50"/>
      <c r="J254" s="106">
        <f>VLOOKUP($A254, Stat!$A$1:$C$501, 2,0)</f>
        <v>1</v>
      </c>
      <c r="K254" s="106">
        <f>VLOOKUP($A254, Stat!$A$1:$C$501, 3,0)</f>
        <v>1</v>
      </c>
      <c r="L254" s="48">
        <v>1</v>
      </c>
      <c r="M254" s="51"/>
      <c r="N254" s="51"/>
      <c r="O254" s="48">
        <v>1</v>
      </c>
      <c r="P254" s="50"/>
      <c r="Q254" s="50"/>
      <c r="R254" s="50"/>
      <c r="S254" s="52">
        <v>60</v>
      </c>
      <c r="T254" s="52">
        <v>0</v>
      </c>
      <c r="W254" s="52">
        <v>1</v>
      </c>
    </row>
    <row r="255" spans="1:23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50"/>
      <c r="H255" s="50"/>
      <c r="I255" s="50"/>
      <c r="J255" s="106">
        <f>VLOOKUP($A255, Stat!$A$1:$C$501, 2,0)</f>
        <v>19</v>
      </c>
      <c r="K255" s="106">
        <f>VLOOKUP($A255, Stat!$A$1:$C$501, 3,0)</f>
        <v>16</v>
      </c>
      <c r="L255" s="48">
        <v>1</v>
      </c>
      <c r="P255" s="50"/>
      <c r="Q255" s="50"/>
      <c r="R255" s="50"/>
      <c r="S255" s="52">
        <v>60</v>
      </c>
      <c r="T255" s="52">
        <v>0</v>
      </c>
      <c r="V255" s="52" t="s">
        <v>241</v>
      </c>
      <c r="W255" s="52">
        <v>1</v>
      </c>
    </row>
    <row r="256" spans="1:23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50"/>
      <c r="H256" s="50"/>
      <c r="I256" s="50"/>
      <c r="J256" s="106">
        <f>VLOOKUP($A256, Stat!$A$1:$C$501, 2,0)</f>
        <v>11</v>
      </c>
      <c r="K256" s="106">
        <f>VLOOKUP($A256, Stat!$A$1:$C$501, 3,0)</f>
        <v>6</v>
      </c>
      <c r="L256" s="48">
        <v>1</v>
      </c>
      <c r="P256" s="50"/>
      <c r="Q256" s="50"/>
      <c r="R256" s="50"/>
      <c r="S256" s="52">
        <v>60</v>
      </c>
      <c r="T256" s="52">
        <v>0</v>
      </c>
      <c r="W256" s="52">
        <v>1</v>
      </c>
    </row>
    <row r="257" spans="1:23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J257" s="106">
        <f>VLOOKUP($A257, Stat!$A$1:$C$501, 2,0)</f>
        <v>29</v>
      </c>
      <c r="K257" s="106">
        <f>VLOOKUP($A257, Stat!$A$1:$C$501, 3,0)</f>
        <v>0</v>
      </c>
      <c r="L257" s="108"/>
      <c r="Q257" s="48">
        <v>1</v>
      </c>
      <c r="S257" s="52">
        <v>0</v>
      </c>
      <c r="T257" s="52">
        <v>1</v>
      </c>
      <c r="V257" s="52" t="s">
        <v>318</v>
      </c>
      <c r="W257" s="52">
        <v>1</v>
      </c>
    </row>
    <row r="258" spans="1:23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50"/>
      <c r="H258" s="50"/>
      <c r="I258" s="50"/>
      <c r="J258" s="106">
        <f>VLOOKUP($A258, Stat!$A$1:$C$501, 2,0)</f>
        <v>7</v>
      </c>
      <c r="K258" s="106">
        <f>VLOOKUP($A258, Stat!$A$1:$C$501, 3,0)</f>
        <v>0</v>
      </c>
      <c r="L258" s="108"/>
      <c r="P258" s="50"/>
      <c r="Q258" s="49" t="s">
        <v>268</v>
      </c>
      <c r="R258" s="50"/>
      <c r="S258" s="52">
        <v>60</v>
      </c>
      <c r="T258" s="52">
        <v>1</v>
      </c>
      <c r="V258" s="52" t="s">
        <v>316</v>
      </c>
      <c r="W258" s="52">
        <v>1</v>
      </c>
    </row>
    <row r="259" spans="1:23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J259" s="106">
        <f>VLOOKUP($A259, Stat!$A$1:$C$501, 2,0)</f>
        <v>33</v>
      </c>
      <c r="K259" s="106">
        <f>VLOOKUP($A259, Stat!$A$1:$C$501, 3,0)</f>
        <v>0</v>
      </c>
      <c r="L259" s="108"/>
      <c r="Q259" s="48">
        <v>1</v>
      </c>
      <c r="S259" s="52">
        <v>0</v>
      </c>
      <c r="T259" s="52">
        <v>1</v>
      </c>
      <c r="V259" s="52" t="s">
        <v>324</v>
      </c>
      <c r="W259" s="52">
        <v>1</v>
      </c>
    </row>
    <row r="260" spans="1:23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50"/>
      <c r="H260" s="50"/>
      <c r="I260" s="50"/>
      <c r="J260" s="106">
        <f>VLOOKUP($A260, Stat!$A$1:$C$501, 2,0)</f>
        <v>7</v>
      </c>
      <c r="K260" s="106">
        <f>VLOOKUP($A260, Stat!$A$1:$C$501, 3,0)</f>
        <v>0</v>
      </c>
      <c r="L260" s="108"/>
      <c r="P260" s="50"/>
      <c r="Q260" s="49" t="s">
        <v>268</v>
      </c>
      <c r="R260" s="50"/>
      <c r="S260" s="52">
        <v>60</v>
      </c>
      <c r="T260" s="52">
        <v>0</v>
      </c>
      <c r="W260" s="52">
        <v>1</v>
      </c>
    </row>
    <row r="261" spans="1:23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50"/>
      <c r="H261" s="50"/>
      <c r="I261" s="50"/>
      <c r="J261" s="106">
        <f>VLOOKUP($A261, Stat!$A$1:$C$501, 2,0)</f>
        <v>2</v>
      </c>
      <c r="K261" s="106">
        <f>VLOOKUP($A261, Stat!$A$1:$C$501, 3,0)</f>
        <v>0</v>
      </c>
      <c r="L261" s="109"/>
      <c r="P261" s="50"/>
      <c r="Q261" s="49" t="s">
        <v>268</v>
      </c>
      <c r="R261" s="50"/>
      <c r="S261" s="52">
        <v>60</v>
      </c>
      <c r="T261" s="52">
        <v>0</v>
      </c>
      <c r="V261" s="52" t="s">
        <v>355</v>
      </c>
      <c r="W261" s="52">
        <v>1</v>
      </c>
    </row>
    <row r="262" spans="1:23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50"/>
      <c r="H262" s="50"/>
      <c r="I262" s="50"/>
      <c r="J262" s="106">
        <f>VLOOKUP($A262, Stat!$A$1:$C$501, 2,0)</f>
        <v>15</v>
      </c>
      <c r="K262" s="106">
        <f>VLOOKUP($A262, Stat!$A$1:$C$501, 3,0)</f>
        <v>0</v>
      </c>
      <c r="L262" s="108"/>
      <c r="P262" s="50"/>
      <c r="Q262" s="49" t="s">
        <v>268</v>
      </c>
      <c r="R262" s="50"/>
      <c r="S262" s="52">
        <v>40</v>
      </c>
      <c r="T262" s="52">
        <v>1</v>
      </c>
      <c r="W262" s="52">
        <v>1</v>
      </c>
    </row>
    <row r="263" spans="1:23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50"/>
      <c r="H263" s="50"/>
      <c r="I263" s="50"/>
      <c r="J263" s="107">
        <f>VLOOKUP($A263, Stat!$A$1:$C$501, 2,0)</f>
        <v>0</v>
      </c>
      <c r="K263" s="106">
        <f>VLOOKUP($A263, Stat!$A$1:$C$501, 3,0)</f>
        <v>0</v>
      </c>
      <c r="P263" s="50"/>
      <c r="Q263" s="50"/>
      <c r="R263" s="50"/>
      <c r="S263" s="52">
        <v>0</v>
      </c>
      <c r="T263" s="52">
        <v>1</v>
      </c>
      <c r="V263" s="52" t="s">
        <v>323</v>
      </c>
      <c r="W263" s="52">
        <v>1</v>
      </c>
    </row>
    <row r="264" spans="1:23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50"/>
      <c r="H264" s="50"/>
      <c r="I264" s="50"/>
      <c r="J264" s="106">
        <f>VLOOKUP($A264, Stat!$A$1:$C$501, 2,0)</f>
        <v>3</v>
      </c>
      <c r="K264" s="106">
        <f>VLOOKUP($A264, Stat!$A$1:$C$501, 3,0)</f>
        <v>0</v>
      </c>
      <c r="L264" s="108"/>
      <c r="P264" s="50"/>
      <c r="Q264" s="49" t="s">
        <v>268</v>
      </c>
      <c r="R264" s="50"/>
      <c r="S264" s="52">
        <v>60</v>
      </c>
      <c r="T264" s="52">
        <v>0</v>
      </c>
      <c r="V264" s="52" t="s">
        <v>436</v>
      </c>
      <c r="W264" s="52">
        <v>1</v>
      </c>
    </row>
    <row r="265" spans="1:23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50"/>
      <c r="H265" s="50"/>
      <c r="I265" s="50"/>
      <c r="J265" s="106">
        <f>VLOOKUP($A265, Stat!$A$1:$C$501, 2,0)</f>
        <v>1</v>
      </c>
      <c r="K265" s="108">
        <f>VLOOKUP($A265, Stat!$A$1:$C$501, 3,0)</f>
        <v>0</v>
      </c>
      <c r="L265" s="108"/>
      <c r="P265" s="50"/>
      <c r="Q265" s="49" t="s">
        <v>268</v>
      </c>
      <c r="R265" s="50"/>
      <c r="S265" s="52">
        <v>60</v>
      </c>
      <c r="T265" s="52">
        <v>1</v>
      </c>
      <c r="V265" s="52" t="s">
        <v>313</v>
      </c>
      <c r="W265" s="52">
        <v>1</v>
      </c>
    </row>
    <row r="266" spans="1:23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50"/>
      <c r="H266" s="50"/>
      <c r="I266" s="50"/>
      <c r="J266" s="106">
        <f>VLOOKUP($A266, Stat!$A$1:$C$501, 2,0)</f>
        <v>11</v>
      </c>
      <c r="K266" s="106">
        <f>VLOOKUP($A266, Stat!$A$1:$C$501, 3,0)</f>
        <v>0</v>
      </c>
      <c r="L266" s="108"/>
      <c r="P266" s="50"/>
      <c r="Q266" s="49" t="s">
        <v>268</v>
      </c>
      <c r="R266" s="50"/>
      <c r="S266" s="52">
        <v>40</v>
      </c>
      <c r="T266" s="52">
        <v>1</v>
      </c>
      <c r="V266" s="52" t="s">
        <v>314</v>
      </c>
      <c r="W266" s="52">
        <v>1</v>
      </c>
    </row>
    <row r="267" spans="1:23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50"/>
      <c r="H267" s="50"/>
      <c r="I267" s="50"/>
      <c r="J267" s="106">
        <f>VLOOKUP($A267, Stat!$A$1:$C$501, 2,0)</f>
        <v>5</v>
      </c>
      <c r="K267" s="106">
        <f>VLOOKUP($A267, Stat!$A$1:$C$501, 3,0)</f>
        <v>0</v>
      </c>
      <c r="L267" s="108"/>
      <c r="P267" s="50"/>
      <c r="Q267" s="49" t="s">
        <v>268</v>
      </c>
      <c r="R267" s="50"/>
      <c r="S267" s="52">
        <v>40</v>
      </c>
      <c r="T267" s="52">
        <v>1</v>
      </c>
      <c r="W267" s="52">
        <v>1</v>
      </c>
    </row>
    <row r="268" spans="1:23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J268" s="106">
        <f>VLOOKUP($A268, Stat!$A$1:$C$501, 2,0)</f>
        <v>47</v>
      </c>
      <c r="K268" s="106">
        <f>VLOOKUP($A268, Stat!$A$1:$C$501, 3,0)</f>
        <v>21</v>
      </c>
      <c r="L268" s="48">
        <v>1</v>
      </c>
      <c r="O268" s="48">
        <v>1</v>
      </c>
      <c r="S268" s="52">
        <v>0</v>
      </c>
      <c r="T268" s="52">
        <v>0</v>
      </c>
      <c r="W268" s="52">
        <v>1</v>
      </c>
    </row>
    <row r="269" spans="1:23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J269" s="106">
        <f>VLOOKUP($A269, Stat!$A$1:$C$501, 2,0)</f>
        <v>313</v>
      </c>
      <c r="K269" s="106">
        <f>VLOOKUP($A269, Stat!$A$1:$C$501, 3,0)</f>
        <v>3</v>
      </c>
      <c r="L269" s="109"/>
      <c r="S269" s="52">
        <v>0</v>
      </c>
      <c r="T269" s="52">
        <v>-1</v>
      </c>
      <c r="W269" s="52">
        <v>1</v>
      </c>
    </row>
    <row r="270" spans="1:23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J270" s="106">
        <f>VLOOKUP($A270, Stat!$A$1:$C$501, 2,0)</f>
        <v>48</v>
      </c>
      <c r="K270" s="106">
        <f>VLOOKUP($A270, Stat!$A$1:$C$501, 3,0)</f>
        <v>6</v>
      </c>
      <c r="L270" s="48">
        <v>1</v>
      </c>
      <c r="S270" s="52">
        <v>0</v>
      </c>
      <c r="T270" s="52">
        <v>-1</v>
      </c>
      <c r="W270" s="52">
        <v>1</v>
      </c>
    </row>
    <row r="271" spans="1:23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J271" s="106">
        <f>VLOOKUP($A271, Stat!$A$1:$C$501, 2,0)</f>
        <v>25</v>
      </c>
      <c r="K271" s="106">
        <f>VLOOKUP($A271, Stat!$A$1:$C$501, 3,0)</f>
        <v>5</v>
      </c>
      <c r="L271" s="48">
        <v>1</v>
      </c>
      <c r="S271" s="52">
        <v>30</v>
      </c>
      <c r="T271" s="52">
        <v>0</v>
      </c>
      <c r="W271" s="52">
        <v>1</v>
      </c>
    </row>
    <row r="272" spans="1:23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J272" s="106">
        <f>VLOOKUP($A272, Stat!$A$1:$C$501, 2,0)</f>
        <v>11</v>
      </c>
      <c r="K272" s="106">
        <f>VLOOKUP($A272, Stat!$A$1:$C$501, 3,0)</f>
        <v>2</v>
      </c>
      <c r="L272" s="48">
        <v>1</v>
      </c>
      <c r="S272" s="52">
        <v>40</v>
      </c>
      <c r="T272" s="52">
        <v>0</v>
      </c>
      <c r="W272" s="52">
        <v>1</v>
      </c>
    </row>
    <row r="273" spans="1:23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J273" s="106">
        <f>VLOOKUP($A273, Stat!$A$1:$C$501, 2,0)</f>
        <v>42</v>
      </c>
      <c r="K273" s="106">
        <f>VLOOKUP($A273, Stat!$A$1:$C$501, 3,0)</f>
        <v>14</v>
      </c>
      <c r="L273" s="48">
        <v>1</v>
      </c>
      <c r="S273" s="52">
        <v>100</v>
      </c>
      <c r="T273" s="52">
        <v>0</v>
      </c>
      <c r="W273" s="52">
        <v>1</v>
      </c>
    </row>
    <row r="274" spans="1:23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J274" s="106">
        <f>VLOOKUP($A274, Stat!$A$1:$C$501, 2,0)</f>
        <v>44</v>
      </c>
      <c r="K274" s="106">
        <f>VLOOKUP($A274, Stat!$A$1:$C$501, 3,0)</f>
        <v>8</v>
      </c>
      <c r="L274" s="48">
        <v>1</v>
      </c>
      <c r="S274" s="52">
        <v>0</v>
      </c>
      <c r="T274" s="52">
        <v>0</v>
      </c>
      <c r="V274" s="52" t="s">
        <v>295</v>
      </c>
      <c r="W274" s="52">
        <v>1</v>
      </c>
    </row>
    <row r="275" spans="1:23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J275" s="106">
        <f>VLOOKUP($A275, Stat!$A$1:$C$501, 2,0)</f>
        <v>6</v>
      </c>
      <c r="K275" s="106">
        <f>VLOOKUP($A275, Stat!$A$1:$C$501, 3,0)</f>
        <v>6</v>
      </c>
      <c r="L275" s="48">
        <v>1</v>
      </c>
      <c r="S275" s="52">
        <v>60</v>
      </c>
      <c r="T275" s="52">
        <v>0</v>
      </c>
      <c r="V275" s="52" t="s">
        <v>469</v>
      </c>
      <c r="W275" s="52">
        <v>1</v>
      </c>
    </row>
    <row r="276" spans="1:23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J276" s="106">
        <f>VLOOKUP($A276, Stat!$A$1:$C$501, 2,0)</f>
        <v>10</v>
      </c>
      <c r="K276" s="106">
        <f>VLOOKUP($A276, Stat!$A$1:$C$501, 3,0)</f>
        <v>2</v>
      </c>
      <c r="L276" s="48">
        <v>1</v>
      </c>
      <c r="S276" s="52">
        <v>60</v>
      </c>
      <c r="T276" s="52">
        <v>0</v>
      </c>
      <c r="V276" s="52" t="s">
        <v>300</v>
      </c>
      <c r="W276" s="52">
        <v>1</v>
      </c>
    </row>
    <row r="277" spans="1:23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48">
        <v>1</v>
      </c>
      <c r="J277" s="106">
        <f>VLOOKUP($A277, Stat!$A$1:$C$501, 2,0)</f>
        <v>5</v>
      </c>
      <c r="K277" s="106">
        <f>VLOOKUP($A277, Stat!$A$1:$C$501, 3,0)</f>
        <v>3</v>
      </c>
      <c r="L277" s="48">
        <v>1</v>
      </c>
      <c r="S277" s="52">
        <v>60</v>
      </c>
      <c r="T277" s="52">
        <v>0</v>
      </c>
      <c r="V277" s="52" t="s">
        <v>299</v>
      </c>
      <c r="W277" s="52">
        <v>1</v>
      </c>
    </row>
    <row r="278" spans="1:23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J278" s="106">
        <f>VLOOKUP($A278, Stat!$A$1:$C$501, 2,0)</f>
        <v>1</v>
      </c>
      <c r="K278" s="106">
        <f>VLOOKUP($A278, Stat!$A$1:$C$501, 3,0)</f>
        <v>1</v>
      </c>
      <c r="L278" s="48">
        <v>1</v>
      </c>
      <c r="S278" s="52">
        <v>60</v>
      </c>
      <c r="T278" s="52">
        <v>0</v>
      </c>
      <c r="V278" s="52" t="s">
        <v>368</v>
      </c>
      <c r="W278" s="52">
        <v>1</v>
      </c>
    </row>
    <row r="279" spans="1:23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J279" s="106">
        <f>VLOOKUP($A279, Stat!$A$1:$C$501, 2,0)</f>
        <v>6</v>
      </c>
      <c r="K279" s="106">
        <f>VLOOKUP($A279, Stat!$A$1:$C$501, 3,0)</f>
        <v>1</v>
      </c>
      <c r="L279" s="48">
        <v>1</v>
      </c>
      <c r="S279" s="52">
        <v>0</v>
      </c>
      <c r="T279" s="52">
        <v>1</v>
      </c>
      <c r="W279" s="52">
        <v>1</v>
      </c>
    </row>
    <row r="280" spans="1:23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J280" s="106">
        <f>VLOOKUP($A280, Stat!$A$1:$C$501, 2,0)</f>
        <v>18</v>
      </c>
      <c r="K280" s="106">
        <f>VLOOKUP($A280, Stat!$A$1:$C$501, 3,0)</f>
        <v>0</v>
      </c>
      <c r="L280" s="108"/>
      <c r="Q280" s="48">
        <v>1</v>
      </c>
      <c r="S280" s="52">
        <v>40</v>
      </c>
      <c r="T280" s="52">
        <v>1</v>
      </c>
      <c r="W280" s="52">
        <v>1</v>
      </c>
    </row>
    <row r="281" spans="1:23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J281" s="106">
        <f>VLOOKUP($A281, Stat!$A$1:$C$501, 2,0)</f>
        <v>4</v>
      </c>
      <c r="K281" s="106">
        <f>VLOOKUP($A281, Stat!$A$1:$C$501, 3,0)</f>
        <v>0</v>
      </c>
      <c r="L281" s="108"/>
      <c r="Q281" s="48">
        <v>1</v>
      </c>
      <c r="S281" s="52">
        <v>60</v>
      </c>
      <c r="T281" s="52">
        <v>1</v>
      </c>
      <c r="W281" s="52">
        <v>1</v>
      </c>
    </row>
    <row r="282" spans="1:23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J282" s="106">
        <f>VLOOKUP($A282, Stat!$A$1:$C$501, 2,0)</f>
        <v>1</v>
      </c>
      <c r="K282" s="108">
        <f>VLOOKUP($A282, Stat!$A$1:$C$501, 3,0)</f>
        <v>0</v>
      </c>
      <c r="L282" s="108"/>
      <c r="Q282" s="48">
        <v>1</v>
      </c>
      <c r="S282" s="52">
        <v>60</v>
      </c>
      <c r="T282" s="52">
        <v>0</v>
      </c>
      <c r="W282" s="52">
        <v>1</v>
      </c>
    </row>
    <row r="283" spans="1:23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48">
        <v>1</v>
      </c>
      <c r="J283" s="106">
        <f>VLOOKUP($A283, Stat!$A$1:$C$501, 2,0)</f>
        <v>48</v>
      </c>
      <c r="K283" s="106">
        <f>VLOOKUP($A283, Stat!$A$1:$C$501, 3,0)</f>
        <v>1</v>
      </c>
      <c r="Q283" s="48">
        <v>1</v>
      </c>
      <c r="S283" s="52">
        <v>0</v>
      </c>
      <c r="T283" s="52">
        <v>1</v>
      </c>
      <c r="U283" s="52" t="s">
        <v>367</v>
      </c>
      <c r="V283" s="52" t="s">
        <v>352</v>
      </c>
      <c r="W283" s="52">
        <v>1</v>
      </c>
    </row>
    <row r="284" spans="1:23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J284" s="107">
        <f>VLOOKUP($A284, Stat!$A$1:$C$501, 2,0)</f>
        <v>0</v>
      </c>
      <c r="K284" s="106">
        <f>VLOOKUP($A284, Stat!$A$1:$C$501, 3,0)</f>
        <v>0</v>
      </c>
      <c r="S284" s="52">
        <v>60</v>
      </c>
      <c r="T284" s="52">
        <v>1</v>
      </c>
      <c r="V284" s="52" t="s">
        <v>325</v>
      </c>
      <c r="W284" s="52">
        <v>1</v>
      </c>
    </row>
    <row r="285" spans="1:23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J285" s="107">
        <f>VLOOKUP($A285, Stat!$A$1:$C$501, 2,0)</f>
        <v>0</v>
      </c>
      <c r="K285" s="106">
        <f>VLOOKUP($A285, Stat!$A$1:$C$501, 3,0)</f>
        <v>0</v>
      </c>
      <c r="S285" s="52">
        <v>60</v>
      </c>
      <c r="T285" s="52">
        <v>1</v>
      </c>
      <c r="V285" s="52" t="s">
        <v>326</v>
      </c>
      <c r="W285" s="52">
        <v>1</v>
      </c>
    </row>
    <row r="286" spans="1:23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J286" s="107">
        <f>VLOOKUP($A286, Stat!$A$1:$C$501, 2,0)</f>
        <v>0</v>
      </c>
      <c r="K286" s="106">
        <f>VLOOKUP($A286, Stat!$A$1:$C$501, 3,0)</f>
        <v>0</v>
      </c>
      <c r="S286" s="52">
        <v>60</v>
      </c>
      <c r="T286" s="52">
        <v>1</v>
      </c>
      <c r="V286" s="52" t="s">
        <v>327</v>
      </c>
      <c r="W286" s="52">
        <v>1</v>
      </c>
    </row>
    <row r="287" spans="1:23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J287" s="106">
        <f>VLOOKUP($A287, Stat!$A$1:$C$501, 2,0)</f>
        <v>15</v>
      </c>
      <c r="K287" s="106">
        <f>VLOOKUP($A287, Stat!$A$1:$C$501, 3,0)</f>
        <v>14</v>
      </c>
      <c r="L287" s="48">
        <v>1</v>
      </c>
      <c r="S287" s="52">
        <v>60</v>
      </c>
      <c r="T287" s="52">
        <v>0</v>
      </c>
      <c r="V287" s="52" t="s">
        <v>334</v>
      </c>
      <c r="W287" s="52">
        <v>1</v>
      </c>
    </row>
    <row r="288" spans="1:23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J288" s="106">
        <f>VLOOKUP($A288, Stat!$A$1:$C$501, 2,0)</f>
        <v>60</v>
      </c>
      <c r="K288" s="106">
        <f>VLOOKUP($A288, Stat!$A$1:$C$501, 3,0)</f>
        <v>21</v>
      </c>
      <c r="P288" s="48">
        <v>225</v>
      </c>
      <c r="S288" s="52">
        <v>0</v>
      </c>
      <c r="T288" s="52">
        <v>0</v>
      </c>
      <c r="V288" s="52" t="s">
        <v>356</v>
      </c>
      <c r="W288" s="52">
        <v>1</v>
      </c>
    </row>
    <row r="289" spans="1:23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J289" s="106">
        <f>VLOOKUP($A289, Stat!$A$1:$C$501, 2,0)</f>
        <v>3</v>
      </c>
      <c r="K289" s="106">
        <f>VLOOKUP($A289, Stat!$A$1:$C$501, 3,0)</f>
        <v>3</v>
      </c>
      <c r="L289" s="48">
        <v>1</v>
      </c>
      <c r="S289" s="52">
        <v>40</v>
      </c>
      <c r="T289" s="52">
        <v>0</v>
      </c>
      <c r="V289" s="52" t="s">
        <v>357</v>
      </c>
      <c r="W289" s="52">
        <v>1</v>
      </c>
    </row>
    <row r="290" spans="1:23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J290" s="106">
        <f>VLOOKUP($A290, Stat!$A$1:$C$501, 2,0)</f>
        <v>15</v>
      </c>
      <c r="K290" s="106">
        <f>VLOOKUP($A290, Stat!$A$1:$C$501, 3,0)</f>
        <v>5</v>
      </c>
      <c r="L290" s="108"/>
      <c r="S290" s="52">
        <v>40</v>
      </c>
      <c r="T290" s="52">
        <v>1</v>
      </c>
      <c r="V290" s="52" t="s">
        <v>339</v>
      </c>
      <c r="W290" s="52">
        <v>1</v>
      </c>
    </row>
    <row r="291" spans="1:23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J291" s="106">
        <f>VLOOKUP($A291, Stat!$A$1:$C$501, 2,0)</f>
        <v>35</v>
      </c>
      <c r="K291" s="106">
        <f>VLOOKUP($A291, Stat!$A$1:$C$501, 3,0)</f>
        <v>17</v>
      </c>
      <c r="S291" s="52">
        <v>60</v>
      </c>
      <c r="T291" s="52">
        <v>0</v>
      </c>
      <c r="V291" s="52" t="s">
        <v>340</v>
      </c>
      <c r="W291" s="52">
        <v>1</v>
      </c>
    </row>
    <row r="292" spans="1:23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J292" s="106">
        <f>VLOOKUP($A292, Stat!$A$1:$C$501, 2,0)</f>
        <v>4</v>
      </c>
      <c r="K292" s="106">
        <f>VLOOKUP($A292, Stat!$A$1:$C$501, 3,0)</f>
        <v>2</v>
      </c>
      <c r="L292" s="48">
        <v>1</v>
      </c>
      <c r="S292" s="52">
        <v>100</v>
      </c>
      <c r="T292" s="52">
        <v>0</v>
      </c>
      <c r="V292" s="52" t="s">
        <v>341</v>
      </c>
      <c r="W292" s="52">
        <v>1</v>
      </c>
    </row>
    <row r="293" spans="1:23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J293" s="106">
        <f>VLOOKUP($A293, Stat!$A$1:$C$501, 2,0)</f>
        <v>1</v>
      </c>
      <c r="K293" s="106">
        <f>VLOOKUP($A293, Stat!$A$1:$C$501, 3,0)</f>
        <v>1</v>
      </c>
      <c r="L293" s="48">
        <v>1</v>
      </c>
      <c r="S293" s="52">
        <v>60</v>
      </c>
      <c r="T293" s="52">
        <v>0</v>
      </c>
      <c r="V293" s="52" t="s">
        <v>342</v>
      </c>
      <c r="W293" s="52">
        <v>1</v>
      </c>
    </row>
    <row r="294" spans="1:23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J294" s="106">
        <f>VLOOKUP($A294, Stat!$A$1:$C$501, 2,0)</f>
        <v>14</v>
      </c>
      <c r="K294" s="106">
        <f>VLOOKUP($A294, Stat!$A$1:$C$501, 3,0)</f>
        <v>11</v>
      </c>
      <c r="L294" s="48">
        <v>1</v>
      </c>
      <c r="S294" s="52">
        <v>40</v>
      </c>
      <c r="T294" s="52">
        <v>1</v>
      </c>
      <c r="V294" s="52" t="s">
        <v>358</v>
      </c>
      <c r="W294" s="52">
        <v>1</v>
      </c>
    </row>
    <row r="295" spans="1:23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J295" s="106">
        <f>VLOOKUP($A295, Stat!$A$1:$C$501, 2,0)</f>
        <v>3</v>
      </c>
      <c r="K295" s="106">
        <f>VLOOKUP($A295, Stat!$A$1:$C$501, 3,0)</f>
        <v>3</v>
      </c>
      <c r="L295" s="48">
        <v>1</v>
      </c>
      <c r="S295" s="52">
        <v>40</v>
      </c>
      <c r="T295" s="52">
        <v>0</v>
      </c>
      <c r="V295" s="52" t="s">
        <v>359</v>
      </c>
      <c r="W295" s="52">
        <v>1</v>
      </c>
    </row>
    <row r="296" spans="1:23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J296" s="106">
        <f>VLOOKUP($A296, Stat!$A$1:$C$501, 2,0)</f>
        <v>2</v>
      </c>
      <c r="K296" s="106">
        <f>VLOOKUP($A296, Stat!$A$1:$C$501, 3,0)</f>
        <v>2</v>
      </c>
      <c r="L296" s="48">
        <v>1</v>
      </c>
      <c r="S296" s="52">
        <v>100</v>
      </c>
      <c r="T296" s="52">
        <v>0</v>
      </c>
      <c r="V296" s="52" t="s">
        <v>350</v>
      </c>
      <c r="W296" s="52">
        <v>1</v>
      </c>
    </row>
    <row r="297" spans="1:23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J297" s="106">
        <f>VLOOKUP($A297, Stat!$A$1:$C$501, 2,0)</f>
        <v>13</v>
      </c>
      <c r="K297" s="106">
        <f>VLOOKUP($A297, Stat!$A$1:$C$501, 3,0)</f>
        <v>7</v>
      </c>
      <c r="L297" s="48">
        <v>1</v>
      </c>
      <c r="S297" s="52">
        <v>0</v>
      </c>
      <c r="T297" s="52">
        <v>1</v>
      </c>
      <c r="V297" s="52" t="s">
        <v>519</v>
      </c>
      <c r="W297" s="52">
        <v>1</v>
      </c>
    </row>
    <row r="298" spans="1:23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48">
        <v>1</v>
      </c>
      <c r="J298" s="106">
        <f>VLOOKUP($A298, Stat!$A$1:$C$501, 2,0)</f>
        <v>6</v>
      </c>
      <c r="K298" s="106">
        <f>VLOOKUP($A298, Stat!$A$1:$C$501, 3,0)</f>
        <v>0</v>
      </c>
      <c r="L298" s="108"/>
      <c r="Q298" s="48">
        <v>1</v>
      </c>
      <c r="S298" s="52">
        <v>40</v>
      </c>
      <c r="T298" s="52">
        <v>0</v>
      </c>
      <c r="U298" s="52" t="s">
        <v>367</v>
      </c>
      <c r="V298" s="52" t="s">
        <v>353</v>
      </c>
      <c r="W298" s="52">
        <v>1</v>
      </c>
    </row>
    <row r="299" spans="1:23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48">
        <v>1</v>
      </c>
      <c r="J299" s="106">
        <f>VLOOKUP($A299, Stat!$A$1:$C$501, 2,0)</f>
        <v>16</v>
      </c>
      <c r="K299" s="106">
        <f>VLOOKUP($A299, Stat!$A$1:$C$501, 3,0)</f>
        <v>1</v>
      </c>
      <c r="L299" s="108"/>
      <c r="Q299" s="48">
        <v>1</v>
      </c>
      <c r="S299" s="52">
        <v>40</v>
      </c>
      <c r="T299" s="52">
        <v>0</v>
      </c>
      <c r="U299" s="52" t="s">
        <v>367</v>
      </c>
      <c r="V299" s="52" t="s">
        <v>354</v>
      </c>
      <c r="W299" s="52">
        <v>1</v>
      </c>
    </row>
    <row r="300" spans="1:23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J300" s="106">
        <f>VLOOKUP($A300, Stat!$A$1:$C$501, 2,0)</f>
        <v>8</v>
      </c>
      <c r="K300" s="106">
        <f>VLOOKUP($A300, Stat!$A$1:$C$501, 3,0)</f>
        <v>6</v>
      </c>
      <c r="L300" s="48">
        <v>1</v>
      </c>
      <c r="S300" s="52">
        <v>0</v>
      </c>
      <c r="T300" s="52">
        <v>0</v>
      </c>
      <c r="V300" s="52" t="s">
        <v>405</v>
      </c>
      <c r="W300" s="52">
        <v>1</v>
      </c>
    </row>
    <row r="301" spans="1:23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J301" s="106">
        <f>VLOOKUP($A301, Stat!$A$1:$C$501, 2,0)</f>
        <v>8</v>
      </c>
      <c r="K301" s="106">
        <f>VLOOKUP($A301, Stat!$A$1:$C$501, 3,0)</f>
        <v>0</v>
      </c>
      <c r="L301" s="109"/>
      <c r="S301" s="52">
        <v>0</v>
      </c>
      <c r="T301" s="52">
        <v>0</v>
      </c>
      <c r="V301" s="52" t="s">
        <v>231</v>
      </c>
      <c r="W301" s="52">
        <v>1</v>
      </c>
    </row>
    <row r="302" spans="1:23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J302" s="106">
        <f>VLOOKUP($A302, Stat!$A$1:$C$501, 2,0)</f>
        <v>22</v>
      </c>
      <c r="K302" s="106">
        <f>VLOOKUP($A302, Stat!$A$1:$C$501, 3,0)</f>
        <v>3</v>
      </c>
      <c r="L302" s="48">
        <v>1</v>
      </c>
      <c r="S302" s="52">
        <v>0</v>
      </c>
      <c r="T302" s="52">
        <v>1</v>
      </c>
      <c r="V302" s="52" t="s">
        <v>376</v>
      </c>
      <c r="W302" s="52">
        <v>1</v>
      </c>
    </row>
    <row r="303" spans="1:23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J303" s="106">
        <f>VLOOKUP($A303, Stat!$A$1:$C$501, 2,0)</f>
        <v>14</v>
      </c>
      <c r="K303" s="106">
        <f>VLOOKUP($A303, Stat!$A$1:$C$501, 3,0)</f>
        <v>0</v>
      </c>
      <c r="L303" s="109"/>
      <c r="S303" s="52">
        <v>60</v>
      </c>
      <c r="T303" s="52">
        <v>0</v>
      </c>
      <c r="V303" s="52" t="s">
        <v>362</v>
      </c>
      <c r="W303" s="52">
        <v>1</v>
      </c>
    </row>
    <row r="304" spans="1:23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J304" s="106">
        <f>VLOOKUP($A304, Stat!$A$1:$C$501, 2,0)</f>
        <v>6</v>
      </c>
      <c r="K304" s="106">
        <f>VLOOKUP($A304, Stat!$A$1:$C$501, 3,0)</f>
        <v>0</v>
      </c>
      <c r="L304" s="109"/>
      <c r="S304" s="52">
        <v>60</v>
      </c>
      <c r="T304" s="52">
        <v>0</v>
      </c>
      <c r="V304" s="52" t="s">
        <v>363</v>
      </c>
      <c r="W304" s="52">
        <v>1</v>
      </c>
    </row>
    <row r="305" spans="1:23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J305" s="106">
        <f>VLOOKUP($A305, Stat!$A$1:$C$501, 2,0)</f>
        <v>4</v>
      </c>
      <c r="K305" s="106">
        <f>VLOOKUP($A305, Stat!$A$1:$C$501, 3,0)</f>
        <v>1</v>
      </c>
      <c r="L305" s="109"/>
      <c r="S305" s="52">
        <v>70</v>
      </c>
      <c r="T305" s="52">
        <v>0</v>
      </c>
      <c r="W305" s="52">
        <v>1</v>
      </c>
    </row>
    <row r="306" spans="1:23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J306" s="106">
        <f>VLOOKUP($A306, Stat!$A$1:$C$501, 2,0)</f>
        <v>49</v>
      </c>
      <c r="K306" s="106">
        <f>VLOOKUP($A306, Stat!$A$1:$C$501, 3,0)</f>
        <v>13</v>
      </c>
      <c r="L306" s="48">
        <v>1</v>
      </c>
      <c r="S306" s="52">
        <v>0</v>
      </c>
      <c r="T306" s="52">
        <v>0</v>
      </c>
      <c r="V306" s="52" t="s">
        <v>390</v>
      </c>
      <c r="W306" s="52">
        <v>1</v>
      </c>
    </row>
    <row r="307" spans="1:23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J307" s="106">
        <f>VLOOKUP($A307, Stat!$A$1:$C$501, 2,0)</f>
        <v>86</v>
      </c>
      <c r="K307" s="106">
        <f>VLOOKUP($A307, Stat!$A$1:$C$501, 3,0)</f>
        <v>11</v>
      </c>
      <c r="S307" s="52">
        <v>0</v>
      </c>
      <c r="T307" s="52">
        <v>1</v>
      </c>
      <c r="V307" s="52" t="s">
        <v>400</v>
      </c>
      <c r="W307" s="52">
        <v>1</v>
      </c>
    </row>
    <row r="308" spans="1:23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J308" s="106">
        <f>VLOOKUP($A308, Stat!$A$1:$C$501, 2,0)</f>
        <v>134</v>
      </c>
      <c r="K308" s="106">
        <f>VLOOKUP($A308, Stat!$A$1:$C$501, 3,0)</f>
        <v>9</v>
      </c>
      <c r="L308" s="109"/>
      <c r="S308" s="52">
        <v>30</v>
      </c>
      <c r="T308" s="52">
        <v>0</v>
      </c>
      <c r="V308" s="52" t="s">
        <v>401</v>
      </c>
      <c r="W308" s="52">
        <v>1</v>
      </c>
    </row>
    <row r="309" spans="1:23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J309" s="106">
        <f>VLOOKUP($A309, Stat!$A$1:$C$501, 2,0)</f>
        <v>3</v>
      </c>
      <c r="K309" s="108">
        <f>VLOOKUP($A309, Stat!$A$1:$C$501, 3,0)</f>
        <v>2</v>
      </c>
      <c r="L309" s="48">
        <v>1</v>
      </c>
      <c r="S309" s="52">
        <v>30</v>
      </c>
      <c r="T309" s="52">
        <v>0</v>
      </c>
      <c r="V309" s="52" t="s">
        <v>463</v>
      </c>
      <c r="W309" s="52">
        <v>1</v>
      </c>
    </row>
    <row r="310" spans="1:23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J310" s="106">
        <f>VLOOKUP($A310, Stat!$A$1:$C$501, 2,0)</f>
        <v>2</v>
      </c>
      <c r="K310" s="106">
        <f>VLOOKUP($A310, Stat!$A$1:$C$501, 3,0)</f>
        <v>1</v>
      </c>
      <c r="L310" s="48">
        <v>1</v>
      </c>
      <c r="S310" s="52">
        <v>30</v>
      </c>
      <c r="T310" s="52">
        <v>0</v>
      </c>
      <c r="V310" s="52" t="s">
        <v>464</v>
      </c>
      <c r="W310" s="52">
        <v>1</v>
      </c>
    </row>
    <row r="311" spans="1:23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J311" s="106">
        <f>VLOOKUP($A311, Stat!$A$1:$C$501, 2,0)</f>
        <v>15</v>
      </c>
      <c r="K311" s="106">
        <f>VLOOKUP($A311, Stat!$A$1:$C$501, 3,0)</f>
        <v>0</v>
      </c>
      <c r="L311" s="109"/>
      <c r="M311" s="48">
        <v>1</v>
      </c>
      <c r="S311" s="52">
        <v>20</v>
      </c>
      <c r="T311" s="52">
        <v>0</v>
      </c>
      <c r="V311" s="52" t="s">
        <v>403</v>
      </c>
      <c r="W311" s="52">
        <v>1</v>
      </c>
    </row>
    <row r="312" spans="1:23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J312" s="106">
        <f>VLOOKUP($A312, Stat!$A$1:$C$501, 2,0)</f>
        <v>6</v>
      </c>
      <c r="K312" s="106">
        <f>VLOOKUP($A312, Stat!$A$1:$C$501, 3,0)</f>
        <v>0</v>
      </c>
      <c r="L312" s="109"/>
      <c r="M312" s="48">
        <v>1</v>
      </c>
      <c r="O312" s="48">
        <v>1</v>
      </c>
      <c r="S312" s="52">
        <v>0</v>
      </c>
      <c r="T312" s="52">
        <v>0</v>
      </c>
      <c r="V312" s="52" t="s">
        <v>410</v>
      </c>
      <c r="W312" s="52">
        <v>1</v>
      </c>
    </row>
    <row r="313" spans="1:23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J313" s="106">
        <f>VLOOKUP($A313, Stat!$A$1:$C$501, 2,0)</f>
        <v>16</v>
      </c>
      <c r="K313" s="106">
        <f>VLOOKUP($A313, Stat!$A$1:$C$501, 3,0)</f>
        <v>0</v>
      </c>
      <c r="L313" s="109"/>
      <c r="M313" s="48">
        <v>1</v>
      </c>
      <c r="O313" s="48">
        <v>1</v>
      </c>
      <c r="S313" s="52">
        <v>0</v>
      </c>
      <c r="T313" s="52">
        <v>0</v>
      </c>
      <c r="V313" s="52" t="s">
        <v>411</v>
      </c>
      <c r="W313" s="52">
        <v>1</v>
      </c>
    </row>
    <row r="314" spans="1:23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J314" s="106">
        <f>VLOOKUP($A314, Stat!$A$1:$C$501, 2,0)</f>
        <v>3</v>
      </c>
      <c r="K314" s="106">
        <f>VLOOKUP($A314, Stat!$A$1:$C$501, 3,0)</f>
        <v>0</v>
      </c>
      <c r="L314" s="109"/>
      <c r="M314" s="48">
        <v>1</v>
      </c>
      <c r="O314" s="48">
        <v>1</v>
      </c>
      <c r="S314" s="52">
        <v>0</v>
      </c>
      <c r="T314" s="52">
        <v>0</v>
      </c>
      <c r="V314" s="52" t="s">
        <v>410</v>
      </c>
      <c r="W314" s="52">
        <v>1</v>
      </c>
    </row>
    <row r="315" spans="1:23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J315" s="106">
        <f>VLOOKUP($A315, Stat!$A$1:$C$501, 2,0)</f>
        <v>13</v>
      </c>
      <c r="K315" s="106">
        <f>VLOOKUP($A315, Stat!$A$1:$C$501, 3,0)</f>
        <v>0</v>
      </c>
      <c r="L315" s="109"/>
      <c r="M315" s="48">
        <v>1</v>
      </c>
      <c r="O315" s="48">
        <v>1</v>
      </c>
      <c r="S315" s="52">
        <v>0</v>
      </c>
      <c r="T315" s="52">
        <v>0</v>
      </c>
      <c r="V315" s="52" t="s">
        <v>411</v>
      </c>
      <c r="W315" s="52">
        <v>1</v>
      </c>
    </row>
    <row r="316" spans="1:23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48">
        <v>1</v>
      </c>
      <c r="J316" s="106">
        <f>VLOOKUP($A316, Stat!$A$1:$C$501, 2,0)</f>
        <v>14</v>
      </c>
      <c r="K316" s="106">
        <f>VLOOKUP($A316, Stat!$A$1:$C$501, 3,0)</f>
        <v>12</v>
      </c>
      <c r="L316" s="48">
        <v>1</v>
      </c>
      <c r="S316" s="52">
        <v>60</v>
      </c>
      <c r="T316" s="52">
        <v>0</v>
      </c>
      <c r="U316" s="52" t="s">
        <v>448</v>
      </c>
      <c r="V316" s="52" t="s">
        <v>419</v>
      </c>
      <c r="W316" s="52">
        <v>1</v>
      </c>
    </row>
    <row r="317" spans="1:23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48">
        <v>1</v>
      </c>
      <c r="J317" s="106">
        <f>VLOOKUP($A317, Stat!$A$1:$C$501, 2,0)</f>
        <v>52</v>
      </c>
      <c r="K317" s="106">
        <f>VLOOKUP($A317, Stat!$A$1:$C$501, 3,0)</f>
        <v>16</v>
      </c>
      <c r="L317" s="48">
        <v>1</v>
      </c>
      <c r="S317" s="52">
        <v>60</v>
      </c>
      <c r="T317" s="52">
        <v>0</v>
      </c>
      <c r="U317" s="52" t="s">
        <v>448</v>
      </c>
      <c r="V317" s="52" t="s">
        <v>420</v>
      </c>
      <c r="W317" s="52">
        <v>1</v>
      </c>
    </row>
    <row r="318" spans="1:23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J318" s="106">
        <f>VLOOKUP($A318, Stat!$A$1:$C$501, 2,0)</f>
        <v>19</v>
      </c>
      <c r="K318" s="106">
        <f>VLOOKUP($A318, Stat!$A$1:$C$501, 3,0)</f>
        <v>4</v>
      </c>
      <c r="L318" s="48">
        <v>1</v>
      </c>
      <c r="S318" s="52">
        <v>30</v>
      </c>
      <c r="T318" s="52">
        <v>0</v>
      </c>
      <c r="V318" s="52" t="s">
        <v>446</v>
      </c>
      <c r="W318" s="52">
        <v>1</v>
      </c>
    </row>
    <row r="319" spans="1:23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J319" s="106">
        <f>VLOOKUP($A319, Stat!$A$1:$C$501, 2,0)</f>
        <v>24</v>
      </c>
      <c r="K319" s="106">
        <f>VLOOKUP($A319, Stat!$A$1:$C$501, 3,0)</f>
        <v>11</v>
      </c>
      <c r="L319" s="48">
        <v>1</v>
      </c>
      <c r="S319" s="52">
        <v>30</v>
      </c>
      <c r="T319" s="52">
        <v>0</v>
      </c>
      <c r="V319" s="52" t="s">
        <v>447</v>
      </c>
      <c r="W319" s="52">
        <v>1</v>
      </c>
    </row>
    <row r="320" spans="1:23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J320" s="106">
        <f>VLOOKUP($A320, Stat!$A$1:$C$501, 2,0)</f>
        <v>32</v>
      </c>
      <c r="K320" s="106">
        <f>VLOOKUP($A320, Stat!$A$1:$C$501, 3,0)</f>
        <v>13</v>
      </c>
      <c r="L320" s="48">
        <v>1</v>
      </c>
      <c r="S320" s="52">
        <v>0</v>
      </c>
      <c r="T320" s="52">
        <v>1</v>
      </c>
      <c r="W320" s="52">
        <v>1</v>
      </c>
    </row>
    <row r="321" spans="1:23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J321" s="106">
        <f>VLOOKUP($A321, Stat!$A$1:$C$501, 2,0)</f>
        <v>10</v>
      </c>
      <c r="K321" s="106">
        <f>VLOOKUP($A321, Stat!$A$1:$C$501, 3,0)</f>
        <v>4</v>
      </c>
      <c r="L321" s="48">
        <v>1</v>
      </c>
      <c r="S321" s="52">
        <v>0</v>
      </c>
      <c r="T321" s="52">
        <v>0</v>
      </c>
      <c r="V321" s="52" t="s">
        <v>427</v>
      </c>
      <c r="W321" s="52">
        <v>1</v>
      </c>
    </row>
    <row r="322" spans="1:23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J322" s="106">
        <f>VLOOKUP($A322, Stat!$A$1:$C$501, 2,0)</f>
        <v>5</v>
      </c>
      <c r="K322" s="106">
        <f>VLOOKUP($A322, Stat!$A$1:$C$501, 3,0)</f>
        <v>1</v>
      </c>
      <c r="L322" s="48">
        <v>1</v>
      </c>
      <c r="S322" s="52">
        <v>70</v>
      </c>
      <c r="T322" s="52">
        <v>0</v>
      </c>
      <c r="W322" s="52">
        <v>1</v>
      </c>
    </row>
    <row r="323" spans="1:23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J323" s="106">
        <f>VLOOKUP($A323, Stat!$A$1:$C$501, 2,0)</f>
        <v>11</v>
      </c>
      <c r="K323" s="106">
        <f>VLOOKUP($A323, Stat!$A$1:$C$501, 3,0)</f>
        <v>4</v>
      </c>
      <c r="L323" s="48">
        <v>1</v>
      </c>
      <c r="S323" s="52">
        <v>30</v>
      </c>
      <c r="T323" s="52">
        <v>0</v>
      </c>
      <c r="V323" s="52" t="s">
        <v>430</v>
      </c>
      <c r="W323" s="52">
        <v>1</v>
      </c>
    </row>
    <row r="324" spans="1:23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J324" s="108">
        <f>VLOOKUP($A324, Stat!$A$1:$C$501, 2,0)</f>
        <v>0</v>
      </c>
      <c r="K324" s="108">
        <f>VLOOKUP($A324, Stat!$A$1:$C$501, 3,0)</f>
        <v>0</v>
      </c>
      <c r="L324" s="48">
        <v>1</v>
      </c>
      <c r="S324" s="52">
        <v>40</v>
      </c>
      <c r="T324" s="52">
        <v>1</v>
      </c>
      <c r="V324" s="52" t="s">
        <v>437</v>
      </c>
      <c r="W324" s="52">
        <v>1</v>
      </c>
    </row>
    <row r="325" spans="1:23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48">
        <v>1</v>
      </c>
      <c r="J325" s="106">
        <f>VLOOKUP($A325, Stat!$A$1:$C$501, 2,0)</f>
        <v>20</v>
      </c>
      <c r="K325" s="106">
        <f>VLOOKUP($A325, Stat!$A$1:$C$501, 3,0)</f>
        <v>9</v>
      </c>
      <c r="L325" s="48">
        <v>1</v>
      </c>
      <c r="S325" s="52">
        <v>60</v>
      </c>
      <c r="T325" s="52">
        <v>0</v>
      </c>
      <c r="V325" s="52" t="s">
        <v>585</v>
      </c>
      <c r="W325" s="52">
        <v>1</v>
      </c>
    </row>
    <row r="326" spans="1:23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48">
        <v>1</v>
      </c>
      <c r="J326" s="106">
        <f>VLOOKUP($A326, Stat!$A$1:$C$501, 2,0)</f>
        <v>0</v>
      </c>
      <c r="K326" s="106">
        <f>VLOOKUP($A326, Stat!$A$1:$C$501, 3,0)</f>
        <v>0</v>
      </c>
      <c r="L326" s="48">
        <v>1</v>
      </c>
      <c r="S326" s="52">
        <v>0</v>
      </c>
      <c r="T326" s="52">
        <v>0</v>
      </c>
      <c r="U326" s="52" t="s">
        <v>581</v>
      </c>
      <c r="V326" s="52" t="s">
        <v>579</v>
      </c>
      <c r="W326" s="52">
        <v>1</v>
      </c>
    </row>
    <row r="327" spans="1:23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48">
        <v>1</v>
      </c>
      <c r="J327" s="106">
        <f>VLOOKUP($A327, Stat!$A$1:$C$501, 2,0)</f>
        <v>2</v>
      </c>
      <c r="K327" s="106">
        <f>VLOOKUP($A327, Stat!$A$1:$C$501, 3,0)</f>
        <v>0</v>
      </c>
      <c r="L327" s="48">
        <v>1</v>
      </c>
      <c r="S327" s="52">
        <v>0</v>
      </c>
      <c r="T327" s="52">
        <v>0</v>
      </c>
      <c r="U327" s="52" t="s">
        <v>581</v>
      </c>
      <c r="V327" s="52" t="s">
        <v>580</v>
      </c>
      <c r="W327" s="52">
        <v>1</v>
      </c>
    </row>
    <row r="328" spans="1:23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J328" s="106">
        <f>VLOOKUP($A328, Stat!$A$1:$C$501, 2,0)</f>
        <v>2</v>
      </c>
      <c r="K328" s="106">
        <f>VLOOKUP($A328, Stat!$A$1:$C$501, 3,0)</f>
        <v>0</v>
      </c>
      <c r="L328" s="108"/>
      <c r="Q328" s="48">
        <v>1</v>
      </c>
      <c r="S328" s="52">
        <v>60</v>
      </c>
      <c r="T328" s="52">
        <v>0</v>
      </c>
      <c r="W328" s="52">
        <v>1</v>
      </c>
    </row>
    <row r="329" spans="1:23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J329" s="106">
        <f>VLOOKUP($A329, Stat!$A$1:$C$501, 2,0)</f>
        <v>5</v>
      </c>
      <c r="K329" s="106">
        <f>VLOOKUP($A329, Stat!$A$1:$C$501, 3,0)</f>
        <v>0</v>
      </c>
      <c r="L329" s="108"/>
      <c r="Q329" s="48">
        <v>1</v>
      </c>
      <c r="S329" s="52">
        <v>60</v>
      </c>
      <c r="T329" s="52">
        <v>0</v>
      </c>
      <c r="W329" s="52">
        <v>1</v>
      </c>
    </row>
    <row r="330" spans="1:23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J330" s="106">
        <f>VLOOKUP($A330, Stat!$A$1:$C$501, 2,0)</f>
        <v>34</v>
      </c>
      <c r="K330" s="106">
        <f>VLOOKUP($A330, Stat!$A$1:$C$501, 3,0)</f>
        <v>1</v>
      </c>
      <c r="S330" s="52">
        <v>30</v>
      </c>
      <c r="T330" s="52">
        <v>1</v>
      </c>
      <c r="V330" s="52" t="s">
        <v>455</v>
      </c>
      <c r="W330" s="52">
        <v>1</v>
      </c>
    </row>
    <row r="331" spans="1:23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G331" s="48">
        <v>1</v>
      </c>
      <c r="H331" s="48">
        <v>1</v>
      </c>
      <c r="J331" s="106">
        <f>VLOOKUP($A331, Stat!$A$1:$C$501, 2,0)</f>
        <v>4</v>
      </c>
      <c r="K331" s="106">
        <f>VLOOKUP($A331, Stat!$A$1:$C$501, 3,0)</f>
        <v>3</v>
      </c>
      <c r="L331" s="48">
        <v>1</v>
      </c>
      <c r="P331" s="48">
        <v>249</v>
      </c>
      <c r="S331" s="52">
        <v>0</v>
      </c>
      <c r="T331" s="52">
        <v>1</v>
      </c>
      <c r="V331" s="52" t="s">
        <v>454</v>
      </c>
      <c r="W331" s="52">
        <v>1</v>
      </c>
    </row>
    <row r="332" spans="1:23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48">
        <v>1</v>
      </c>
      <c r="J332" s="108">
        <f>VLOOKUP($A332, Stat!$A$1:$C$501, 2,0)</f>
        <v>0</v>
      </c>
      <c r="K332" s="108">
        <f>VLOOKUP($A332, Stat!$A$1:$C$501, 3,0)</f>
        <v>0</v>
      </c>
      <c r="L332" s="48">
        <v>1</v>
      </c>
      <c r="S332" s="52">
        <v>0</v>
      </c>
      <c r="T332" s="52">
        <v>1</v>
      </c>
      <c r="V332" s="52" t="s">
        <v>457</v>
      </c>
      <c r="W332" s="52">
        <v>1</v>
      </c>
    </row>
    <row r="333" spans="1:23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J333" s="106">
        <f>VLOOKUP($A333, Stat!$A$1:$C$501, 2,0)</f>
        <v>14</v>
      </c>
      <c r="K333" s="106">
        <f>VLOOKUP($A333, Stat!$A$1:$C$501, 3,0)</f>
        <v>13</v>
      </c>
      <c r="L333" s="48">
        <v>1</v>
      </c>
      <c r="S333" s="52">
        <v>60</v>
      </c>
      <c r="T333" s="52">
        <v>0</v>
      </c>
      <c r="V333" s="52" t="s">
        <v>470</v>
      </c>
      <c r="W333" s="52">
        <v>1</v>
      </c>
    </row>
    <row r="334" spans="1:23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J334" s="106">
        <f>VLOOKUP($A334, Stat!$A$1:$C$501, 2,0)</f>
        <v>7</v>
      </c>
      <c r="K334" s="106">
        <f>VLOOKUP($A334, Stat!$A$1:$C$501, 3,0)</f>
        <v>5</v>
      </c>
      <c r="L334" s="48">
        <v>1</v>
      </c>
      <c r="S334" s="52">
        <v>60</v>
      </c>
      <c r="T334" s="52">
        <v>0</v>
      </c>
      <c r="V334" s="52" t="s">
        <v>473</v>
      </c>
      <c r="W334" s="52">
        <v>1</v>
      </c>
    </row>
    <row r="335" spans="1:23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J335" s="106">
        <f>VLOOKUP($A335, Stat!$A$1:$C$501, 2,0)</f>
        <v>6</v>
      </c>
      <c r="K335" s="106">
        <f>VLOOKUP($A335, Stat!$A$1:$C$501, 3,0)</f>
        <v>4</v>
      </c>
      <c r="L335" s="48">
        <v>1</v>
      </c>
      <c r="S335" s="52">
        <v>60</v>
      </c>
      <c r="T335" s="52">
        <v>0</v>
      </c>
      <c r="V335" s="52" t="s">
        <v>474</v>
      </c>
      <c r="W335" s="52">
        <v>1</v>
      </c>
    </row>
    <row r="336" spans="1:23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J336" s="106">
        <f>VLOOKUP($A336, Stat!$A$1:$C$501, 2,0)</f>
        <v>138</v>
      </c>
      <c r="K336" s="106">
        <f>VLOOKUP($A336, Stat!$A$1:$C$501, 3,0)</f>
        <v>1</v>
      </c>
      <c r="L336" s="109"/>
      <c r="S336" s="52">
        <v>30</v>
      </c>
      <c r="T336" s="52">
        <v>0</v>
      </c>
      <c r="V336" s="52" t="s">
        <v>476</v>
      </c>
      <c r="W336" s="52">
        <v>1</v>
      </c>
    </row>
    <row r="337" spans="1:23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J337" s="106">
        <f>VLOOKUP($A337, Stat!$A$1:$C$501, 2,0)</f>
        <v>3</v>
      </c>
      <c r="K337" s="106">
        <f>VLOOKUP($A337, Stat!$A$1:$C$501, 3,0)</f>
        <v>2</v>
      </c>
      <c r="L337" s="109"/>
      <c r="S337" s="52">
        <v>60</v>
      </c>
      <c r="T337" s="52">
        <v>0</v>
      </c>
      <c r="U337" s="52" t="s">
        <v>482</v>
      </c>
      <c r="V337" s="52" t="s">
        <v>483</v>
      </c>
      <c r="W337" s="52">
        <v>1</v>
      </c>
    </row>
    <row r="338" spans="1:23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J338" s="106">
        <f>VLOOKUP($A338, Stat!$A$1:$C$501, 2,0)</f>
        <v>6</v>
      </c>
      <c r="K338" s="106">
        <f>VLOOKUP($A338, Stat!$A$1:$C$501, 3,0)</f>
        <v>6</v>
      </c>
      <c r="L338" s="109"/>
      <c r="S338" s="52">
        <v>60</v>
      </c>
      <c r="T338" s="52">
        <v>0</v>
      </c>
      <c r="U338" s="52" t="s">
        <v>482</v>
      </c>
      <c r="V338" s="52" t="s">
        <v>484</v>
      </c>
      <c r="W338" s="52">
        <v>1</v>
      </c>
    </row>
    <row r="339" spans="1:23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J339" s="106">
        <f>VLOOKUP($A339, Stat!$A$1:$C$501, 2,0)</f>
        <v>47</v>
      </c>
      <c r="K339" s="106">
        <f>VLOOKUP($A339, Stat!$A$1:$C$501, 3,0)</f>
        <v>6</v>
      </c>
      <c r="M339" s="48">
        <v>1</v>
      </c>
      <c r="S339" s="52">
        <v>60</v>
      </c>
      <c r="T339" s="52">
        <v>0</v>
      </c>
      <c r="U339" s="52" t="s">
        <v>482</v>
      </c>
      <c r="V339" s="52" t="s">
        <v>485</v>
      </c>
      <c r="W339" s="52">
        <v>1</v>
      </c>
    </row>
    <row r="340" spans="1:23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J340" s="106">
        <f>VLOOKUP($A340, Stat!$A$1:$C$501, 2,0)</f>
        <v>2</v>
      </c>
      <c r="K340" s="106">
        <f>VLOOKUP($A340, Stat!$A$1:$C$501, 3,0)</f>
        <v>2</v>
      </c>
      <c r="L340" s="48">
        <v>1</v>
      </c>
      <c r="S340" s="52">
        <v>60</v>
      </c>
      <c r="T340" s="52">
        <v>0</v>
      </c>
      <c r="U340" s="52" t="s">
        <v>482</v>
      </c>
      <c r="V340" s="52" t="s">
        <v>486</v>
      </c>
      <c r="W340" s="52">
        <v>1</v>
      </c>
    </row>
    <row r="341" spans="1:23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J341" s="106">
        <f>VLOOKUP($A341, Stat!$A$1:$C$501, 2,0)</f>
        <v>5</v>
      </c>
      <c r="K341" s="106">
        <f>VLOOKUP($A341, Stat!$A$1:$C$501, 3,0)</f>
        <v>4</v>
      </c>
      <c r="L341" s="109"/>
      <c r="S341" s="52">
        <v>60</v>
      </c>
      <c r="T341" s="52">
        <v>0</v>
      </c>
      <c r="U341" s="52" t="s">
        <v>482</v>
      </c>
      <c r="V341" s="52" t="s">
        <v>487</v>
      </c>
      <c r="W341" s="52">
        <v>1</v>
      </c>
    </row>
    <row r="342" spans="1:23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J342" s="106">
        <f>VLOOKUP($A342, Stat!$A$1:$C$501, 2,0)</f>
        <v>39</v>
      </c>
      <c r="K342" s="106">
        <f>VLOOKUP($A342, Stat!$A$1:$C$501, 3,0)</f>
        <v>0</v>
      </c>
      <c r="L342" s="109"/>
      <c r="M342" s="48">
        <v>1</v>
      </c>
      <c r="Q342" s="48">
        <v>1</v>
      </c>
      <c r="S342" s="52">
        <v>0</v>
      </c>
      <c r="T342" s="52">
        <v>0</v>
      </c>
      <c r="V342" s="52" t="s">
        <v>489</v>
      </c>
      <c r="W342" s="52">
        <v>1</v>
      </c>
    </row>
    <row r="343" spans="1:23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J343" s="107">
        <f>VLOOKUP($A343, Stat!$A$1:$C$501, 2,0)</f>
        <v>3</v>
      </c>
      <c r="K343" s="106">
        <f>VLOOKUP($A343, Stat!$A$1:$C$501, 3,0)</f>
        <v>1</v>
      </c>
      <c r="S343" s="52">
        <v>0</v>
      </c>
      <c r="T343" s="52">
        <v>0</v>
      </c>
      <c r="U343" s="52" t="s">
        <v>557</v>
      </c>
      <c r="W343" s="52">
        <v>1</v>
      </c>
    </row>
    <row r="344" spans="1:23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J344" s="106">
        <f>VLOOKUP($A344, Stat!$A$1:$C$501, 2,0)</f>
        <v>4</v>
      </c>
      <c r="K344" s="106">
        <f>VLOOKUP($A344, Stat!$A$1:$C$501, 3,0)</f>
        <v>1</v>
      </c>
      <c r="L344" s="48">
        <v>1</v>
      </c>
      <c r="P344" s="48">
        <v>342</v>
      </c>
      <c r="S344" s="52">
        <v>60</v>
      </c>
      <c r="T344" s="52">
        <v>0</v>
      </c>
      <c r="U344" s="52" t="s">
        <v>557</v>
      </c>
      <c r="W344" s="52">
        <v>1</v>
      </c>
    </row>
    <row r="345" spans="1:23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J345" s="106">
        <f>VLOOKUP($A345, Stat!$A$1:$C$501, 2,0)</f>
        <v>17</v>
      </c>
      <c r="K345" s="106">
        <f>VLOOKUP($A345, Stat!$A$1:$C$501, 3,0)</f>
        <v>0</v>
      </c>
      <c r="L345" s="109"/>
      <c r="S345" s="52">
        <v>0</v>
      </c>
      <c r="T345" s="52">
        <v>0</v>
      </c>
      <c r="V345" s="52" t="s">
        <v>500</v>
      </c>
      <c r="W345" s="52">
        <v>1</v>
      </c>
    </row>
    <row r="346" spans="1:23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J346" s="106">
        <f>VLOOKUP($A346, Stat!$A$1:$C$501, 2,0)</f>
        <v>27</v>
      </c>
      <c r="K346" s="106">
        <f>VLOOKUP($A346, Stat!$A$1:$C$501, 3,0)</f>
        <v>0</v>
      </c>
      <c r="L346" s="109"/>
      <c r="S346" s="52">
        <v>0</v>
      </c>
      <c r="T346" s="52">
        <v>0</v>
      </c>
      <c r="V346" s="52" t="s">
        <v>500</v>
      </c>
      <c r="W346" s="52">
        <v>1</v>
      </c>
    </row>
    <row r="347" spans="1:23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J347" s="106">
        <f>VLOOKUP($A347, Stat!$A$1:$C$501, 2,0)</f>
        <v>3</v>
      </c>
      <c r="K347" s="106">
        <f>VLOOKUP($A347, Stat!$A$1:$C$501, 3,0)</f>
        <v>0</v>
      </c>
      <c r="L347" s="109"/>
      <c r="S347" s="52">
        <v>0</v>
      </c>
      <c r="T347" s="52">
        <v>0</v>
      </c>
      <c r="V347" s="52" t="s">
        <v>500</v>
      </c>
      <c r="W347" s="52">
        <v>1</v>
      </c>
    </row>
    <row r="348" spans="1:23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48">
        <v>1</v>
      </c>
      <c r="J348" s="106">
        <f>VLOOKUP($A348, Stat!$A$1:$C$501, 2,0)</f>
        <v>2</v>
      </c>
      <c r="K348" s="106">
        <f>VLOOKUP($A348, Stat!$A$1:$C$501, 3,0)</f>
        <v>2</v>
      </c>
      <c r="L348" s="48">
        <v>1</v>
      </c>
      <c r="S348" s="52">
        <v>30</v>
      </c>
      <c r="T348" s="52">
        <v>0</v>
      </c>
      <c r="U348" s="52" t="s">
        <v>448</v>
      </c>
      <c r="V348" s="52" t="s">
        <v>502</v>
      </c>
      <c r="W348" s="52">
        <v>1</v>
      </c>
    </row>
    <row r="349" spans="1:23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J349" s="106">
        <f>VLOOKUP($A349, Stat!$A$1:$C$501, 2,0)</f>
        <v>2</v>
      </c>
      <c r="K349" s="106">
        <f>VLOOKUP($A349, Stat!$A$1:$C$501, 3,0)</f>
        <v>2</v>
      </c>
      <c r="L349" s="48">
        <v>1</v>
      </c>
      <c r="S349" s="52">
        <v>20</v>
      </c>
      <c r="T349" s="52">
        <v>0</v>
      </c>
      <c r="U349" s="52" t="s">
        <v>78</v>
      </c>
      <c r="V349" s="52" t="s">
        <v>507</v>
      </c>
      <c r="W349" s="52">
        <v>1</v>
      </c>
    </row>
    <row r="350" spans="1:23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J350" s="106">
        <f>VLOOKUP($A350, Stat!$A$1:$C$501, 2,0)</f>
        <v>44</v>
      </c>
      <c r="K350" s="106">
        <f>VLOOKUP($A350, Stat!$A$1:$C$501, 3,0)</f>
        <v>1</v>
      </c>
      <c r="S350" s="52">
        <v>60</v>
      </c>
      <c r="T350" s="52">
        <v>0</v>
      </c>
      <c r="V350" s="52" t="s">
        <v>512</v>
      </c>
      <c r="W350" s="52">
        <v>1</v>
      </c>
    </row>
    <row r="351" spans="1:23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J351" s="106">
        <f>VLOOKUP($A351, Stat!$A$1:$C$501, 2,0)</f>
        <v>35</v>
      </c>
      <c r="K351" s="106">
        <f>VLOOKUP($A351, Stat!$A$1:$C$501, 3,0)</f>
        <v>0</v>
      </c>
      <c r="L351" s="109"/>
      <c r="S351" s="52">
        <v>60</v>
      </c>
      <c r="T351" s="52">
        <v>0</v>
      </c>
      <c r="V351" s="52" t="s">
        <v>513</v>
      </c>
      <c r="W351" s="52">
        <v>1</v>
      </c>
    </row>
    <row r="352" spans="1:23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J352" s="106">
        <f>VLOOKUP($A352, Stat!$A$1:$C$501, 2,0)</f>
        <v>6</v>
      </c>
      <c r="K352" s="106">
        <f>VLOOKUP($A352, Stat!$A$1:$C$501, 3,0)</f>
        <v>0</v>
      </c>
      <c r="L352" s="109"/>
      <c r="S352" s="52">
        <v>0</v>
      </c>
      <c r="T352" s="52">
        <v>0</v>
      </c>
      <c r="V352" s="52" t="s">
        <v>231</v>
      </c>
      <c r="W352" s="52">
        <v>1</v>
      </c>
    </row>
    <row r="353" spans="1:23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J353" s="106">
        <f>VLOOKUP($A353, Stat!$A$1:$C$501, 2,0)</f>
        <v>9</v>
      </c>
      <c r="K353" s="106">
        <f>VLOOKUP($A353, Stat!$A$1:$C$501, 3,0)</f>
        <v>1</v>
      </c>
      <c r="L353" s="109"/>
      <c r="S353" s="52">
        <v>0</v>
      </c>
      <c r="T353" s="52">
        <v>0</v>
      </c>
      <c r="V353" s="52" t="s">
        <v>231</v>
      </c>
      <c r="W353" s="52">
        <v>1</v>
      </c>
    </row>
    <row r="354" spans="1:23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J354" s="106">
        <f>VLOOKUP($A354, Stat!$A$1:$C$501, 2,0)</f>
        <v>4</v>
      </c>
      <c r="K354" s="106">
        <f>VLOOKUP($A354, Stat!$A$1:$C$501, 3,0)</f>
        <v>1</v>
      </c>
      <c r="L354" s="109"/>
      <c r="S354" s="52">
        <v>0</v>
      </c>
      <c r="T354" s="52">
        <v>0</v>
      </c>
      <c r="V354" s="52" t="s">
        <v>231</v>
      </c>
      <c r="W354" s="52">
        <v>1</v>
      </c>
    </row>
    <row r="355" spans="1:23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J355" s="106">
        <f>VLOOKUP($A355, Stat!$A$1:$C$501, 2,0)</f>
        <v>356</v>
      </c>
      <c r="K355" s="106">
        <f>VLOOKUP($A355, Stat!$A$1:$C$501, 3,0)</f>
        <v>1</v>
      </c>
      <c r="L355" s="109"/>
      <c r="S355" s="52">
        <v>0</v>
      </c>
      <c r="T355" s="52">
        <v>-1</v>
      </c>
      <c r="W355" s="52">
        <v>1</v>
      </c>
    </row>
    <row r="356" spans="1:23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J356" s="106">
        <f>VLOOKUP($A356, Stat!$A$1:$C$501, 2,0)</f>
        <v>24</v>
      </c>
      <c r="K356" s="106">
        <f>VLOOKUP($A356, Stat!$A$1:$C$501, 3,0)</f>
        <v>7</v>
      </c>
      <c r="S356" s="52">
        <v>0</v>
      </c>
      <c r="T356" s="52">
        <v>-1</v>
      </c>
      <c r="W356" s="52">
        <v>1</v>
      </c>
    </row>
    <row r="357" spans="1:23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J357" s="106">
        <f>VLOOKUP($A357, Stat!$A$1:$C$501, 2,0)</f>
        <v>19</v>
      </c>
      <c r="K357" s="106">
        <f>VLOOKUP($A357, Stat!$A$1:$C$501, 3,0)</f>
        <v>2</v>
      </c>
      <c r="L357" s="48">
        <v>1</v>
      </c>
      <c r="S357" s="52">
        <v>30</v>
      </c>
      <c r="T357" s="52">
        <v>1</v>
      </c>
      <c r="W357" s="52">
        <v>1</v>
      </c>
    </row>
    <row r="358" spans="1:23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J358" s="106">
        <f>VLOOKUP($A358, Stat!$A$1:$C$501, 2,0)</f>
        <v>7</v>
      </c>
      <c r="K358" s="106">
        <f>VLOOKUP($A358, Stat!$A$1:$C$501, 3,0)</f>
        <v>4</v>
      </c>
      <c r="L358" s="48">
        <v>1</v>
      </c>
      <c r="S358" s="52">
        <v>40</v>
      </c>
      <c r="T358" s="52">
        <v>0</v>
      </c>
      <c r="W358" s="52">
        <v>1</v>
      </c>
    </row>
    <row r="359" spans="1:23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J359" s="106">
        <f>VLOOKUP($A359, Stat!$A$1:$C$501, 2,0)</f>
        <v>33</v>
      </c>
      <c r="K359" s="106">
        <f>VLOOKUP($A359, Stat!$A$1:$C$501, 3,0)</f>
        <v>4</v>
      </c>
      <c r="S359" s="52">
        <v>100</v>
      </c>
      <c r="T359" s="52">
        <v>0</v>
      </c>
      <c r="W359" s="52">
        <v>1</v>
      </c>
    </row>
    <row r="360" spans="1:23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48">
        <v>1</v>
      </c>
      <c r="J360" s="106">
        <f>VLOOKUP($A360, Stat!$A$1:$C$501, 2,0)</f>
        <v>17</v>
      </c>
      <c r="K360" s="106">
        <f>VLOOKUP($A360, Stat!$A$1:$C$501, 3,0)</f>
        <v>12</v>
      </c>
      <c r="L360" s="48">
        <v>1</v>
      </c>
      <c r="S360" s="52">
        <v>100</v>
      </c>
      <c r="T360" s="52">
        <v>0</v>
      </c>
      <c r="V360" s="52" t="s">
        <v>551</v>
      </c>
      <c r="W360" s="52">
        <v>1</v>
      </c>
    </row>
    <row r="361" spans="1:23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J361" s="106">
        <f>VLOOKUP($A361, Stat!$A$1:$C$501, 2,0)</f>
        <v>1</v>
      </c>
      <c r="K361" s="106">
        <f>VLOOKUP($A361, Stat!$A$1:$C$501, 3,0)</f>
        <v>1</v>
      </c>
      <c r="P361" s="48">
        <v>368</v>
      </c>
      <c r="S361" s="52">
        <v>40</v>
      </c>
      <c r="T361" s="52">
        <v>0</v>
      </c>
      <c r="U361" s="52" t="s">
        <v>556</v>
      </c>
      <c r="W361" s="52">
        <v>1</v>
      </c>
    </row>
    <row r="362" spans="1:23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J362" s="106">
        <f>VLOOKUP($A362, Stat!$A$1:$C$501, 2,0)</f>
        <v>6</v>
      </c>
      <c r="K362" s="106">
        <f>VLOOKUP($A362, Stat!$A$1:$C$501, 3,0)</f>
        <v>2</v>
      </c>
      <c r="L362" s="48">
        <v>1</v>
      </c>
      <c r="P362" s="49" t="s">
        <v>572</v>
      </c>
      <c r="S362" s="52">
        <v>100</v>
      </c>
      <c r="T362" s="52">
        <v>0</v>
      </c>
      <c r="U362" s="52" t="s">
        <v>556</v>
      </c>
      <c r="W362" s="52">
        <v>1</v>
      </c>
    </row>
    <row r="363" spans="1:23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J363" s="106">
        <f>VLOOKUP($A363, Stat!$A$1:$C$501, 2,0)</f>
        <v>4</v>
      </c>
      <c r="K363" s="106">
        <f>VLOOKUP($A363, Stat!$A$1:$C$501, 3,0)</f>
        <v>1</v>
      </c>
      <c r="S363" s="52">
        <v>100</v>
      </c>
      <c r="T363" s="52">
        <v>0</v>
      </c>
      <c r="U363" s="52" t="s">
        <v>556</v>
      </c>
      <c r="W363" s="52">
        <v>1</v>
      </c>
    </row>
    <row r="364" spans="1:23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J364" s="106">
        <f>VLOOKUP($A364, Stat!$A$1:$C$501, 2,0)</f>
        <v>8</v>
      </c>
      <c r="K364" s="106">
        <f>VLOOKUP($A364, Stat!$A$1:$C$501, 3,0)</f>
        <v>2</v>
      </c>
      <c r="S364" s="52">
        <v>100</v>
      </c>
      <c r="T364" s="52">
        <v>0</v>
      </c>
      <c r="U364" s="52" t="s">
        <v>552</v>
      </c>
      <c r="W364" s="52">
        <v>1</v>
      </c>
    </row>
    <row r="365" spans="1:23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J365" s="106">
        <f>VLOOKUP($A365, Stat!$A$1:$C$501, 2,0)</f>
        <v>1</v>
      </c>
      <c r="K365" s="106">
        <f>VLOOKUP($A365, Stat!$A$1:$C$501, 3,0)</f>
        <v>1</v>
      </c>
      <c r="S365" s="52">
        <v>100</v>
      </c>
      <c r="T365" s="52">
        <v>0</v>
      </c>
      <c r="U365" s="52" t="s">
        <v>557</v>
      </c>
      <c r="W365" s="52">
        <v>1</v>
      </c>
    </row>
    <row r="366" spans="1:23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J366" s="106">
        <f>VLOOKUP($A366, Stat!$A$1:$C$501, 2,0)</f>
        <v>18</v>
      </c>
      <c r="K366" s="106">
        <f>VLOOKUP($A366, Stat!$A$1:$C$501, 3,0)</f>
        <v>4</v>
      </c>
      <c r="S366" s="52">
        <v>40</v>
      </c>
      <c r="T366" s="52">
        <v>0</v>
      </c>
      <c r="U366" s="52" t="s">
        <v>555</v>
      </c>
      <c r="W366" s="52">
        <v>1</v>
      </c>
    </row>
    <row r="367" spans="1:23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J367" s="106">
        <f>VLOOKUP($A367, Stat!$A$1:$C$501, 2,0)</f>
        <v>15</v>
      </c>
      <c r="K367" s="106">
        <f>VLOOKUP($A367, Stat!$A$1:$C$501, 3,0)</f>
        <v>4</v>
      </c>
      <c r="P367" s="48">
        <v>365</v>
      </c>
      <c r="S367" s="52">
        <v>100</v>
      </c>
      <c r="T367" s="52">
        <v>0</v>
      </c>
      <c r="U367" s="52" t="s">
        <v>555</v>
      </c>
      <c r="W367" s="52">
        <v>1</v>
      </c>
    </row>
    <row r="368" spans="1:23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J368" s="106">
        <f>VLOOKUP($A368, Stat!$A$1:$C$501, 2,0)</f>
        <v>6</v>
      </c>
      <c r="K368" s="106">
        <f>VLOOKUP($A368, Stat!$A$1:$C$501, 3,0)</f>
        <v>4</v>
      </c>
      <c r="S368" s="52">
        <v>100</v>
      </c>
      <c r="T368" s="52">
        <v>0</v>
      </c>
      <c r="U368" s="52" t="s">
        <v>555</v>
      </c>
      <c r="W368" s="52">
        <v>1</v>
      </c>
    </row>
    <row r="369" spans="1:23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J369" s="106">
        <f>VLOOKUP($A369, Stat!$A$1:$C$501, 2,0)</f>
        <v>5</v>
      </c>
      <c r="K369" s="106">
        <f>VLOOKUP($A369, Stat!$A$1:$C$501, 3,0)</f>
        <v>2</v>
      </c>
      <c r="S369" s="52">
        <v>0</v>
      </c>
      <c r="T369" s="52">
        <v>0</v>
      </c>
      <c r="U369" s="52" t="s">
        <v>555</v>
      </c>
      <c r="W369" s="52">
        <v>1</v>
      </c>
    </row>
    <row r="370" spans="1:23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J370" s="106">
        <f>VLOOKUP($A370, Stat!$A$1:$C$501, 2,0)</f>
        <v>7</v>
      </c>
      <c r="K370" s="106">
        <f>VLOOKUP($A370, Stat!$A$1:$C$501, 3,0)</f>
        <v>1</v>
      </c>
      <c r="P370" s="48">
        <v>368</v>
      </c>
      <c r="S370" s="52">
        <v>60</v>
      </c>
      <c r="T370" s="52">
        <v>0</v>
      </c>
      <c r="U370" s="52" t="s">
        <v>555</v>
      </c>
      <c r="W370" s="52">
        <v>1</v>
      </c>
    </row>
    <row r="371" spans="1:23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J371" s="106">
        <f>VLOOKUP($A371, Stat!$A$1:$C$501, 2,0)</f>
        <v>3</v>
      </c>
      <c r="K371" s="106">
        <f>VLOOKUP($A371, Stat!$A$1:$C$501, 3,0)</f>
        <v>2</v>
      </c>
      <c r="S371" s="52">
        <v>100</v>
      </c>
      <c r="T371" s="52">
        <v>0</v>
      </c>
      <c r="U371" s="52" t="s">
        <v>555</v>
      </c>
      <c r="W371" s="52">
        <v>1</v>
      </c>
    </row>
    <row r="372" spans="1:23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J372" s="106">
        <f>VLOOKUP($A372, Stat!$A$1:$C$501, 2,0)</f>
        <v>19</v>
      </c>
      <c r="K372" s="106">
        <f>VLOOKUP($A372, Stat!$A$1:$C$501, 3,0)</f>
        <v>2</v>
      </c>
      <c r="S372" s="52">
        <v>0</v>
      </c>
      <c r="T372" s="52">
        <v>0</v>
      </c>
      <c r="U372" s="52" t="s">
        <v>603</v>
      </c>
      <c r="W372" s="52">
        <v>1</v>
      </c>
    </row>
    <row r="373" spans="1:23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J373" s="106">
        <f>VLOOKUP($A373, Stat!$A$1:$C$501, 2,0)</f>
        <v>31</v>
      </c>
      <c r="K373" s="106">
        <f>VLOOKUP($A373, Stat!$A$1:$C$501, 3,0)</f>
        <v>2</v>
      </c>
      <c r="P373" s="48">
        <v>371</v>
      </c>
      <c r="S373" s="52">
        <v>60</v>
      </c>
      <c r="T373" s="52">
        <v>0</v>
      </c>
      <c r="U373" s="52" t="s">
        <v>603</v>
      </c>
      <c r="W373" s="52">
        <v>1</v>
      </c>
    </row>
    <row r="374" spans="1:23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J374" s="106">
        <f>VLOOKUP($A374, Stat!$A$1:$C$501, 2,0)</f>
        <v>31</v>
      </c>
      <c r="K374" s="106">
        <f>VLOOKUP($A374, Stat!$A$1:$C$501, 3,0)</f>
        <v>4</v>
      </c>
      <c r="S374" s="52">
        <v>100</v>
      </c>
      <c r="T374" s="52">
        <v>0</v>
      </c>
      <c r="U374" s="52" t="s">
        <v>603</v>
      </c>
      <c r="W374" s="52">
        <v>1</v>
      </c>
    </row>
    <row r="375" spans="1:23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48">
        <v>1</v>
      </c>
      <c r="J375" s="106">
        <f>VLOOKUP($A375, Stat!$A$1:$C$501, 2,0)</f>
        <v>20</v>
      </c>
      <c r="K375" s="106">
        <f>VLOOKUP($A375, Stat!$A$1:$C$501, 3,0)</f>
        <v>7</v>
      </c>
      <c r="S375" s="52">
        <v>0</v>
      </c>
      <c r="T375" s="52">
        <v>1</v>
      </c>
      <c r="U375" s="52" t="s">
        <v>448</v>
      </c>
      <c r="V375" s="52" t="s">
        <v>567</v>
      </c>
      <c r="W375" s="52">
        <v>1</v>
      </c>
    </row>
    <row r="376" spans="1:23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J376" s="106">
        <f>VLOOKUP($A376, Stat!$A$1:$C$501, 2,0)</f>
        <v>39</v>
      </c>
      <c r="K376" s="112">
        <f>VLOOKUP($A376, Stat!$A$1:$C$501, 3,0)</f>
        <v>0</v>
      </c>
      <c r="S376" s="52">
        <v>30</v>
      </c>
      <c r="T376" s="52">
        <v>0</v>
      </c>
      <c r="V376" s="52" t="s">
        <v>571</v>
      </c>
      <c r="W376" s="52">
        <v>1</v>
      </c>
    </row>
    <row r="377" spans="1:23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48">
        <v>1</v>
      </c>
      <c r="J377" s="106">
        <f>VLOOKUP($A377, Stat!$A$1:$C$501, 2,0)</f>
        <v>7</v>
      </c>
      <c r="K377" s="106">
        <f>VLOOKUP($A377, Stat!$A$1:$C$501, 3,0)</f>
        <v>4</v>
      </c>
      <c r="S377" s="52">
        <v>0</v>
      </c>
      <c r="T377" s="52">
        <v>1</v>
      </c>
      <c r="U377" s="52" t="s">
        <v>448</v>
      </c>
      <c r="V377" s="52" t="s">
        <v>573</v>
      </c>
      <c r="W377" s="52">
        <v>1</v>
      </c>
    </row>
    <row r="378" spans="1:23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J378" s="106">
        <f>VLOOKUP($A378, Stat!$A$1:$C$501, 2,0)</f>
        <v>5</v>
      </c>
      <c r="K378" s="112">
        <f>VLOOKUP($A378, Stat!$A$1:$C$501, 3,0)</f>
        <v>0</v>
      </c>
      <c r="S378" s="52">
        <v>30</v>
      </c>
      <c r="T378" s="52">
        <v>0</v>
      </c>
      <c r="V378" s="52" t="s">
        <v>576</v>
      </c>
      <c r="W378" s="52">
        <v>1</v>
      </c>
    </row>
    <row r="379" spans="1:23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J379" s="106">
        <f>VLOOKUP($A379, Stat!$A$1:$C$501, 2,0)</f>
        <v>10</v>
      </c>
      <c r="K379" s="112">
        <f>VLOOKUP($A379, Stat!$A$1:$C$501, 3,0)</f>
        <v>0</v>
      </c>
      <c r="S379" s="52">
        <v>30</v>
      </c>
      <c r="T379" s="52">
        <v>0</v>
      </c>
      <c r="V379" s="52" t="s">
        <v>577</v>
      </c>
      <c r="W379" s="52">
        <v>1</v>
      </c>
    </row>
    <row r="380" spans="1:23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J380" s="106">
        <f>VLOOKUP($A380, Stat!$A$1:$C$501, 2,0)</f>
        <v>21</v>
      </c>
      <c r="K380" s="106">
        <f>VLOOKUP($A380, Stat!$A$1:$C$501, 3,0)</f>
        <v>4</v>
      </c>
      <c r="S380" s="52">
        <v>0</v>
      </c>
      <c r="T380" s="52">
        <v>0</v>
      </c>
      <c r="W380" s="52">
        <v>1</v>
      </c>
    </row>
    <row r="381" spans="1:23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J381" s="106">
        <f>VLOOKUP($A381, Stat!$A$1:$C$501, 2,0)</f>
        <v>8</v>
      </c>
      <c r="K381" s="106">
        <f>VLOOKUP($A381, Stat!$A$1:$C$501, 3,0)</f>
        <v>4</v>
      </c>
      <c r="S381" s="52">
        <v>0</v>
      </c>
      <c r="T381" s="52">
        <v>0</v>
      </c>
      <c r="W381" s="52">
        <v>1</v>
      </c>
    </row>
    <row r="382" spans="1:23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J382" s="106">
        <f>VLOOKUP($A382, Stat!$A$1:$C$501, 2,0)</f>
        <v>12</v>
      </c>
      <c r="K382" s="106">
        <f>VLOOKUP($A382, Stat!$A$1:$C$501, 3,0)</f>
        <v>4</v>
      </c>
      <c r="S382" s="52">
        <v>0</v>
      </c>
      <c r="T382" s="52">
        <v>0</v>
      </c>
      <c r="W382" s="52">
        <v>1</v>
      </c>
    </row>
    <row r="383" spans="1:23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J383" s="106">
        <f>VLOOKUP($A383, Stat!$A$1:$C$501, 2,0)</f>
        <v>2</v>
      </c>
      <c r="K383" s="106">
        <f>VLOOKUP($A383, Stat!$A$1:$C$501, 3,0)</f>
        <v>2</v>
      </c>
      <c r="S383" s="52">
        <v>0</v>
      </c>
      <c r="T383" s="52">
        <v>0</v>
      </c>
      <c r="W383" s="52">
        <v>1</v>
      </c>
    </row>
    <row r="384" spans="1:23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J384" s="106">
        <f>VLOOKUP($A384, Stat!$A$1:$C$501, 2,0)</f>
        <v>176</v>
      </c>
      <c r="K384" s="112">
        <f>VLOOKUP($A384, Stat!$A$1:$C$501, 3,0)</f>
        <v>0</v>
      </c>
      <c r="S384" s="52">
        <v>30</v>
      </c>
      <c r="T384" s="52">
        <v>0</v>
      </c>
      <c r="W384" s="52">
        <v>1</v>
      </c>
    </row>
    <row r="385" spans="1:23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48">
        <v>1</v>
      </c>
      <c r="J385" s="106">
        <f>VLOOKUP($A385, Stat!$A$1:$C$501, 2,0)</f>
        <v>7</v>
      </c>
      <c r="K385" s="106">
        <f>VLOOKUP($A385, Stat!$A$1:$C$501, 3,0)</f>
        <v>1</v>
      </c>
      <c r="S385" s="52">
        <v>0</v>
      </c>
      <c r="T385" s="52">
        <v>0</v>
      </c>
      <c r="V385" s="52" t="s">
        <v>590</v>
      </c>
      <c r="W385" s="52">
        <v>1</v>
      </c>
    </row>
    <row r="386" spans="1:23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G386" s="48">
        <v>1</v>
      </c>
      <c r="S386" s="52">
        <v>30</v>
      </c>
      <c r="T386" s="52">
        <v>0</v>
      </c>
      <c r="U386" s="52" t="s">
        <v>448</v>
      </c>
      <c r="V386" s="52" t="s">
        <v>596</v>
      </c>
      <c r="W386" s="52">
        <v>1</v>
      </c>
    </row>
    <row r="387" spans="1:23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J387" s="108">
        <f>VLOOKUP($A387, Stat!$A$1:$C$501, 2,0)</f>
        <v>0</v>
      </c>
      <c r="S387" s="52">
        <v>100</v>
      </c>
      <c r="T387" s="52">
        <v>0</v>
      </c>
      <c r="U387" s="52" t="s">
        <v>88</v>
      </c>
      <c r="V387" s="52" t="s">
        <v>597</v>
      </c>
      <c r="W387" s="52">
        <v>1</v>
      </c>
    </row>
    <row r="388" spans="1:23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S388" s="52">
        <v>30</v>
      </c>
      <c r="T388" s="52">
        <v>1</v>
      </c>
      <c r="W388" s="52">
        <v>1</v>
      </c>
    </row>
    <row r="389" spans="1:23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S389" s="52">
        <v>60</v>
      </c>
      <c r="T389" s="52">
        <v>0</v>
      </c>
      <c r="W389" s="52">
        <v>1</v>
      </c>
    </row>
  </sheetData>
  <autoFilter ref="A1:W389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2018-01-09T19:29:39Z</dcterms:modified>
</cp:coreProperties>
</file>