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72" i="4" l="1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<sst xmlns="http://schemas.openxmlformats.org/spreadsheetml/2006/main" count="2350" uniqueCount="576">
  <si>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</si>
  <si>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</si>
  <si>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</si>
  <si>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</si>
  <si>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</si>
  <si>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</si>
  <si>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</si>
  <si>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</si>
  <si>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</si>
  <si>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</si>
  <si>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</si>
  <si>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</si>
  <si>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</si>
  <si>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</si>
  <si>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</si>
  <si>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</si>
  <si>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</si>
  <si>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</si>
  <si>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</si>
  <si>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</si>
  <si>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</si>
  <si>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</si>
  <si>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</si>
  <si>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</si>
  <si>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</si>
  <si>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</si>
  <si>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</si>
  <si>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</si>
  <si>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</si>
  <si>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</si>
  <si>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</si>
  <si>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</si>
  <si>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</si>
  <si>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</si>
  <si>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</si>
  <si>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</si>
  <si>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</si>
  <si>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</si>
  <si>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</si>
  <si>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</si>
  <si>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</si>
  <si>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</si>
  <si>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</si>
  <si>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</si>
  <si>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</si>
  <si>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</si>
  <si>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</si>
  <si>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</si>
  <si>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</si>
  <si>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</si>
  <si>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</si>
  <si>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</si>
  <si>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</si>
  <si>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</si>
  <si>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</si>
  <si>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</si>
  <si>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</si>
  <si>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</si>
  <si>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</si>
  <si>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</si>
  <si>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</si>
  <si>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</si>
  <si>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</si>
  <si>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</si>
  <si>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</si>
  <si>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</si>
  <si>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</si>
  <si>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</si>
  <si>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</si>
  <si>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</si>
  <si>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</si>
  <si>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</si>
  <si>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</si>
  <si>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</si>
  <si>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</si>
  <si>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</si>
  <si>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</si>
  <si>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</si>
  <si>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</si>
  <si>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</si>
  <si>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</si>
  <si>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</si>
  <si>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</si>
  <si>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</si>
  <si>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</si>
  <si>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</si>
  <si>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</si>
  <si>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</si>
  <si>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</si>
  <si>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</si>
  <si>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</si>
  <si>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</si>
  <si>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</si>
  <si>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</si>
  <si>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</si>
  <si>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</si>
  <si>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</si>
  <si>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</si>
  <si>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</si>
  <si>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</si>
  <si>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</si>
  <si>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</si>
  <si>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</si>
  <si>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</si>
  <si>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</si>
  <si>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</si>
  <si>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</si>
  <si>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</si>
  <si>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</si>
  <si>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</si>
  <si>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</si>
  <si>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</si>
  <si>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</si>
  <si>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</si>
  <si>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</si>
  <si>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</si>
  <si>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</si>
  <si>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</si>
  <si>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</si>
  <si>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</si>
  <si>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</si>
  <si>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</si>
  <si>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</si>
  <si>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</si>
  <si>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</si>
  <si>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</si>
  <si>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</si>
  <si>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</si>
  <si>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</si>
  <si>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</si>
  <si>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</si>
  <si>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</si>
  <si>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</si>
  <si>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</si>
  <si>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</si>
  <si>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</si>
  <si>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</si>
  <si>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</si>
  <si>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</si>
  <si>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</si>
  <si>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</si>
  <si>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</si>
  <si>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</si>
  <si>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</si>
  <si>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</si>
  <si>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</si>
  <si>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</si>
  <si>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</si>
  <si>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</si>
  <si>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</si>
  <si>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</si>
  <si>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</si>
  <si>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</si>
  <si>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</si>
  <si>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</si>
  <si>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</si>
  <si>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</si>
  <si>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</si>
  <si>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</si>
  <si>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</si>
  <si>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</si>
  <si>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</si>
  <si>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</si>
  <si>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</si>
  <si>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</si>
  <si>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</si>
  <si>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</si>
  <si>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</si>
  <si>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</si>
  <si>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</si>
  <si>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</si>
  <si>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</si>
  <si>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</si>
  <si>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</si>
  <si>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</si>
  <si>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</si>
  <si>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</si>
  <si>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</si>
  <si>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</si>
  <si>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</si>
  <si>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</si>
  <si>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</si>
  <si>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</si>
  <si>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</si>
  <si>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</si>
  <si>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</si>
  <si>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</si>
  <si>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</si>
  <si>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</si>
  <si>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</si>
  <si>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</si>
  <si>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</si>
  <si>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</si>
  <si>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</si>
  <si>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</si>
  <si>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</si>
  <si>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</si>
  <si>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</si>
  <si>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</si>
  <si>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</si>
  <si>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</si>
  <si>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</si>
  <si>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</si>
  <si>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</si>
  <si>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</si>
  <si>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</si>
  <si>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</si>
  <si>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</si>
  <si>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</si>
  <si>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</si>
  <si>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</si>
  <si>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</si>
  <si>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</si>
  <si>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</si>
  <si>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</si>
  <si>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</si>
  <si>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</si>
  <si>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</si>
  <si>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</si>
  <si>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</si>
  <si>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</si>
  <si>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</si>
  <si>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</si>
  <si>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</si>
  <si>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</si>
  <si>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</si>
  <si>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</si>
  <si>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</si>
  <si>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</si>
  <si>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</si>
  <si>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</si>
  <si>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</si>
  <si>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</si>
  <si>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</si>
  <si>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</si>
  <si>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</si>
  <si>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</si>
  <si>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</si>
  <si>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</si>
  <si>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</si>
  <si>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</si>
  <si>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</si>
  <si>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</si>
  <si>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</si>
  <si>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</si>
  <si>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</si>
  <si>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</si>
  <si>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</si>
  <si>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</si>
  <si>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</si>
  <si>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</si>
  <si>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</si>
  <si>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</si>
  <si>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</si>
  <si>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</si>
  <si>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</si>
  <si>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</si>
  <si>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</si>
  <si>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</si>
  <si>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</si>
  <si>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</si>
  <si>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</si>
  <si>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</si>
  <si>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</si>
  <si>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</si>
  <si>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</si>
  <si>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</si>
  <si>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</si>
  <si>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</si>
  <si>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</si>
  <si>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</si>
  <si>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</si>
  <si>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</si>
  <si>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</si>
  <si>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</si>
  <si>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</si>
  <si>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</si>
  <si>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</si>
  <si>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</si>
  <si>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</si>
  <si>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</si>
  <si>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</si>
  <si>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</si>
  <si>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</si>
  <si>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</si>
  <si>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</si>
  <si>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</si>
  <si>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</si>
  <si>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</si>
  <si>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</si>
  <si>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</si>
  <si>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</si>
  <si>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</si>
  <si>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</si>
  <si>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</si>
  <si>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</si>
  <si>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</si>
  <si>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</si>
  <si>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</si>
  <si>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</si>
  <si>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</si>
  <si>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</si>
  <si>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</si>
  <si>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</si>
  <si>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</si>
  <si>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</si>
  <si>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</si>
  <si>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</si>
  <si>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</si>
  <si>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</si>
  <si>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</si>
  <si>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</si>
  <si>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</si>
  <si>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</si>
  <si>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</si>
  <si>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</si>
  <si>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</si>
  <si>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</si>
  <si>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</si>
  <si>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</si>
  <si>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</si>
  <si>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</si>
  <si>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</si>
  <si>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</si>
  <si>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</si>
  <si>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</si>
  <si>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</si>
  <si>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</si>
  <si>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</si>
  <si>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</si>
  <si>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</si>
  <si>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</si>
  <si>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</si>
  <si>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</si>
  <si>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</si>
  <si>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</si>
  <si>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</si>
  <si>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</si>
  <si>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</si>
  <si>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</si>
  <si>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</si>
  <si>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</si>
  <si>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</si>
  <si>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</si>
  <si>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</si>
  <si>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</si>
  <si>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</si>
  <si>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</si>
  <si>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</si>
  <si>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</si>
  <si>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</si>
  <si>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</si>
  <si>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</si>
  <si>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</si>
  <si>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</si>
  <si>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</si>
  <si>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</si>
  <si>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</si>
  <si>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</si>
  <si>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</si>
  <si>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</si>
  <si>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</si>
  <si>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</si>
  <si>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</si>
  <si>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</si>
  <si>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</si>
  <si>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</si>
  <si>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</si>
  <si>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</si>
  <si>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</si>
  <si>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</si>
  <si>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</si>
  <si>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</si>
  <si>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</si>
  <si>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</si>
  <si>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</si>
  <si>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</si>
  <si>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</si>
  <si>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</si>
  <si>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</si>
  <si>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</si>
  <si>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</si>
  <si>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</si>
  <si>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</si>
  <si>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</si>
  <si>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</si>
  <si>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</si>
  <si>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</si>
  <si>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</si>
  <si>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</si>
  <si>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</si>
  <si>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</si>
  <si>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</si>
  <si>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</si>
  <si>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</si>
  <si>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</si>
  <si>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</si>
  <si>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</si>
  <si>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</si>
  <si>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</si>
  <si>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</si>
  <si>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</si>
  <si>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</si>
  <si>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</si>
  <si>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</si>
  <si>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</si>
  <si>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</si>
  <si>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</si>
  <si>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</si>
  <si>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</si>
  <si>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</si>
  <si>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</si>
  <si>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</si>
  <si>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</si>
  <si>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</si>
  <si>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</si>
  <si>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</si>
  <si>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</si>
  <si>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</si>
  <si>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</si>
  <si>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</si>
  <si>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</si>
  <si>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</si>
  <si>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</si>
  <si>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</si>
  <si>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</si>
  <si>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</si>
  <si>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</si>
  <si>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</si>
  <si>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</si>
  <si>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</si>
  <si>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</si>
  <si>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</si>
  <si>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</si>
  <si>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</si>
  <si>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</si>
  <si>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</si>
  <si>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</si>
  <si>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</si>
  <si>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</si>
  <si>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</si>
  <si>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</si>
  <si>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</si>
  <si>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</si>
  <si>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</si>
  <si>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</si>
  <si>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</si>
  <si>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</si>
  <si>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</si>
  <si>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</si>
  <si>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</si>
  <si>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</si>
  <si>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</si>
  <si>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</si>
  <si>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</si>
  <si>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</si>
  <si>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</si>
  <si>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</si>
  <si>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</si>
  <si>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</si>
  <si>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</si>
  <si>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</si>
  <si>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</si>
  <si>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</si>
  <si>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</si>
  <si>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</si>
  <si>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</si>
  <si>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</si>
  <si>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</si>
  <si>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</si>
  <si>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</si>
  <si>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</si>
  <si>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</si>
  <si>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</si>
  <si>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</si>
  <si>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</si>
  <si>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</si>
  <si>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</si>
  <si>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</si>
  <si>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</si>
  <si>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</si>
  <si>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</si>
  <si>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</si>
  <si>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</si>
  <si>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</si>
  <si>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</si>
  <si>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</si>
  <si>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</si>
  <si>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</si>
  <si>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</si>
  <si>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</si>
  <si>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</si>
  <si>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</si>
  <si>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</si>
  <si>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</si>
  <si>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</si>
  <si>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</si>
  <si>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</si>
  <si>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</si>
  <si>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</si>
  <si>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</si>
  <si>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</si>
  <si>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</si>
  <si>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</si>
  <si>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</si>
  <si>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</si>
  <si>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</si>
  <si>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</si>
  <si>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</si>
  <si>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</si>
  <si>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</si>
  <si>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</si>
  <si>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</si>
  <si>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</si>
  <si>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</si>
  <si>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</si>
  <si>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</si>
  <si>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</si>
  <si>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</si>
  <si>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</si>
  <si>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</si>
  <si>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</si>
  <si>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</si>
  <si>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</si>
  <si>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</si>
  <si>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</si>
  <si>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</si>
  <si>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</si>
  <si>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</si>
  <si>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</si>
  <si>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</si>
  <si>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</si>
  <si>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</si>
  <si>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</si>
  <si>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</si>
  <si>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</si>
  <si>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</si>
  <si>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</si>
  <si>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</si>
  <si>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</si>
  <si>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</si>
  <si>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</si>
  <si>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</si>
  <si>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</si>
  <si>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</si>
  <si>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</si>
  <si>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</si>
  <si>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</si>
  <si>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</si>
  <si>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</si>
  <si>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</si>
  <si>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</si>
  <si>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</si>
  <si>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</si>
  <si>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</si>
  <si>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</si>
  <si>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</si>
  <si>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</si>
  <si>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</si>
  <si>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</si>
  <si>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</si>
  <si>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</si>
  <si>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</si>
  <si>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</si>
  <si>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</si>
  <si>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</si>
  <si>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</si>
  <si>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</si>
  <si>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</si>
  <si>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</si>
  <si>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</si>
  <si>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</si>
  <si>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</si>
  <si>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</si>
  <si>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360,368</t>
  </si>
  <si>
    <t>Highest note in higher voice within 13 notes or 6 measures - which is smaller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</si>
</sst>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zoomScale="85" zoomScaleNormal="85" workbookViewId="0">
      <pane ySplit="1" topLeftCell="A20" activePane="bottomLeft" state="frozen"/>
      <selection activeCell="C37" sqref="C37"/>
      <selection pane="bottomLeft" activeCell="D37" sqref="D37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572</v>
      </c>
      <c r="C36" s="34" t="s">
        <v>571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573</v>
      </c>
      <c r="C38" s="34" t="s">
        <v>571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570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552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532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527</v>
      </c>
      <c r="C55" s="34" t="s">
        <v>534</v>
      </c>
      <c r="D55" s="4" t="s">
        <v>533</v>
      </c>
      <c r="E55" s="75" t="s">
        <v>536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539</v>
      </c>
      <c r="E56" s="19" t="s">
        <v>540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538</v>
      </c>
      <c r="E57" s="80" t="s">
        <v>537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1"/>
      <c r="B58" s="112"/>
      <c r="C58" s="34" t="s">
        <v>75</v>
      </c>
      <c r="D58" s="77" t="s">
        <v>535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2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2"/>
      <c r="C60" s="3" t="s">
        <v>517</v>
      </c>
      <c r="D60" s="68" t="s">
        <v>519</v>
      </c>
      <c r="E60" s="68" t="s">
        <v>518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2"/>
      <c r="C61" s="34" t="s">
        <v>160</v>
      </c>
      <c r="D61" s="68" t="s">
        <v>516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2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2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2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2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2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2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455</v>
      </c>
      <c r="H67" s="75" t="s">
        <v>456</v>
      </c>
      <c r="I67" s="75" t="s">
        <v>457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2"/>
      <c r="C68" s="34" t="s">
        <v>213</v>
      </c>
      <c r="D68" s="4" t="s">
        <v>460</v>
      </c>
      <c r="E68" s="75" t="s">
        <v>69</v>
      </c>
      <c r="F68" s="75" t="s">
        <v>447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2"/>
      <c r="C69" s="36" t="s">
        <v>215</v>
      </c>
      <c r="D69" s="4" t="s">
        <v>212</v>
      </c>
      <c r="E69" s="4" t="s">
        <v>131</v>
      </c>
      <c r="F69" s="80" t="s">
        <v>509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454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2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2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2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2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2"/>
      <c r="C74" s="34" t="s">
        <v>333</v>
      </c>
      <c r="D74" s="40" t="s">
        <v>530</v>
      </c>
      <c r="E74" s="40" t="s">
        <v>531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2"/>
      <c r="C75" s="34" t="s">
        <v>68</v>
      </c>
      <c r="D75" s="77" t="s">
        <v>561</v>
      </c>
      <c r="E75" s="77" t="s">
        <v>65</v>
      </c>
      <c r="F75" s="75" t="s">
        <v>473</v>
      </c>
      <c r="G75" s="77" t="s">
        <v>340</v>
      </c>
      <c r="H75" s="40" t="s">
        <v>463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2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2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2"/>
      <c r="C78" s="34" t="s">
        <v>525</v>
      </c>
      <c r="D78" s="19" t="s">
        <v>541</v>
      </c>
      <c r="E78" s="19" t="s">
        <v>542</v>
      </c>
      <c r="F78" s="80" t="s">
        <v>543</v>
      </c>
      <c r="G78" s="76" t="s">
        <v>544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2"/>
      <c r="C79" s="34" t="s">
        <v>526</v>
      </c>
      <c r="D79" s="19" t="s">
        <v>541</v>
      </c>
      <c r="E79" s="19" t="s">
        <v>542</v>
      </c>
      <c r="F79" s="7" t="s">
        <v>543</v>
      </c>
      <c r="G79" s="76" t="s">
        <v>544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2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2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2"/>
      <c r="C82" s="34" t="s">
        <v>427</v>
      </c>
      <c r="D82" s="80" t="s">
        <v>546</v>
      </c>
      <c r="E82" s="80" t="s">
        <v>545</v>
      </c>
      <c r="F82" s="80" t="s">
        <v>426</v>
      </c>
      <c r="G82" s="80" t="s">
        <v>524</v>
      </c>
      <c r="H82" s="80" t="s">
        <v>449</v>
      </c>
      <c r="I82" s="80" t="s">
        <v>483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2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2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2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2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2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7" t="s">
        <v>250</v>
      </c>
      <c r="C88" s="3" t="s">
        <v>251</v>
      </c>
      <c r="D88" s="4" t="s">
        <v>320</v>
      </c>
      <c r="E88" s="10" t="s">
        <v>252</v>
      </c>
      <c r="F88" s="75" t="s">
        <v>459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8"/>
      <c r="C89" s="3" t="s">
        <v>251</v>
      </c>
      <c r="D89" s="8" t="s">
        <v>440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8"/>
      <c r="C90" s="3" t="s">
        <v>318</v>
      </c>
      <c r="D90" s="4" t="s">
        <v>320</v>
      </c>
      <c r="E90" s="10" t="s">
        <v>252</v>
      </c>
      <c r="F90" s="75" t="s">
        <v>459</v>
      </c>
      <c r="G90" s="75" t="s">
        <v>253</v>
      </c>
      <c r="H90" s="68" t="s">
        <v>322</v>
      </c>
      <c r="I90" s="76" t="s">
        <v>498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8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8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476</v>
      </c>
      <c r="J92" s="75" t="s">
        <v>479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9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2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2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2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2"/>
      <c r="C97" s="3" t="s">
        <v>485</v>
      </c>
      <c r="D97" s="68" t="s">
        <v>488</v>
      </c>
      <c r="E97" s="68" t="s">
        <v>486</v>
      </c>
      <c r="F97" s="68" t="s">
        <v>551</v>
      </c>
      <c r="G97" s="68" t="s">
        <v>487</v>
      </c>
      <c r="H97" s="68" t="s">
        <v>489</v>
      </c>
      <c r="I97" s="3"/>
      <c r="J97" s="3"/>
      <c r="K97" s="3"/>
      <c r="L97" s="14"/>
      <c r="M97" s="22" t="s">
        <v>490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2"/>
      <c r="C98" s="3" t="s">
        <v>554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2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2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476</v>
      </c>
      <c r="J100" s="75" t="s">
        <v>480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2"/>
      <c r="C101" s="3" t="s">
        <v>195</v>
      </c>
      <c r="D101" s="69" t="s">
        <v>364</v>
      </c>
      <c r="E101" s="78" t="s">
        <v>374</v>
      </c>
      <c r="F101" s="69" t="s">
        <v>496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2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474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B94:B102"/>
    <mergeCell ref="B59:B66"/>
    <mergeCell ref="B55:B58"/>
    <mergeCell ref="B67:B87"/>
    <mergeCell ref="B1:M1"/>
    <mergeCell ref="B88:B93"/>
    <mergeCell ref="B36:B37"/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tabSelected="1" zoomScale="130" zoomScaleNormal="130" workbookViewId="0">
      <pane ySplit="1" topLeftCell="A353" activePane="bottomLeft" state="frozen"/>
      <selection pane="bottomLeft" activeCell="H368" sqref="H368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572</v>
      </c>
      <c r="D3" s="52" t="s">
        <v>571</v>
      </c>
      <c r="E3" s="56" t="s">
        <v>49</v>
      </c>
      <c r="F3" s="50"/>
      <c r="G3" s="106">
        <f>VLOOKUP($A3, Stat!$A$1:$C$501, 2,0)</f>
        <v>8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84</v>
      </c>
      <c r="H7" s="106">
        <f>VLOOKUP($A7, Stat!$A$1:$C$501, 3,0)</f>
        <v>24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573</v>
      </c>
      <c r="D19" s="52" t="s">
        <v>500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573</v>
      </c>
      <c r="D20" s="52" t="s">
        <v>500</v>
      </c>
      <c r="E20" s="56" t="s">
        <v>50</v>
      </c>
      <c r="F20" s="50"/>
      <c r="G20" s="106">
        <f>VLOOKUP($A20, Stat!$A$1:$C$501, 2,0)</f>
        <v>18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181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310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572</v>
      </c>
      <c r="D32" s="52" t="s">
        <v>571</v>
      </c>
      <c r="E32" s="56" t="s">
        <v>50</v>
      </c>
      <c r="F32" s="50"/>
      <c r="G32" s="106">
        <f>VLOOKUP($A32, Stat!$A$1:$C$501, 2,0)</f>
        <v>27</v>
      </c>
      <c r="H32" s="106">
        <f>VLOOKUP($A32, Stat!$A$1:$C$501, 3,0)</f>
        <v>1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572</v>
      </c>
      <c r="D33" s="52" t="s">
        <v>571</v>
      </c>
      <c r="E33" s="56" t="s">
        <v>23</v>
      </c>
      <c r="F33" s="50"/>
      <c r="G33" s="106">
        <f>VLOOKUP($A33, Stat!$A$1:$C$501, 2,0)</f>
        <v>15</v>
      </c>
      <c r="H33" s="106">
        <f>VLOOKUP($A33, Stat!$A$1:$C$501, 3,0)</f>
        <v>3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155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63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24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40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476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160</v>
      </c>
      <c r="H58" s="106">
        <f>VLOOKUP($A58, Stat!$A$1:$C$501, 3,0)</f>
        <v>26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190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24</v>
      </c>
      <c r="H63" s="106">
        <f>VLOOKUP($A63, Stat!$A$1:$C$501, 3,0)</f>
        <v>7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162</v>
      </c>
      <c r="H67" s="106">
        <f>VLOOKUP($A67, Stat!$A$1:$C$501, 3,0)</f>
        <v>34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66</v>
      </c>
      <c r="H69" s="106">
        <f>VLOOKUP($A69, Stat!$A$1:$C$501, 3,0)</f>
        <v>20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32</v>
      </c>
      <c r="H75" s="106">
        <f>VLOOKUP($A75, Stat!$A$1:$C$501, 3,0)</f>
        <v>18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554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82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311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47</v>
      </c>
      <c r="H82" s="106">
        <f>VLOOKUP($A82, Stat!$A$1:$C$501, 3,0)</f>
        <v>10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182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98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150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94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42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31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93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140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41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170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719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48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121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175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67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16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17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285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78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21</v>
      </c>
      <c r="H317" s="106">
        <f>VLOOKUP($A317, Stat!$A$1:$C$501, 3,0)</f>
        <v>9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6</v>
      </c>
      <c r="H321" s="106">
        <f>VLOOKUP($A321, Stat!$A$1:$C$501, 3,0)</f>
        <v>2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135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35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573</v>
      </c>
      <c r="D341" s="52" t="s">
        <v>501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573</v>
      </c>
      <c r="D342" s="52" t="s">
        <v>501</v>
      </c>
      <c r="E342" s="52" t="s">
        <v>50</v>
      </c>
      <c r="G342" s="106">
        <f>VLOOKUP($A342, Stat!$A$1:$C$501, 2,0)</f>
        <v>2</v>
      </c>
      <c r="H342" s="106">
        <f>VLOOKUP($A342, Stat!$A$1:$C$501, 3,0)</f>
        <v>0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334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21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573</v>
      </c>
      <c r="D359" s="52" t="s">
        <v>567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573</v>
      </c>
      <c r="D360" s="52" t="s">
        <v>567</v>
      </c>
      <c r="E360" s="52" t="s">
        <v>50</v>
      </c>
      <c r="G360" s="106">
        <f>VLOOKUP($A360, Stat!$A$1:$C$501, 2,0)</f>
        <v>5</v>
      </c>
      <c r="H360" s="106">
        <f>VLOOKUP($A360, Stat!$A$1:$C$501, 3,0)</f>
        <v>2</v>
      </c>
      <c r="I360" s="48">
        <v>1</v>
      </c>
      <c r="M360" s="49" t="s">
        <v>574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573</v>
      </c>
      <c r="D361" s="52" t="s">
        <v>567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573</v>
      </c>
      <c r="D362" s="52" t="s">
        <v>500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573</v>
      </c>
      <c r="D363" s="52" t="s">
        <v>501</v>
      </c>
      <c r="E363" s="52" t="s">
        <v>23</v>
      </c>
      <c r="G363" s="106">
        <f>VLOOKUP($A363, Stat!$A$1:$C$501, 2,0)</f>
        <v>0</v>
      </c>
      <c r="H363" s="106">
        <f>VLOOKUP($A363, Stat!$A$1:$C$501, 3,0)</f>
        <v>0</v>
      </c>
      <c r="P363" s="52">
        <v>100</v>
      </c>
      <c r="Q363" s="52">
        <v>0</v>
      </c>
      <c r="R363" s="52" t="s">
        <v>570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573</v>
      </c>
      <c r="D364" s="52" t="s">
        <v>566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568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573</v>
      </c>
      <c r="D365" s="52" t="s">
        <v>566</v>
      </c>
      <c r="E365" s="52" t="s">
        <v>50</v>
      </c>
      <c r="G365" s="106">
        <f>VLOOKUP($A365, Stat!$A$1:$C$501, 2,0)</f>
        <v>10</v>
      </c>
      <c r="H365" s="106">
        <f>VLOOKUP($A365, Stat!$A$1:$C$501, 3,0)</f>
        <v>3</v>
      </c>
      <c r="M365" s="48">
        <v>365</v>
      </c>
      <c r="P365" s="52">
        <v>100</v>
      </c>
      <c r="Q365" s="52">
        <v>0</v>
      </c>
      <c r="R365" s="52" t="s">
        <v>568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573</v>
      </c>
      <c r="D366" s="52" t="s">
        <v>566</v>
      </c>
      <c r="E366" s="52" t="s">
        <v>23</v>
      </c>
      <c r="G366" s="106">
        <f>VLOOKUP($A366, Stat!$A$1:$C$501, 2,0)</f>
        <v>5</v>
      </c>
      <c r="H366" s="106">
        <f>VLOOKUP($A366, Stat!$A$1:$C$501, 3,0)</f>
        <v>3</v>
      </c>
      <c r="P366" s="52">
        <v>100</v>
      </c>
      <c r="Q366" s="52">
        <v>0</v>
      </c>
      <c r="R366" s="52" t="s">
        <v>568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573</v>
      </c>
      <c r="D367" s="52" t="s">
        <v>571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568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573</v>
      </c>
      <c r="D368" s="52" t="s">
        <v>571</v>
      </c>
      <c r="E368" s="52" t="s">
        <v>50</v>
      </c>
      <c r="G368" s="106">
        <f>VLOOKUP($A368, Stat!$A$1:$C$501, 2,0)</f>
        <v>5</v>
      </c>
      <c r="H368" s="106">
        <f>VLOOKUP($A368, Stat!$A$1:$C$501, 3,0)</f>
        <v>0</v>
      </c>
      <c r="M368" s="48">
        <v>368</v>
      </c>
      <c r="P368" s="52">
        <v>60</v>
      </c>
      <c r="Q368" s="52">
        <v>0</v>
      </c>
      <c r="R368" s="52" t="s">
        <v>568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573</v>
      </c>
      <c r="D369" s="52" t="s">
        <v>571</v>
      </c>
      <c r="E369" s="52" t="s">
        <v>23</v>
      </c>
      <c r="G369" s="106">
        <f>VLOOKUP($A369, Stat!$A$1:$C$501, 2,0)</f>
        <v>3</v>
      </c>
      <c r="H369" s="106">
        <f>VLOOKUP($A369, Stat!$A$1:$C$501, 3,0)</f>
        <v>1</v>
      </c>
      <c r="P369" s="52">
        <v>100</v>
      </c>
      <c r="Q369" s="52">
        <v>0</v>
      </c>
      <c r="R369" s="52" t="s">
        <v>568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572</v>
      </c>
      <c r="D370" s="52" t="s">
        <v>500</v>
      </c>
      <c r="E370" s="52" t="s">
        <v>49</v>
      </c>
      <c r="G370" s="106">
        <f>VLOOKUP($A370, Stat!$A$1:$C$501, 2,0)</f>
        <v>17</v>
      </c>
      <c r="H370" s="106">
        <f>VLOOKUP($A370, Stat!$A$1:$C$501, 3,0)</f>
        <v>1</v>
      </c>
      <c r="P370" s="52">
        <v>0</v>
      </c>
      <c r="Q370" s="52">
        <v>0</v>
      </c>
      <c r="R370" s="52" t="s">
        <v>565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572</v>
      </c>
      <c r="D371" s="52" t="s">
        <v>500</v>
      </c>
      <c r="E371" s="52" t="s">
        <v>50</v>
      </c>
      <c r="G371" s="106">
        <f>VLOOKUP($A371, Stat!$A$1:$C$501, 2,0)</f>
        <v>21</v>
      </c>
      <c r="H371" s="106">
        <f>VLOOKUP($A371, Stat!$A$1:$C$501, 3,0)</f>
        <v>1</v>
      </c>
      <c r="M371" s="48">
        <v>371</v>
      </c>
      <c r="P371" s="52">
        <v>60</v>
      </c>
      <c r="Q371" s="52">
        <v>0</v>
      </c>
      <c r="R371" s="52" t="s">
        <v>565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572</v>
      </c>
      <c r="D372" s="52" t="s">
        <v>500</v>
      </c>
      <c r="E372" s="52" t="s">
        <v>23</v>
      </c>
      <c r="G372" s="106">
        <f>VLOOKUP($A372, Stat!$A$1:$C$501, 2,0)</f>
        <v>26</v>
      </c>
      <c r="H372" s="106">
        <f>VLOOKUP($A372, Stat!$A$1:$C$501, 3,0)</f>
        <v>2</v>
      </c>
      <c r="P372" s="52">
        <v>100</v>
      </c>
      <c r="Q372" s="52">
        <v>0</v>
      </c>
      <c r="R372" s="52" t="s">
        <v>565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1" sqref="C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8</v>
      </c>
      <c r="C4" s="105">
        <v>1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84</v>
      </c>
      <c r="C8" s="105">
        <v>24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462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18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181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1</v>
      </c>
    </row>
    <row r="31" spans="1:3" x14ac:dyDescent="0.25">
      <c r="A31" s="105">
        <v>29</v>
      </c>
      <c r="B31" s="105">
        <v>310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27</v>
      </c>
      <c r="C33" s="105">
        <v>1</v>
      </c>
    </row>
    <row r="34" spans="1:3" x14ac:dyDescent="0.25">
      <c r="A34" s="105">
        <v>32</v>
      </c>
      <c r="B34" s="105">
        <v>15</v>
      </c>
      <c r="C34" s="105">
        <v>3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39</v>
      </c>
      <c r="C36" s="105">
        <v>5</v>
      </c>
    </row>
    <row r="37" spans="1:3" x14ac:dyDescent="0.25">
      <c r="A37" s="105">
        <v>35</v>
      </c>
      <c r="B37" s="105">
        <v>157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155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63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24</v>
      </c>
      <c r="C56" s="105">
        <v>0</v>
      </c>
    </row>
    <row r="57" spans="1:3" x14ac:dyDescent="0.25">
      <c r="A57" s="105">
        <v>55</v>
      </c>
      <c r="B57" s="105">
        <v>40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476</v>
      </c>
      <c r="C59" s="105">
        <v>1</v>
      </c>
    </row>
    <row r="60" spans="1:3" x14ac:dyDescent="0.25">
      <c r="A60" s="105">
        <v>58</v>
      </c>
      <c r="B60" s="105">
        <v>160</v>
      </c>
      <c r="C60" s="105">
        <v>26</v>
      </c>
    </row>
    <row r="61" spans="1:3" x14ac:dyDescent="0.25">
      <c r="A61" s="105">
        <v>59</v>
      </c>
      <c r="B61" s="105">
        <v>190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24</v>
      </c>
      <c r="C65" s="105">
        <v>7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162</v>
      </c>
      <c r="C69" s="105">
        <v>34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66</v>
      </c>
      <c r="C71" s="105">
        <v>20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32</v>
      </c>
      <c r="C77" s="105">
        <v>18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554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82</v>
      </c>
      <c r="C81" s="105">
        <v>0</v>
      </c>
    </row>
    <row r="82" spans="1:3" x14ac:dyDescent="0.25">
      <c r="A82" s="105">
        <v>80</v>
      </c>
      <c r="B82" s="105">
        <v>311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47</v>
      </c>
      <c r="C84" s="105">
        <v>10</v>
      </c>
    </row>
    <row r="85" spans="1:3" x14ac:dyDescent="0.25">
      <c r="A85" s="105">
        <v>83</v>
      </c>
      <c r="B85" s="105">
        <v>182</v>
      </c>
      <c r="C85" s="105">
        <v>5</v>
      </c>
    </row>
    <row r="86" spans="1:3" x14ac:dyDescent="0.25">
      <c r="A86" s="105">
        <v>84</v>
      </c>
      <c r="B86" s="105">
        <v>98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150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94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42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31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93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140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41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170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719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48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121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175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67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16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17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285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78</v>
      </c>
      <c r="C308" s="105">
        <v>11</v>
      </c>
    </row>
    <row r="309" spans="1:3" x14ac:dyDescent="0.25">
      <c r="A309" s="105">
        <v>307</v>
      </c>
      <c r="B309" s="105">
        <v>123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21</v>
      </c>
      <c r="C320" s="105">
        <v>9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6</v>
      </c>
      <c r="C324" s="105">
        <v>2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135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35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2</v>
      </c>
      <c r="C345" s="105">
        <v>0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334</v>
      </c>
      <c r="C356" s="105">
        <v>1</v>
      </c>
    </row>
    <row r="357" spans="1:3" x14ac:dyDescent="0.25">
      <c r="A357" s="105">
        <v>355</v>
      </c>
      <c r="B357" s="105">
        <v>21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5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10</v>
      </c>
      <c r="C368" s="105">
        <v>3</v>
      </c>
    </row>
    <row r="369" spans="1:3" x14ac:dyDescent="0.25">
      <c r="A369" s="105">
        <v>367</v>
      </c>
      <c r="B369" s="105">
        <v>5</v>
      </c>
      <c r="C369" s="105">
        <v>3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5</v>
      </c>
      <c r="C371" s="105">
        <v>0</v>
      </c>
    </row>
    <row r="372" spans="1:3" x14ac:dyDescent="0.25">
      <c r="A372" s="105">
        <v>370</v>
      </c>
      <c r="B372" s="105">
        <v>3</v>
      </c>
      <c r="C372" s="105">
        <v>1</v>
      </c>
    </row>
    <row r="373" spans="1:3" x14ac:dyDescent="0.25">
      <c r="A373" s="105">
        <v>371</v>
      </c>
      <c r="B373" s="105">
        <v>17</v>
      </c>
      <c r="C373" s="105">
        <v>1</v>
      </c>
    </row>
    <row r="374" spans="1:3" x14ac:dyDescent="0.25">
      <c r="A374" s="105">
        <v>372</v>
      </c>
      <c r="B374" s="105">
        <v>21</v>
      </c>
      <c r="C374" s="105">
        <v>1</v>
      </c>
    </row>
    <row r="375" spans="1:3" x14ac:dyDescent="0.25">
      <c r="A375" s="105">
        <v>373</v>
      </c>
      <c r="B375" s="105">
        <v>26</v>
      </c>
      <c r="C375" s="105">
        <v>2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2017-12-05T18:47:44Z</dcterms:modified>
</cp:coreProperties>
</file>