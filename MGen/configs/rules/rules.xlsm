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183" i="4" l="1"/>
  <c r="N183" i="4"/>
  <c r="O129" i="4"/>
  <c r="N129" i="4"/>
  <c r="O360" i="4"/>
  <c r="N360" i="4"/>
  <c r="O359" i="4"/>
  <c r="N359" i="4"/>
  <c r="O358" i="4"/>
  <c r="N358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O355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354" i="4"/>
  <c r="N354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N353" i="4"/>
  <c r="O352" i="4"/>
  <c r="N352" i="4"/>
  <c r="O351" i="4"/>
  <c r="N351" i="4"/>
  <c r="O82" i="4"/>
  <c r="N82" i="4"/>
  <c r="O350" i="4"/>
  <c r="N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N349" i="4"/>
  <c r="O307" i="4"/>
  <c r="N307" i="4"/>
  <c r="O348" i="4"/>
  <c r="N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Suspension starting note is dissonance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Suspension resolution note is disoonance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Last leading tone in penultimate measure is dissonance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I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J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</commentList>
</comments>
</file>

<file path=xl/sharedStrings.xml><?xml version="1.0" encoding="utf-8"?>
<sst xmlns="http://schemas.openxmlformats.org/spreadsheetml/2006/main" count="2262" uniqueCount="571">
  <si>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</si>
  <si>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</si>
  <si>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</si>
  <si>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</si>
  <si>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</si>
  <si>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</si>
  <si>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</si>
  <si>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</si>
  <si>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</si>
  <si>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</si>
  <si>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</si>
  <si>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</si>
  <si>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</si>
  <si>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</si>
  <si>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</si>
  <si>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</si>
  <si>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</si>
  <si>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</si>
  <si>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</si>
  <si>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</si>
  <si>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</si>
  <si>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</si>
  <si>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</si>
  <si>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</si>
  <si>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</si>
  <si>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</si>
  <si>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</si>
  <si>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</si>
  <si>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</si>
  <si>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</si>
  <si>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</si>
  <si>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</si>
  <si>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</si>
  <si>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</si>
  <si>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</si>
  <si>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</si>
  <si>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</si>
  <si>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</si>
  <si>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</si>
  <si>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</si>
  <si>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</si>
  <si>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</si>
  <si>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</si>
  <si>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</si>
  <si>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</si>
  <si>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</si>
  <si>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</si>
  <si>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</si>
  <si>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</si>
  <si>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</si>
  <si>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</si>
  <si>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</si>
  <si>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</si>
  <si>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</si>
  <si>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</si>
  <si>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</si>
  <si>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</si>
  <si>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</si>
  <si>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</si>
  <si>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</si>
  <si>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</si>
  <si>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</si>
  <si>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</si>
  <si>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</si>
  <si>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</si>
  <si>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</si>
  <si>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</si>
  <si>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</si>
  <si>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</si>
  <si>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</si>
  <si>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</si>
  <si>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</si>
  <si>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</si>
  <si>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</si>
  <si>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</si>
  <si>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</si>
  <si>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</si>
  <si>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</si>
  <si>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</si>
  <si>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</si>
  <si>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</si>
  <si>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</si>
  <si>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</si>
  <si>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</si>
  <si>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</si>
  <si>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</si>
  <si>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</si>
  <si>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</si>
  <si>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</si>
  <si>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</si>
  <si>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</si>
  <si>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</si>
  <si>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</si>
  <si>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</si>
  <si>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</si>
  <si>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</si>
  <si>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</si>
  <si>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</si>
  <si>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</si>
  <si>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</si>
  <si>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</si>
  <si>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</si>
  <si>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</si>
  <si>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</si>
  <si>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</si>
  <si>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</si>
  <si>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</si>
  <si>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</si>
  <si>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</si>
  <si>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</si>
  <si>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</si>
  <si>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</si>
  <si>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</si>
  <si>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</si>
  <si>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</si>
  <si>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</si>
  <si>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</si>
  <si>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</si>
  <si>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</si>
  <si>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</si>
  <si>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</si>
  <si>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</si>
  <si>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</si>
  <si>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</si>
  <si>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</si>
  <si>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</si>
  <si>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</si>
  <si>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</si>
  <si>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</si>
  <si>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</si>
  <si>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</si>
  <si>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</si>
  <si>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</si>
  <si>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</si>
  <si>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</si>
  <si>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</si>
  <si>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</si>
  <si>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</si>
  <si>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</si>
  <si>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</si>
  <si>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</si>
  <si>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</si>
  <si>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</si>
  <si>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</si>
  <si>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</si>
  <si>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</si>
  <si>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</si>
  <si>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</si>
  <si>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</si>
  <si>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</si>
  <si>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</si>
  <si>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</si>
  <si>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</si>
  <si>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</si>
  <si>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</si>
  <si>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</si>
  <si>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</si>
  <si>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</si>
  <si>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</si>
  <si>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</si>
  <si>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</si>
  <si>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</si>
  <si>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</si>
  <si>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</si>
  <si>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</si>
  <si>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</si>
  <si>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</si>
  <si>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</si>
  <si>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</si>
  <si>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</si>
  <si>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</si>
  <si>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</si>
  <si>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</si>
  <si>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</si>
  <si>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</si>
  <si>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</si>
  <si>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</si>
  <si>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</si>
  <si>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</si>
  <si>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</si>
  <si>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</si>
  <si>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</si>
  <si>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</si>
  <si>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</si>
  <si>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</si>
  <si>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</si>
  <si>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</si>
  <si>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</si>
  <si>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</si>
  <si>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</si>
  <si>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</si>
  <si>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</si>
  <si>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</si>
  <si>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</si>
  <si>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</si>
  <si>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</si>
  <si>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</si>
  <si>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</si>
  <si>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</si>
  <si>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</si>
  <si>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</si>
  <si>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</si>
  <si>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</si>
  <si>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</si>
  <si>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</si>
  <si>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</si>
  <si>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</si>
  <si>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</si>
  <si>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</si>
  <si>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</si>
  <si>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</si>
  <si>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</si>
  <si>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</si>
  <si>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</si>
  <si>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</si>
  <si>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</si>
  <si>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</si>
  <si>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</si>
  <si>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</si>
  <si>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</si>
  <si>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</si>
  <si>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</si>
  <si>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</si>
  <si>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</si>
  <si>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</si>
  <si>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</si>
  <si>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</si>
  <si>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</si>
  <si>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</si>
  <si>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</si>
  <si>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</si>
  <si>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</si>
  <si>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</si>
  <si>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</si>
  <si>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</si>
  <si>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</si>
  <si>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</si>
  <si>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</si>
  <si>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</si>
  <si>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</si>
  <si>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</si>
  <si>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</si>
  <si>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</si>
  <si>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</si>
  <si>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</si>
  <si>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</si>
  <si>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</si>
  <si>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</si>
  <si>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</si>
  <si>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</si>
  <si>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</si>
  <si>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</si>
  <si>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</si>
  <si>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</si>
  <si>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</si>
  <si>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</si>
  <si>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</si>
  <si>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</si>
  <si>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</si>
  <si>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</si>
  <si>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</si>
  <si>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</si>
  <si>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</si>
  <si>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</si>
  <si>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</si>
  <si>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</si>
  <si>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</si>
  <si>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</si>
  <si>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</si>
  <si>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</si>
  <si>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</si>
  <si>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</si>
  <si>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</si>
  <si>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</si>
  <si>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</si>
  <si>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</si>
  <si>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</si>
  <si>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</si>
  <si>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</si>
  <si>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</si>
  <si>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</si>
  <si>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</si>
  <si>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</si>
  <si>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</si>
  <si>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</si>
  <si>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</si>
  <si>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</si>
  <si>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</si>
  <si>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</si>
  <si>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</si>
  <si>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</si>
  <si>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</si>
  <si>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</si>
  <si>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</si>
  <si>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</si>
  <si>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</si>
  <si>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</si>
  <si>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</si>
  <si>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</si>
  <si>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</si>
  <si>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</si>
  <si>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</si>
  <si>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</si>
  <si>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</si>
  <si>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</si>
  <si>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</si>
  <si>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</si>
  <si>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</si>
  <si>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</si>
  <si>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</si>
  <si>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</si>
  <si>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</si>
  <si>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</si>
  <si>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</si>
  <si>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</si>
  <si>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</si>
  <si>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</si>
  <si>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</si>
  <si>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</si>
  <si>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</si>
  <si>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</si>
  <si>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</si>
  <si>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</si>
  <si>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</si>
  <si>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</si>
  <si>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</si>
  <si>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</si>
  <si>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</si>
  <si>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</si>
  <si>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</si>
  <si>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</si>
  <si>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</si>
  <si>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</si>
  <si>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</si>
  <si>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</si>
  <si>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</si>
  <si>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</si>
  <si>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</si>
  <si>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</si>
  <si>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</si>
  <si>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</si>
  <si>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</si>
  <si>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</si>
  <si>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</si>
  <si>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</si>
  <si>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</si>
  <si>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</si>
  <si>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</si>
  <si>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</si>
  <si>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</si>
  <si>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</si>
  <si>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</si>
  <si>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</si>
  <si>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</si>
  <si>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</si>
  <si>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</si>
  <si>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</si>
  <si>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</si>
  <si>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</si>
  <si>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</si>
  <si>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</si>
  <si>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</si>
  <si>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</si>
  <si>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</si>
  <si>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</si>
  <si>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</si>
  <si>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</si>
  <si>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</si>
  <si>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</si>
  <si>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</si>
  <si>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</si>
  <si>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</si>
  <si>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</si>
  <si>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</si>
  <si>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</si>
  <si>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</si>
  <si>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</si>
  <si>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</si>
  <si>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</si>
  <si>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</si>
  <si>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</si>
  <si>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</si>
  <si>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</si>
  <si>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</si>
  <si>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</si>
  <si>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</si>
  <si>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</si>
  <si>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</si>
  <si>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</si>
  <si>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</si>
  <si>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</si>
  <si>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</si>
  <si>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</si>
  <si>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</si>
  <si>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</si>
  <si>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</si>
  <si>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</si>
  <si>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</si>
  <si>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</si>
  <si>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</si>
  <si>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</si>
  <si>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</si>
  <si>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</si>
  <si>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</si>
  <si>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</si>
  <si>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</si>
  <si>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</si>
  <si>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</si>
  <si>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</si>
  <si>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</si>
  <si>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</si>
  <si>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</si>
  <si>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</si>
  <si>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</si>
  <si>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</si>
  <si>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</si>
  <si>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</si>
  <si>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</si>
  <si>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</si>
  <si>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</si>
  <si>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</si>
  <si>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</si>
  <si>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</si>
  <si>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</si>
  <si>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</si>
  <si>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</si>
  <si>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</si>
  <si>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</si>
  <si>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</si>
  <si>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</si>
  <si>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</si>
  <si>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</si>
  <si>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</si>
  <si>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</si>
  <si>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</si>
  <si>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</si>
  <si>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</si>
  <si>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</si>
  <si>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</si>
  <si>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</si>
  <si>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</si>
  <si>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</si>
  <si>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</si>
  <si>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</si>
  <si>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</si>
  <si>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</si>
  <si>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</si>
  <si>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</si>
  <si>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</si>
  <si>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</si>
  <si>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</si>
  <si>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</si>
  <si>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</si>
  <si>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</si>
  <si>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</si>
  <si>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</si>
  <si>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</si>
  <si>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</si>
  <si>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</si>
  <si>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</si>
  <si>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</si>
  <si>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</si>
  <si>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</si>
  <si>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</si>
  <si>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</si>
  <si>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</si>
  <si>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</si>
  <si>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</si>
  <si>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</si>
  <si>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</si>
  <si>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</si>
  <si>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</si>
  <si>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</si>
  <si>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</si>
  <si>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</si>
  <si>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</si>
  <si>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</si>
  <si>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</si>
  <si>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</si>
  <si>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</si>
  <si>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</si>
  <si>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</si>
  <si>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</si>
  <si>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</si>
  <si>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</si>
  <si>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</si>
  <si>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</si>
  <si>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</si>
  <si>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</si>
  <si>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</si>
  <si>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</si>
  <si>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</si>
  <si>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</si>
  <si>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</si>
  <si>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</si>
  <si>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</si>
  <si>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</si>
  <si>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</si>
  <si>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</si>
  <si>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</si>
  <si>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</si>
  <si>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</si>
  <si>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</si>
  <si>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</si>
  <si>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</si>
  <si>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</si>
  <si>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</si>
  <si>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</si>
  <si>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</si>
  <si>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</si>
  <si>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</si>
  <si>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</si>
  <si>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</si>
  <si>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</si>
  <si>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</si>
  <si>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</si>
  <si>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</si>
  <si>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</si>
  <si>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</si>
  <si>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</si>
  <si>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</si>
  <si>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</si>
  <si>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</si>
  <si>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</si>
  <si>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</si>
  <si>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</si>
  <si>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</si>
  <si>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</si>
  <si>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</si>
  <si>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</si>
  <si>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</si>
  <si>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</si>
  <si>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sus start</t>
  </si>
  <si>
    <t>last LT</t>
  </si>
  <si>
    <t>sus resolut.</t>
  </si>
  <si>
    <t>Suspension starting note is dissonance</t>
  </si>
  <si>
    <t>Suspension resolution note is disoonance</t>
  </si>
  <si>
    <t>Last leading tone in penultimate measure is dissonance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</si>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</sst>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2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0" borderId="0" xfId="0" applyFont="1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77" activePane="bottomLeft" state="frozen"/>
      <selection activeCell="C37" sqref="C37"/>
      <selection pane="bottomLeft" activeCell="C95" sqref="C9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1" t="s">
        <v>63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2" t="s">
        <v>40</v>
      </c>
      <c r="E2" s="113"/>
      <c r="F2" s="113"/>
      <c r="G2" s="113"/>
      <c r="H2" s="113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10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0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0"/>
      <c r="B5" s="111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0"/>
      <c r="B6" s="111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0"/>
      <c r="B7" s="111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0"/>
      <c r="B8" s="111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0"/>
      <c r="B9" s="111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0"/>
      <c r="B10" s="111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0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0"/>
      <c r="B12" s="111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0"/>
      <c r="B13" s="111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0"/>
      <c r="B14" s="111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0"/>
      <c r="B15" s="111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0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0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0"/>
      <c r="B18" s="111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0"/>
      <c r="B19" s="111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0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0"/>
      <c r="B21" s="111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0"/>
      <c r="B22" s="111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0"/>
      <c r="B23" s="111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0"/>
      <c r="B24" s="111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0"/>
      <c r="B25" s="111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0"/>
      <c r="B26" s="111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0"/>
      <c r="B27" s="111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0"/>
      <c r="B28" s="116" t="s">
        <v>14</v>
      </c>
      <c r="C28" s="34" t="s">
        <v>386</v>
      </c>
      <c r="D28" s="119" t="s">
        <v>141</v>
      </c>
      <c r="E28" s="120"/>
      <c r="F28" s="119" t="s">
        <v>174</v>
      </c>
      <c r="G28" s="120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0"/>
      <c r="B29" s="118"/>
      <c r="C29" s="34" t="s">
        <v>409</v>
      </c>
      <c r="D29" s="114" t="s">
        <v>387</v>
      </c>
      <c r="E29" s="115"/>
      <c r="F29" s="114" t="s">
        <v>391</v>
      </c>
      <c r="G29" s="11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0"/>
      <c r="B30" s="111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0"/>
      <c r="B31" s="111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0"/>
      <c r="B32" s="111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0"/>
      <c r="B33" s="111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0"/>
      <c r="B34" s="111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0"/>
      <c r="B35" s="111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0"/>
      <c r="B36" s="116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0"/>
      <c r="B37" s="117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0"/>
      <c r="B38" s="118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0"/>
      <c r="B39" s="111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0"/>
      <c r="B40" s="111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0"/>
      <c r="B41" s="111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0"/>
      <c r="B42" s="111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0"/>
      <c r="B43" s="111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0" t="s">
        <v>41</v>
      </c>
      <c r="B44" s="111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0"/>
      <c r="B45" s="111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0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0"/>
      <c r="B47" s="111"/>
      <c r="C47" s="34" t="s">
        <v>402</v>
      </c>
      <c r="D47" s="4" t="s">
        <v>562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0"/>
      <c r="B48" s="111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0"/>
      <c r="B49" s="111"/>
      <c r="C49" s="3" t="s">
        <v>404</v>
      </c>
      <c r="D49" s="104" t="s">
        <v>542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0"/>
      <c r="B50" s="111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0"/>
      <c r="B51" s="111" t="s">
        <v>531</v>
      </c>
      <c r="C51" s="34" t="s">
        <v>544</v>
      </c>
      <c r="D51" s="4" t="s">
        <v>543</v>
      </c>
      <c r="E51" s="77" t="s">
        <v>546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0"/>
      <c r="B52" s="111"/>
      <c r="C52" s="34" t="s">
        <v>73</v>
      </c>
      <c r="D52" s="19" t="s">
        <v>549</v>
      </c>
      <c r="E52" s="19" t="s">
        <v>550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0"/>
      <c r="B53" s="111"/>
      <c r="C53" s="34" t="s">
        <v>74</v>
      </c>
      <c r="D53" s="21" t="s">
        <v>548</v>
      </c>
      <c r="E53" s="82" t="s">
        <v>547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0"/>
      <c r="B54" s="111"/>
      <c r="C54" s="34" t="s">
        <v>75</v>
      </c>
      <c r="D54" s="79" t="s">
        <v>545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1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1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540</v>
      </c>
      <c r="E70" s="40" t="s">
        <v>541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9" t="s">
        <v>65</v>
      </c>
      <c r="E71" s="79" t="s">
        <v>532</v>
      </c>
      <c r="F71" s="79" t="s">
        <v>534</v>
      </c>
      <c r="G71" s="77" t="s">
        <v>533</v>
      </c>
      <c r="H71" s="77" t="s">
        <v>475</v>
      </c>
      <c r="I71" s="79" t="s">
        <v>341</v>
      </c>
      <c r="J71" s="40" t="s">
        <v>465</v>
      </c>
      <c r="K71" s="3"/>
      <c r="L71" s="4"/>
      <c r="M71" s="22"/>
      <c r="O71" s="2">
        <v>83</v>
      </c>
      <c r="P71" s="2">
        <v>359</v>
      </c>
      <c r="Q71" s="2">
        <v>360</v>
      </c>
      <c r="R71" s="2">
        <v>361</v>
      </c>
      <c r="S71" s="2">
        <v>223</v>
      </c>
      <c r="T71" s="2">
        <v>224</v>
      </c>
      <c r="U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551</v>
      </c>
      <c r="E74" s="19" t="s">
        <v>552</v>
      </c>
      <c r="F74" s="82" t="s">
        <v>553</v>
      </c>
      <c r="G74" s="78" t="s">
        <v>554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1"/>
      <c r="C75" s="34" t="s">
        <v>530</v>
      </c>
      <c r="D75" s="19" t="s">
        <v>551</v>
      </c>
      <c r="E75" s="19" t="s">
        <v>552</v>
      </c>
      <c r="F75" s="7" t="s">
        <v>553</v>
      </c>
      <c r="G75" s="78" t="s">
        <v>554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2" t="s">
        <v>556</v>
      </c>
      <c r="E78" s="82" t="s">
        <v>555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6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7"/>
      <c r="C85" s="3" t="s">
        <v>252</v>
      </c>
      <c r="D85" s="8" t="s">
        <v>441</v>
      </c>
      <c r="E85" s="77" t="s">
        <v>256</v>
      </c>
      <c r="F85" s="77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7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7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7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8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1"/>
      <c r="C93" s="3" t="s">
        <v>487</v>
      </c>
      <c r="D93" s="70" t="s">
        <v>490</v>
      </c>
      <c r="E93" s="70" t="s">
        <v>488</v>
      </c>
      <c r="F93" s="70" t="s">
        <v>561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1"/>
      <c r="C94" s="3" t="s">
        <v>564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1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60"/>
  <sheetViews>
    <sheetView tabSelected="1" zoomScale="130" zoomScaleNormal="130" workbookViewId="0">
      <pane ySplit="1" topLeftCell="A341" activePane="bottomLeft" state="frozen"/>
      <selection pane="bottomLeft" activeCell="H360" sqref="H360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21.88671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9.21875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569</v>
      </c>
      <c r="O1" s="48" t="s">
        <v>570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9">
        <f>VLOOKUP($A2, Stat!$A$1:$C$501, 2,0)</f>
        <v>632</v>
      </c>
      <c r="O2" s="109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9">
        <f>VLOOKUP($A3, Stat!$A$1:$C$501, 2,0)</f>
        <v>491</v>
      </c>
      <c r="O3" s="109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9">
        <f>VLOOKUP($A4, Stat!$A$1:$C$501, 2,0)</f>
        <v>442</v>
      </c>
      <c r="O4" s="109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9">
        <f>VLOOKUP($A5, Stat!$A$1:$C$501, 2,0)</f>
        <v>391</v>
      </c>
      <c r="O5" s="109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551</v>
      </c>
      <c r="H6" s="61"/>
      <c r="N6" s="109">
        <f>VLOOKUP($A6, Stat!$A$1:$C$501, 2,0)</f>
        <v>287</v>
      </c>
      <c r="O6" s="109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9">
        <f>VLOOKUP($A7, Stat!$A$1:$C$501, 2,0)</f>
        <v>279</v>
      </c>
      <c r="O7" s="109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9">
        <f>VLOOKUP($A8, Stat!$A$1:$C$501, 2,0)</f>
        <v>275</v>
      </c>
      <c r="O8" s="109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9">
        <f>VLOOKUP($A9, Stat!$A$1:$C$501, 2,0)</f>
        <v>254</v>
      </c>
      <c r="O9" s="109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551</v>
      </c>
      <c r="H10" s="61"/>
      <c r="N10" s="109">
        <f>VLOOKUP($A10, Stat!$A$1:$C$501, 2,0)</f>
        <v>247</v>
      </c>
      <c r="O10" s="109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9">
        <f>VLOOKUP($A11, Stat!$A$1:$C$501, 2,0)</f>
        <v>190</v>
      </c>
      <c r="O11" s="109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549</v>
      </c>
      <c r="F12" s="51"/>
      <c r="H12" s="49">
        <v>1</v>
      </c>
      <c r="K12" s="51"/>
      <c r="L12" s="51"/>
      <c r="M12" s="51"/>
      <c r="N12" s="109">
        <f>VLOOKUP($A12, Stat!$A$1:$C$501, 2,0)</f>
        <v>177</v>
      </c>
      <c r="O12" s="109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9">
        <f>VLOOKUP($A13, Stat!$A$1:$C$501, 2,0)</f>
        <v>175</v>
      </c>
      <c r="O13" s="109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9">
        <f>VLOOKUP($A14, Stat!$A$1:$C$501, 2,0)</f>
        <v>175</v>
      </c>
      <c r="O14" s="109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9">
        <f>VLOOKUP($A15, Stat!$A$1:$C$501, 2,0)</f>
        <v>174</v>
      </c>
      <c r="O15" s="109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9">
        <f>VLOOKUP($A16, Stat!$A$1:$C$501, 2,0)</f>
        <v>159</v>
      </c>
      <c r="O16" s="109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9">
        <f>VLOOKUP($A17, Stat!$A$1:$C$501, 2,0)</f>
        <v>158</v>
      </c>
      <c r="O17" s="109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9">
        <f>VLOOKUP($A18, Stat!$A$1:$C$501, 2,0)</f>
        <v>153</v>
      </c>
      <c r="O18" s="109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9">
        <f>VLOOKUP($A19, Stat!$A$1:$C$501, 2,0)</f>
        <v>153</v>
      </c>
      <c r="O19" s="109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9">
        <f>VLOOKUP($A20, Stat!$A$1:$C$501, 2,0)</f>
        <v>146</v>
      </c>
      <c r="O20" s="109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9">
        <f>VLOOKUP($A21, Stat!$A$1:$C$501, 2,0)</f>
        <v>138</v>
      </c>
      <c r="O21" s="109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9">
        <f>VLOOKUP($A22, Stat!$A$1:$C$501, 2,0)</f>
        <v>126</v>
      </c>
      <c r="O22" s="109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9">
        <f>VLOOKUP($A23, Stat!$A$1:$C$501, 2,0)</f>
        <v>125</v>
      </c>
      <c r="O23" s="109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9">
        <f>VLOOKUP($A24, Stat!$A$1:$C$501, 2,0)</f>
        <v>124</v>
      </c>
      <c r="O24" s="109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9">
        <f>VLOOKUP($A25, Stat!$A$1:$C$501, 2,0)</f>
        <v>124</v>
      </c>
      <c r="O25" s="109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9">
        <f>VLOOKUP($A26, Stat!$A$1:$C$501, 2,0)</f>
        <v>118</v>
      </c>
      <c r="O26" s="109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9">
        <f>VLOOKUP($A27, Stat!$A$1:$C$501, 2,0)</f>
        <v>114</v>
      </c>
      <c r="O27" s="109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9">
        <f>VLOOKUP($A28, Stat!$A$1:$C$501, 2,0)</f>
        <v>108</v>
      </c>
      <c r="O28" s="109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9">
        <f>VLOOKUP($A29, Stat!$A$1:$C$501, 2,0)</f>
        <v>104</v>
      </c>
      <c r="O29" s="109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9">
        <f>VLOOKUP($A30, Stat!$A$1:$C$501, 2,0)</f>
        <v>101</v>
      </c>
      <c r="O30" s="109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9">
        <f>VLOOKUP($A31, Stat!$A$1:$C$501, 2,0)</f>
        <v>95</v>
      </c>
      <c r="O31" s="109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9">
        <f>VLOOKUP($A32, Stat!$A$1:$C$501, 2,0)</f>
        <v>93</v>
      </c>
      <c r="O32" s="109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556</v>
      </c>
      <c r="F33" s="51"/>
      <c r="K33" s="51"/>
      <c r="L33" s="51"/>
      <c r="M33" s="51"/>
      <c r="N33" s="109">
        <f>VLOOKUP($A33, Stat!$A$1:$C$501, 2,0)</f>
        <v>92</v>
      </c>
      <c r="O33" s="109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9">
        <f>VLOOKUP($A34, Stat!$A$1:$C$501, 2,0)</f>
        <v>89</v>
      </c>
      <c r="O34" s="109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9">
        <f>VLOOKUP($A35, Stat!$A$1:$C$501, 2,0)</f>
        <v>88</v>
      </c>
      <c r="O35" s="109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9">
        <f>VLOOKUP($A36, Stat!$A$1:$C$501, 2,0)</f>
        <v>84</v>
      </c>
      <c r="O36" s="109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9">
        <f>VLOOKUP($A37, Stat!$A$1:$C$501, 2,0)</f>
        <v>84</v>
      </c>
      <c r="O37" s="109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9">
        <f>VLOOKUP($A38, Stat!$A$1:$C$501, 2,0)</f>
        <v>80</v>
      </c>
      <c r="O38" s="109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9">
        <f>VLOOKUP($A39, Stat!$A$1:$C$501, 2,0)</f>
        <v>79</v>
      </c>
      <c r="O39" s="109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9">
        <f>VLOOKUP($A40, Stat!$A$1:$C$501, 2,0)</f>
        <v>78</v>
      </c>
      <c r="O40" s="109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9">
        <f>VLOOKUP($A41, Stat!$A$1:$C$501, 2,0)</f>
        <v>77</v>
      </c>
      <c r="O41" s="109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9">
        <f>VLOOKUP($A42, Stat!$A$1:$C$501, 2,0)</f>
        <v>75</v>
      </c>
      <c r="O42" s="109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9">
        <f>VLOOKUP($A43, Stat!$A$1:$C$501, 2,0)</f>
        <v>75</v>
      </c>
      <c r="O43" s="109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9">
        <f>VLOOKUP($A44, Stat!$A$1:$C$501, 2,0)</f>
        <v>69</v>
      </c>
      <c r="O44" s="109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562</v>
      </c>
      <c r="F45" s="49">
        <v>1</v>
      </c>
      <c r="N45" s="109">
        <f>VLOOKUP($A45, Stat!$A$1:$C$501, 2,0)</f>
        <v>66</v>
      </c>
      <c r="O45" s="109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9">
        <f>VLOOKUP($A46, Stat!$A$1:$C$501, 2,0)</f>
        <v>65</v>
      </c>
      <c r="O46" s="109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9">
        <f>VLOOKUP($A47, Stat!$A$1:$C$501, 2,0)</f>
        <v>64</v>
      </c>
      <c r="O47" s="109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9">
        <f>VLOOKUP($A48, Stat!$A$1:$C$501, 2,0)</f>
        <v>63</v>
      </c>
      <c r="O48" s="109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9">
        <f>VLOOKUP($A49, Stat!$A$1:$C$501, 2,0)</f>
        <v>63</v>
      </c>
      <c r="O49" s="109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9">
        <f>VLOOKUP($A50, Stat!$A$1:$C$501, 2,0)</f>
        <v>63</v>
      </c>
      <c r="O50" s="109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9">
        <f>VLOOKUP($A51, Stat!$A$1:$C$501, 2,0)</f>
        <v>62</v>
      </c>
      <c r="O51" s="109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9">
        <f>VLOOKUP($A52, Stat!$A$1:$C$501, 2,0)</f>
        <v>62</v>
      </c>
      <c r="O52" s="109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9">
        <f>VLOOKUP($A53, Stat!$A$1:$C$501, 2,0)</f>
        <v>61</v>
      </c>
      <c r="O53" s="109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9">
        <f>VLOOKUP($A54, Stat!$A$1:$C$501, 2,0)</f>
        <v>60</v>
      </c>
      <c r="O54" s="109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9">
        <f>VLOOKUP($A55, Stat!$A$1:$C$501, 2,0)</f>
        <v>59</v>
      </c>
      <c r="O55" s="109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9">
        <f>VLOOKUP($A56, Stat!$A$1:$C$501, 2,0)</f>
        <v>59</v>
      </c>
      <c r="O56" s="109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9">
        <f>VLOOKUP($A57, Stat!$A$1:$C$501, 2,0)</f>
        <v>58</v>
      </c>
      <c r="O57" s="109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547</v>
      </c>
      <c r="F58" s="51"/>
      <c r="H58" s="49">
        <v>1</v>
      </c>
      <c r="K58" s="51"/>
      <c r="L58" s="51"/>
      <c r="M58" s="51"/>
      <c r="N58" s="109">
        <f>VLOOKUP($A58, Stat!$A$1:$C$501, 2,0)</f>
        <v>57</v>
      </c>
      <c r="O58" s="109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9">
        <f>VLOOKUP($A59, Stat!$A$1:$C$501, 2,0)</f>
        <v>57</v>
      </c>
      <c r="O59" s="109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9">
        <f>VLOOKUP($A60, Stat!$A$1:$C$501, 2,0)</f>
        <v>54</v>
      </c>
      <c r="O60" s="109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9">
        <f>VLOOKUP($A61, Stat!$A$1:$C$501, 2,0)</f>
        <v>54</v>
      </c>
      <c r="O61" s="109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9">
        <f>VLOOKUP($A62, Stat!$A$1:$C$501, 2,0)</f>
        <v>53</v>
      </c>
      <c r="O62" s="109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9">
        <f>VLOOKUP($A63, Stat!$A$1:$C$501, 2,0)</f>
        <v>53</v>
      </c>
      <c r="O63" s="109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9">
        <f>VLOOKUP($A64, Stat!$A$1:$C$501, 2,0)</f>
        <v>51</v>
      </c>
      <c r="O64" s="109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9">
        <f>VLOOKUP($A65, Stat!$A$1:$C$501, 2,0)</f>
        <v>51</v>
      </c>
      <c r="O65" s="109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9">
        <f>VLOOKUP($A66, Stat!$A$1:$C$501, 2,0)</f>
        <v>51</v>
      </c>
      <c r="O66" s="109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9">
        <f>VLOOKUP($A67, Stat!$A$1:$C$501, 2,0)</f>
        <v>50</v>
      </c>
      <c r="O67" s="109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544</v>
      </c>
      <c r="E68" s="57" t="s">
        <v>297</v>
      </c>
      <c r="F68" s="51"/>
      <c r="H68" s="49">
        <v>1</v>
      </c>
      <c r="K68" s="51"/>
      <c r="L68" s="51"/>
      <c r="M68" s="51"/>
      <c r="N68" s="109">
        <f>VLOOKUP($A68, Stat!$A$1:$C$501, 2,0)</f>
        <v>50</v>
      </c>
      <c r="O68" s="109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9">
        <f>VLOOKUP($A69, Stat!$A$1:$C$501, 2,0)</f>
        <v>49</v>
      </c>
      <c r="O69" s="109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9">
        <f>VLOOKUP($A70, Stat!$A$1:$C$501, 2,0)</f>
        <v>48</v>
      </c>
      <c r="O70" s="109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9">
        <f>VLOOKUP($A71, Stat!$A$1:$C$501, 2,0)</f>
        <v>47</v>
      </c>
      <c r="O71" s="109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9">
        <f>VLOOKUP($A72, Stat!$A$1:$C$501, 2,0)</f>
        <v>46</v>
      </c>
      <c r="O72" s="109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9">
        <f>VLOOKUP($A73, Stat!$A$1:$C$501, 2,0)</f>
        <v>45</v>
      </c>
      <c r="O73" s="109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9">
        <f>VLOOKUP($A74, Stat!$A$1:$C$501, 2,0)</f>
        <v>45</v>
      </c>
      <c r="O74" s="109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9">
        <f>VLOOKUP($A75, Stat!$A$1:$C$501, 2,0)</f>
        <v>45</v>
      </c>
      <c r="O75" s="109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9">
        <f>VLOOKUP($A76, Stat!$A$1:$C$501, 2,0)</f>
        <v>45</v>
      </c>
      <c r="O76" s="109">
        <f>VLOOKUP($A76, Stat!$A$1:$C$501, 3,0)</f>
        <v>16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561</v>
      </c>
      <c r="G77" s="49">
        <v>1</v>
      </c>
      <c r="N77" s="109">
        <f>VLOOKUP($A77, Stat!$A$1:$C$501, 2,0)</f>
        <v>45</v>
      </c>
      <c r="O77" s="109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9">
        <f>VLOOKUP($A78, Stat!$A$1:$C$501, 2,0)</f>
        <v>44</v>
      </c>
      <c r="O78" s="109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9">
        <f>VLOOKUP($A79, Stat!$A$1:$C$501, 2,0)</f>
        <v>44</v>
      </c>
      <c r="O79" s="109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9">
        <f>VLOOKUP($A80, Stat!$A$1:$C$501, 2,0)</f>
        <v>44</v>
      </c>
      <c r="O80" s="109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9">
        <f>VLOOKUP($A81, Stat!$A$1:$C$501, 2,0)</f>
        <v>44</v>
      </c>
      <c r="O81" s="109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9">
        <f>VLOOKUP($A82, Stat!$A$1:$C$501, 2,0)</f>
        <v>43</v>
      </c>
      <c r="O82" s="109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9">
        <f>VLOOKUP($A83, Stat!$A$1:$C$501, 2,0)</f>
        <v>42</v>
      </c>
      <c r="O83" s="109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552</v>
      </c>
      <c r="H84" s="49">
        <v>1</v>
      </c>
      <c r="N84" s="109">
        <f>VLOOKUP($A84, Stat!$A$1:$C$501, 2,0)</f>
        <v>42</v>
      </c>
      <c r="O84" s="109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9">
        <f>VLOOKUP($A85, Stat!$A$1:$C$501, 2,0)</f>
        <v>42</v>
      </c>
      <c r="O85" s="109">
        <f>VLOOKUP($A85, Stat!$A$1:$C$501, 3,0)</f>
        <v>8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9">
        <f>VLOOKUP($A86, Stat!$A$1:$C$501, 2,0)</f>
        <v>41</v>
      </c>
      <c r="O86" s="109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9">
        <f>VLOOKUP($A87, Stat!$A$1:$C$501, 2,0)</f>
        <v>40</v>
      </c>
      <c r="O87" s="109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550</v>
      </c>
      <c r="F88" s="51"/>
      <c r="H88" s="49">
        <v>1</v>
      </c>
      <c r="K88" s="51"/>
      <c r="L88" s="51"/>
      <c r="M88" s="51"/>
      <c r="N88" s="109">
        <f>VLOOKUP($A88, Stat!$A$1:$C$501, 2,0)</f>
        <v>39</v>
      </c>
      <c r="O88" s="109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9">
        <f>VLOOKUP($A89, Stat!$A$1:$C$501, 2,0)</f>
        <v>38</v>
      </c>
      <c r="O89" s="109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9">
        <f>VLOOKUP($A90, Stat!$A$1:$C$501, 2,0)</f>
        <v>38</v>
      </c>
      <c r="O90" s="109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9">
        <f>VLOOKUP($A91, Stat!$A$1:$C$501, 2,0)</f>
        <v>38</v>
      </c>
      <c r="O91" s="109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9">
        <f>VLOOKUP($A92, Stat!$A$1:$C$501, 2,0)</f>
        <v>37</v>
      </c>
      <c r="O92" s="109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9">
        <f>VLOOKUP($A93, Stat!$A$1:$C$501, 2,0)</f>
        <v>36</v>
      </c>
      <c r="O93" s="109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9">
        <f>VLOOKUP($A94, Stat!$A$1:$C$501, 2,0)</f>
        <v>36</v>
      </c>
      <c r="O94" s="109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9">
        <f>VLOOKUP($A95, Stat!$A$1:$C$501, 2,0)</f>
        <v>36</v>
      </c>
      <c r="O95" s="109">
        <f>VLOOKUP($A95, Stat!$A$1:$C$501, 3,0)</f>
        <v>8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9">
        <f>VLOOKUP($A96, Stat!$A$1:$C$501, 2,0)</f>
        <v>35</v>
      </c>
      <c r="O96" s="109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9">
        <f>VLOOKUP($A97, Stat!$A$1:$C$501, 2,0)</f>
        <v>35</v>
      </c>
      <c r="O97" s="109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9">
        <f>VLOOKUP($A98, Stat!$A$1:$C$501, 2,0)</f>
        <v>35</v>
      </c>
      <c r="O98" s="109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9">
        <f>VLOOKUP($A99, Stat!$A$1:$C$501, 2,0)</f>
        <v>35</v>
      </c>
      <c r="O99" s="109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9">
        <f>VLOOKUP($A100, Stat!$A$1:$C$501, 2,0)</f>
        <v>34</v>
      </c>
      <c r="O100" s="109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9">
        <f>VLOOKUP($A101, Stat!$A$1:$C$501, 2,0)</f>
        <v>34</v>
      </c>
      <c r="O101" s="109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9">
        <f>VLOOKUP($A102, Stat!$A$1:$C$501, 2,0)</f>
        <v>34</v>
      </c>
      <c r="O102" s="109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9">
        <f>VLOOKUP($A103, Stat!$A$1:$C$501, 2,0)</f>
        <v>34</v>
      </c>
      <c r="O103" s="109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9">
        <f>VLOOKUP($A104, Stat!$A$1:$C$501, 2,0)</f>
        <v>32</v>
      </c>
      <c r="O104" s="109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9">
        <f>VLOOKUP($A105, Stat!$A$1:$C$501, 2,0)</f>
        <v>32</v>
      </c>
      <c r="O105" s="109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9">
        <f>VLOOKUP($A106, Stat!$A$1:$C$501, 2,0)</f>
        <v>32</v>
      </c>
      <c r="O106" s="109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555</v>
      </c>
      <c r="F107" s="51"/>
      <c r="H107" s="49">
        <v>1</v>
      </c>
      <c r="K107" s="51"/>
      <c r="L107" s="51"/>
      <c r="M107" s="51"/>
      <c r="N107" s="109">
        <f>VLOOKUP($A107, Stat!$A$1:$C$501, 2,0)</f>
        <v>30</v>
      </c>
      <c r="O107" s="109">
        <f>VLOOKUP($A107, Stat!$A$1:$C$501, 3,0)</f>
        <v>17</v>
      </c>
      <c r="P107" s="53">
        <v>30</v>
      </c>
      <c r="Q107" s="53">
        <v>0</v>
      </c>
      <c r="S107" s="53" t="s">
        <v>558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9">
        <f>VLOOKUP($A108, Stat!$A$1:$C$501, 2,0)</f>
        <v>30</v>
      </c>
      <c r="O108" s="109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9">
        <f>VLOOKUP($A109, Stat!$A$1:$C$501, 2,0)</f>
        <v>30</v>
      </c>
      <c r="O109" s="109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9">
        <f>VLOOKUP($A110, Stat!$A$1:$C$501, 2,0)</f>
        <v>30</v>
      </c>
      <c r="O110" s="109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9">
        <f>VLOOKUP($A111, Stat!$A$1:$C$501, 2,0)</f>
        <v>29</v>
      </c>
      <c r="O111" s="109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9">
        <f>VLOOKUP($A112, Stat!$A$1:$C$501, 2,0)</f>
        <v>29</v>
      </c>
      <c r="O112" s="109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9">
        <f>VLOOKUP($A113, Stat!$A$1:$C$501, 2,0)</f>
        <v>28</v>
      </c>
      <c r="O113" s="109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9">
        <f>VLOOKUP($A114, Stat!$A$1:$C$501, 2,0)</f>
        <v>28</v>
      </c>
      <c r="O114" s="109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9">
        <f>VLOOKUP($A115, Stat!$A$1:$C$501, 2,0)</f>
        <v>28</v>
      </c>
      <c r="O115" s="109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9">
        <f>VLOOKUP($A116, Stat!$A$1:$C$501, 2,0)</f>
        <v>27</v>
      </c>
      <c r="O116" s="109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9">
        <f>VLOOKUP($A117, Stat!$A$1:$C$501, 2,0)</f>
        <v>27</v>
      </c>
      <c r="O117" s="109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9">
        <f>VLOOKUP($A118, Stat!$A$1:$C$501, 2,0)</f>
        <v>27</v>
      </c>
      <c r="O118" s="109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9">
        <f>VLOOKUP($A119, Stat!$A$1:$C$501, 2,0)</f>
        <v>27</v>
      </c>
      <c r="O119" s="109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9">
        <f>VLOOKUP($A120, Stat!$A$1:$C$501, 2,0)</f>
        <v>26</v>
      </c>
      <c r="O120" s="109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9">
        <f>VLOOKUP($A121, Stat!$A$1:$C$501, 2,0)</f>
        <v>26</v>
      </c>
      <c r="O121" s="109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9">
        <f>VLOOKUP($A122, Stat!$A$1:$C$501, 2,0)</f>
        <v>26</v>
      </c>
      <c r="O122" s="109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9">
        <f>VLOOKUP($A123, Stat!$A$1:$C$501, 2,0)</f>
        <v>26</v>
      </c>
      <c r="O123" s="109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9">
        <f>VLOOKUP($A124, Stat!$A$1:$C$501, 2,0)</f>
        <v>26</v>
      </c>
      <c r="O124" s="109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9">
        <f>VLOOKUP($A125, Stat!$A$1:$C$501, 2,0)</f>
        <v>25</v>
      </c>
      <c r="O125" s="109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9">
        <f>VLOOKUP($A126, Stat!$A$1:$C$501, 2,0)</f>
        <v>25</v>
      </c>
      <c r="O126" s="109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9">
        <f>VLOOKUP($A127, Stat!$A$1:$C$501, 2,0)</f>
        <v>25</v>
      </c>
      <c r="O127" s="109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9">
        <f>VLOOKUP($A128, Stat!$A$1:$C$501, 2,0)</f>
        <v>25</v>
      </c>
      <c r="O128" s="109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9">
        <f>VLOOKUP($A129, Stat!$A$1:$C$501, 2,0)</f>
        <v>24</v>
      </c>
      <c r="O129" s="109">
        <f>VLOOKUP($A129, Stat!$A$1:$C$501, 3,0)</f>
        <v>2</v>
      </c>
      <c r="P129" s="53">
        <v>70</v>
      </c>
      <c r="Q129" s="53">
        <v>0</v>
      </c>
      <c r="S129" s="53" t="s">
        <v>563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545</v>
      </c>
      <c r="F130" s="51"/>
      <c r="H130" s="49">
        <v>1</v>
      </c>
      <c r="K130" s="51"/>
      <c r="L130" s="51"/>
      <c r="M130" s="51"/>
      <c r="N130" s="109">
        <f>VLOOKUP($A130, Stat!$A$1:$C$501, 2,0)</f>
        <v>24</v>
      </c>
      <c r="O130" s="109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9">
        <f>VLOOKUP($A131, Stat!$A$1:$C$501, 2,0)</f>
        <v>24</v>
      </c>
      <c r="O131" s="109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9">
        <f>VLOOKUP($A132, Stat!$A$1:$C$501, 2,0)</f>
        <v>24</v>
      </c>
      <c r="O132" s="109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9">
        <f>VLOOKUP($A133, Stat!$A$1:$C$501, 2,0)</f>
        <v>24</v>
      </c>
      <c r="O133" s="109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9">
        <f>VLOOKUP($A134, Stat!$A$1:$C$501, 2,0)</f>
        <v>24</v>
      </c>
      <c r="O134" s="109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9">
        <f>VLOOKUP($A135, Stat!$A$1:$C$501, 2,0)</f>
        <v>23</v>
      </c>
      <c r="O135" s="109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9">
        <f>VLOOKUP($A136, Stat!$A$1:$C$501, 2,0)</f>
        <v>23</v>
      </c>
      <c r="O136" s="109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9">
        <f>VLOOKUP($A137, Stat!$A$1:$C$501, 2,0)</f>
        <v>23</v>
      </c>
      <c r="O137" s="109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9">
        <f>VLOOKUP($A138, Stat!$A$1:$C$501, 2,0)</f>
        <v>23</v>
      </c>
      <c r="O138" s="109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9">
        <f>VLOOKUP($A139, Stat!$A$1:$C$501, 2,0)</f>
        <v>23</v>
      </c>
      <c r="O139" s="109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9">
        <f>VLOOKUP($A140, Stat!$A$1:$C$501, 2,0)</f>
        <v>22</v>
      </c>
      <c r="O140" s="109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9">
        <f>VLOOKUP($A141, Stat!$A$1:$C$501, 2,0)</f>
        <v>22</v>
      </c>
      <c r="O141" s="109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9">
        <f>VLOOKUP($A142, Stat!$A$1:$C$501, 2,0)</f>
        <v>22</v>
      </c>
      <c r="O142" s="109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9">
        <f>VLOOKUP($A143, Stat!$A$1:$C$501, 2,0)</f>
        <v>22</v>
      </c>
      <c r="O143" s="109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9">
        <f>VLOOKUP($A144, Stat!$A$1:$C$501, 2,0)</f>
        <v>22</v>
      </c>
      <c r="O144" s="109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9">
        <f>VLOOKUP($A145, Stat!$A$1:$C$501, 2,0)</f>
        <v>22</v>
      </c>
      <c r="O145" s="109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9">
        <f>VLOOKUP($A146, Stat!$A$1:$C$501, 2,0)</f>
        <v>22</v>
      </c>
      <c r="O146" s="109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9">
        <f>VLOOKUP($A147, Stat!$A$1:$C$501, 2,0)</f>
        <v>21</v>
      </c>
      <c r="O147" s="109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9">
        <f>VLOOKUP($A148, Stat!$A$1:$C$501, 2,0)</f>
        <v>21</v>
      </c>
      <c r="O148" s="109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9">
        <f>VLOOKUP($A149, Stat!$A$1:$C$501, 2,0)</f>
        <v>21</v>
      </c>
      <c r="O149" s="109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9">
        <f>VLOOKUP($A150, Stat!$A$1:$C$501, 2,0)</f>
        <v>21</v>
      </c>
      <c r="O150" s="109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9">
        <f>VLOOKUP($A151, Stat!$A$1:$C$501, 2,0)</f>
        <v>21</v>
      </c>
      <c r="O151" s="109">
        <f>VLOOKUP($A151, Stat!$A$1:$C$501, 3,0)</f>
        <v>12</v>
      </c>
      <c r="P151" s="53">
        <v>60</v>
      </c>
      <c r="Q151" s="53">
        <v>0</v>
      </c>
      <c r="S151" s="53" t="s">
        <v>560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9">
        <f>VLOOKUP($A152, Stat!$A$1:$C$501, 2,0)</f>
        <v>20</v>
      </c>
      <c r="O152" s="109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9">
        <f>VLOOKUP($A153, Stat!$A$1:$C$501, 2,0)</f>
        <v>20</v>
      </c>
      <c r="O153" s="109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9">
        <f>VLOOKUP($A154, Stat!$A$1:$C$501, 2,0)</f>
        <v>20</v>
      </c>
      <c r="O154" s="109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9">
        <f>VLOOKUP($A155, Stat!$A$1:$C$501, 2,0)</f>
        <v>20</v>
      </c>
      <c r="O155" s="109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552</v>
      </c>
      <c r="N156" s="109">
        <f>VLOOKUP($A156, Stat!$A$1:$C$501, 2,0)</f>
        <v>20</v>
      </c>
      <c r="O156" s="109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9">
        <f>VLOOKUP($A157, Stat!$A$1:$C$501, 2,0)</f>
        <v>19</v>
      </c>
      <c r="O157" s="109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548</v>
      </c>
      <c r="F158" s="51"/>
      <c r="H158" s="49">
        <v>1</v>
      </c>
      <c r="K158" s="51"/>
      <c r="L158" s="51"/>
      <c r="M158" s="51"/>
      <c r="N158" s="109">
        <f>VLOOKUP($A158, Stat!$A$1:$C$501, 2,0)</f>
        <v>19</v>
      </c>
      <c r="O158" s="109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9">
        <f>VLOOKUP($A159, Stat!$A$1:$C$501, 2,0)</f>
        <v>19</v>
      </c>
      <c r="O159" s="109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9">
        <f>VLOOKUP($A160, Stat!$A$1:$C$501, 2,0)</f>
        <v>19</v>
      </c>
      <c r="O160" s="109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9">
        <f>VLOOKUP($A161, Stat!$A$1:$C$501, 2,0)</f>
        <v>19</v>
      </c>
      <c r="O161" s="109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9">
        <f>VLOOKUP($A162, Stat!$A$1:$C$501, 2,0)</f>
        <v>19</v>
      </c>
      <c r="O162" s="109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9">
        <f>VLOOKUP($A163, Stat!$A$1:$C$501, 2,0)</f>
        <v>19</v>
      </c>
      <c r="O163" s="109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9">
        <f>VLOOKUP($A164, Stat!$A$1:$C$501, 2,0)</f>
        <v>19</v>
      </c>
      <c r="O164" s="109">
        <f>VLOOKUP($A164, Stat!$A$1:$C$501, 3,0)</f>
        <v>10</v>
      </c>
      <c r="P164" s="53">
        <v>60</v>
      </c>
      <c r="Q164" s="53">
        <v>0</v>
      </c>
      <c r="S164" s="53" t="s">
        <v>559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9">
        <f>VLOOKUP($A165, Stat!$A$1:$C$501, 2,0)</f>
        <v>18</v>
      </c>
      <c r="O165" s="109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9">
        <f>VLOOKUP($A166, Stat!$A$1:$C$501, 2,0)</f>
        <v>18</v>
      </c>
      <c r="O166" s="109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9">
        <f>VLOOKUP($A167, Stat!$A$1:$C$501, 2,0)</f>
        <v>18</v>
      </c>
      <c r="O167" s="109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9">
        <f>VLOOKUP($A168, Stat!$A$1:$C$501, 2,0)</f>
        <v>18</v>
      </c>
      <c r="O168" s="109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9">
        <f>VLOOKUP($A169, Stat!$A$1:$C$501, 2,0)</f>
        <v>18</v>
      </c>
      <c r="O169" s="109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9">
        <f>VLOOKUP($A170, Stat!$A$1:$C$501, 2,0)</f>
        <v>18</v>
      </c>
      <c r="O170" s="109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553</v>
      </c>
      <c r="H171" s="49">
        <v>1</v>
      </c>
      <c r="N171" s="109">
        <f>VLOOKUP($A171, Stat!$A$1:$C$501, 2,0)</f>
        <v>18</v>
      </c>
      <c r="O171" s="109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9">
        <f>VLOOKUP($A172, Stat!$A$1:$C$501, 2,0)</f>
        <v>18</v>
      </c>
      <c r="O172" s="109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9">
        <f>VLOOKUP($A173, Stat!$A$1:$C$501, 2,0)</f>
        <v>18</v>
      </c>
      <c r="O173" s="109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9">
        <f>VLOOKUP($A174, Stat!$A$1:$C$501, 2,0)</f>
        <v>17</v>
      </c>
      <c r="O174" s="109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9">
        <f>VLOOKUP($A175, Stat!$A$1:$C$501, 2,0)</f>
        <v>17</v>
      </c>
      <c r="O175" s="109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9">
        <f>VLOOKUP($A176, Stat!$A$1:$C$501, 2,0)</f>
        <v>17</v>
      </c>
      <c r="O176" s="109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9">
        <f>VLOOKUP($A177, Stat!$A$1:$C$501, 2,0)</f>
        <v>17</v>
      </c>
      <c r="O177" s="109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9">
        <f>VLOOKUP($A178, Stat!$A$1:$C$501, 2,0)</f>
        <v>17</v>
      </c>
      <c r="O178" s="109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553</v>
      </c>
      <c r="N179" s="109">
        <f>VLOOKUP($A179, Stat!$A$1:$C$501, 2,0)</f>
        <v>17</v>
      </c>
      <c r="O179" s="109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9">
        <f>VLOOKUP($A180, Stat!$A$1:$C$501, 2,0)</f>
        <v>16</v>
      </c>
      <c r="O180" s="109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9">
        <f>VLOOKUP($A181, Stat!$A$1:$C$501, 2,0)</f>
        <v>16</v>
      </c>
      <c r="O181" s="109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9">
        <f>VLOOKUP($A182, Stat!$A$1:$C$501, 2,0)</f>
        <v>15</v>
      </c>
      <c r="O182" s="109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564</v>
      </c>
      <c r="E183" s="53" t="s">
        <v>52</v>
      </c>
      <c r="H183" s="49">
        <v>1</v>
      </c>
      <c r="N183" s="109">
        <f>VLOOKUP($A183, Stat!$A$1:$C$501, 2,0)</f>
        <v>15</v>
      </c>
      <c r="O183" s="109">
        <f>VLOOKUP($A183, Stat!$A$1:$C$501, 3,0)</f>
        <v>11</v>
      </c>
      <c r="P183" s="53">
        <v>60</v>
      </c>
      <c r="Q183" s="53">
        <v>0</v>
      </c>
      <c r="S183" s="53" t="s">
        <v>565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9">
        <f>VLOOKUP($A184, Stat!$A$1:$C$501, 2,0)</f>
        <v>15</v>
      </c>
      <c r="O184" s="109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9">
        <f>VLOOKUP($A185, Stat!$A$1:$C$501, 2,0)</f>
        <v>15</v>
      </c>
      <c r="O185" s="109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9">
        <f>VLOOKUP($A186, Stat!$A$1:$C$501, 2,0)</f>
        <v>15</v>
      </c>
      <c r="O186" s="109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9">
        <f>VLOOKUP($A187, Stat!$A$1:$C$501, 2,0)</f>
        <v>15</v>
      </c>
      <c r="O187" s="109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9">
        <f>VLOOKUP($A188, Stat!$A$1:$C$501, 2,0)</f>
        <v>15</v>
      </c>
      <c r="O188" s="109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9">
        <f>VLOOKUP($A189, Stat!$A$1:$C$501, 2,0)</f>
        <v>15</v>
      </c>
      <c r="O189" s="109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9">
        <f>VLOOKUP($A190, Stat!$A$1:$C$501, 2,0)</f>
        <v>14</v>
      </c>
      <c r="O190" s="109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9">
        <f>VLOOKUP($A191, Stat!$A$1:$C$501, 2,0)</f>
        <v>14</v>
      </c>
      <c r="O191" s="109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9">
        <f>VLOOKUP($A192, Stat!$A$1:$C$501, 2,0)</f>
        <v>14</v>
      </c>
      <c r="O192" s="109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9">
        <f>VLOOKUP($A193, Stat!$A$1:$C$501, 2,0)</f>
        <v>14</v>
      </c>
      <c r="O193" s="109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9">
        <f>VLOOKUP($A194, Stat!$A$1:$C$501, 2,0)</f>
        <v>14</v>
      </c>
      <c r="O194" s="109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9">
        <f>VLOOKUP($A195, Stat!$A$1:$C$501, 2,0)</f>
        <v>14</v>
      </c>
      <c r="O195" s="109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9">
        <f>VLOOKUP($A196, Stat!$A$1:$C$501, 2,0)</f>
        <v>14</v>
      </c>
      <c r="O196" s="109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9">
        <f>VLOOKUP($A197, Stat!$A$1:$C$501, 2,0)</f>
        <v>14</v>
      </c>
      <c r="O197" s="109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9">
        <f>VLOOKUP($A198, Stat!$A$1:$C$501, 2,0)</f>
        <v>13</v>
      </c>
      <c r="O198" s="109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9">
        <f>VLOOKUP($A199, Stat!$A$1:$C$501, 2,0)</f>
        <v>13</v>
      </c>
      <c r="O199" s="109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9">
        <f>VLOOKUP($A200, Stat!$A$1:$C$501, 2,0)</f>
        <v>13</v>
      </c>
      <c r="O200" s="109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9">
        <f>VLOOKUP($A201, Stat!$A$1:$C$501, 2,0)</f>
        <v>13</v>
      </c>
      <c r="O201" s="109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9">
        <f>VLOOKUP($A202, Stat!$A$1:$C$501, 2,0)</f>
        <v>13</v>
      </c>
      <c r="O202" s="109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9">
        <f>VLOOKUP($A203, Stat!$A$1:$C$501, 2,0)</f>
        <v>12</v>
      </c>
      <c r="O203" s="109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9">
        <f>VLOOKUP($A204, Stat!$A$1:$C$501, 2,0)</f>
        <v>12</v>
      </c>
      <c r="O204" s="109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9">
        <f>VLOOKUP($A205, Stat!$A$1:$C$501, 2,0)</f>
        <v>12</v>
      </c>
      <c r="O205" s="109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9">
        <f>VLOOKUP($A206, Stat!$A$1:$C$501, 2,0)</f>
        <v>12</v>
      </c>
      <c r="O206" s="109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9">
        <f>VLOOKUP($A207, Stat!$A$1:$C$501, 2,0)</f>
        <v>12</v>
      </c>
      <c r="O207" s="109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9">
        <f>VLOOKUP($A208, Stat!$A$1:$C$501, 2,0)</f>
        <v>11</v>
      </c>
      <c r="O208" s="109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9">
        <f>VLOOKUP($A209, Stat!$A$1:$C$501, 2,0)</f>
        <v>11</v>
      </c>
      <c r="O209" s="109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9">
        <f>VLOOKUP($A210, Stat!$A$1:$C$501, 2,0)</f>
        <v>11</v>
      </c>
      <c r="O210" s="109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9">
        <f>VLOOKUP($A211, Stat!$A$1:$C$501, 2,0)</f>
        <v>11</v>
      </c>
      <c r="O211" s="109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9">
        <f>VLOOKUP($A212, Stat!$A$1:$C$501, 2,0)</f>
        <v>11</v>
      </c>
      <c r="O212" s="109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9">
        <f>VLOOKUP($A213, Stat!$A$1:$C$501, 2,0)</f>
        <v>11</v>
      </c>
      <c r="O213" s="109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9">
        <f>VLOOKUP($A214, Stat!$A$1:$C$501, 2,0)</f>
        <v>11</v>
      </c>
      <c r="O214" s="109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9">
        <f>VLOOKUP($A215, Stat!$A$1:$C$501, 2,0)</f>
        <v>11</v>
      </c>
      <c r="O215" s="109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9">
        <f>VLOOKUP($A216, Stat!$A$1:$C$501, 2,0)</f>
        <v>11</v>
      </c>
      <c r="O216" s="109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9">
        <f>VLOOKUP($A217, Stat!$A$1:$C$501, 2,0)</f>
        <v>11</v>
      </c>
      <c r="O217" s="109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9">
        <f>VLOOKUP($A218, Stat!$A$1:$C$501, 2,0)</f>
        <v>11</v>
      </c>
      <c r="O218" s="109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9">
        <f>VLOOKUP($A219, Stat!$A$1:$C$501, 2,0)</f>
        <v>11</v>
      </c>
      <c r="O219" s="109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9">
        <f>VLOOKUP($A220, Stat!$A$1:$C$501, 2,0)</f>
        <v>11</v>
      </c>
      <c r="O220" s="109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9">
        <f>VLOOKUP($A221, Stat!$A$1:$C$501, 2,0)</f>
        <v>11</v>
      </c>
      <c r="O221" s="109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9">
        <f>VLOOKUP($A222, Stat!$A$1:$C$501, 2,0)</f>
        <v>10</v>
      </c>
      <c r="O222" s="109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9">
        <f>VLOOKUP($A223, Stat!$A$1:$C$501, 2,0)</f>
        <v>10</v>
      </c>
      <c r="O223" s="109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9">
        <f>VLOOKUP($A224, Stat!$A$1:$C$501, 2,0)</f>
        <v>10</v>
      </c>
      <c r="O224" s="109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9">
        <f>VLOOKUP($A225, Stat!$A$1:$C$501, 2,0)</f>
        <v>10</v>
      </c>
      <c r="O225" s="109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554</v>
      </c>
      <c r="H226" s="49">
        <v>1</v>
      </c>
      <c r="N226" s="109">
        <f>VLOOKUP($A226, Stat!$A$1:$C$501, 2,0)</f>
        <v>10</v>
      </c>
      <c r="O226" s="109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9">
        <f>VLOOKUP($A227, Stat!$A$1:$C$501, 2,0)</f>
        <v>10</v>
      </c>
      <c r="O227" s="109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9">
        <f>VLOOKUP($A228, Stat!$A$1:$C$501, 2,0)</f>
        <v>9</v>
      </c>
      <c r="O228" s="109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9">
        <f>VLOOKUP($A229, Stat!$A$1:$C$501, 2,0)</f>
        <v>9</v>
      </c>
      <c r="O229" s="109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9">
        <f>VLOOKUP($A230, Stat!$A$1:$C$501, 2,0)</f>
        <v>9</v>
      </c>
      <c r="O230" s="109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9">
        <f>VLOOKUP($A231, Stat!$A$1:$C$501, 2,0)</f>
        <v>9</v>
      </c>
      <c r="O231" s="109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9">
        <f>VLOOKUP($A232, Stat!$A$1:$C$501, 2,0)</f>
        <v>9</v>
      </c>
      <c r="O232" s="109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9">
        <f>VLOOKUP($A233, Stat!$A$1:$C$501, 2,0)</f>
        <v>8</v>
      </c>
      <c r="O233" s="109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9">
        <f>VLOOKUP($A234, Stat!$A$1:$C$501, 2,0)</f>
        <v>8</v>
      </c>
      <c r="O234" s="109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9">
        <f>VLOOKUP($A235, Stat!$A$1:$C$501, 2,0)</f>
        <v>8</v>
      </c>
      <c r="O235" s="109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540</v>
      </c>
      <c r="H236" s="49">
        <v>1</v>
      </c>
      <c r="N236" s="109">
        <f>VLOOKUP($A236, Stat!$A$1:$C$501, 2,0)</f>
        <v>8</v>
      </c>
      <c r="O236" s="109">
        <f>VLOOKUP($A236, Stat!$A$1:$C$501, 3,0)</f>
        <v>4</v>
      </c>
      <c r="P236" s="53">
        <v>0</v>
      </c>
      <c r="Q236" s="53">
        <v>1</v>
      </c>
      <c r="S236" s="53" t="s">
        <v>538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541</v>
      </c>
      <c r="H237" s="49">
        <v>1</v>
      </c>
      <c r="N237" s="109">
        <f>VLOOKUP($A237, Stat!$A$1:$C$501, 2,0)</f>
        <v>7</v>
      </c>
      <c r="O237" s="109">
        <f>VLOOKUP($A237, Stat!$A$1:$C$501, 3,0)</f>
        <v>2</v>
      </c>
      <c r="P237" s="53">
        <v>0</v>
      </c>
      <c r="Q237" s="53">
        <v>1</v>
      </c>
      <c r="S237" s="53" t="s">
        <v>539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9">
        <f>VLOOKUP($A238, Stat!$A$1:$C$501, 2,0)</f>
        <v>7</v>
      </c>
      <c r="O238" s="109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9">
        <f>VLOOKUP($A239, Stat!$A$1:$C$501, 2,0)</f>
        <v>7</v>
      </c>
      <c r="O239" s="109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9">
        <f>VLOOKUP($A240, Stat!$A$1:$C$501, 2,0)</f>
        <v>7</v>
      </c>
      <c r="O240" s="109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9">
        <f>VLOOKUP($A241, Stat!$A$1:$C$501, 2,0)</f>
        <v>7</v>
      </c>
      <c r="O241" s="109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9">
        <f>VLOOKUP($A242, Stat!$A$1:$C$501, 2,0)</f>
        <v>7</v>
      </c>
      <c r="O242" s="109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9">
        <f>VLOOKUP($A243, Stat!$A$1:$C$501, 2,0)</f>
        <v>7</v>
      </c>
      <c r="O243" s="109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9">
        <f>VLOOKUP($A244, Stat!$A$1:$C$501, 2,0)</f>
        <v>7</v>
      </c>
      <c r="O244" s="109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9">
        <f>VLOOKUP($A245, Stat!$A$1:$C$501, 2,0)</f>
        <v>7</v>
      </c>
      <c r="O245" s="109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9">
        <f>VLOOKUP($A246, Stat!$A$1:$C$501, 2,0)</f>
        <v>7</v>
      </c>
      <c r="O246" s="109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9">
        <f>VLOOKUP($A247, Stat!$A$1:$C$501, 2,0)</f>
        <v>7</v>
      </c>
      <c r="O247" s="109">
        <f>VLOOKUP($A247, Stat!$A$1:$C$501, 3,0)</f>
        <v>4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9">
        <f>VLOOKUP($A248, Stat!$A$1:$C$501, 2,0)</f>
        <v>6</v>
      </c>
      <c r="O248" s="109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9">
        <f>VLOOKUP($A249, Stat!$A$1:$C$501, 2,0)</f>
        <v>6</v>
      </c>
      <c r="O249" s="109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9">
        <f>VLOOKUP($A250, Stat!$A$1:$C$501, 2,0)</f>
        <v>6</v>
      </c>
      <c r="O250" s="109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9">
        <f>VLOOKUP($A251, Stat!$A$1:$C$501, 2,0)</f>
        <v>6</v>
      </c>
      <c r="O251" s="109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9">
        <f>VLOOKUP($A252, Stat!$A$1:$C$501, 2,0)</f>
        <v>6</v>
      </c>
      <c r="O252" s="109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9">
        <f>VLOOKUP($A253, Stat!$A$1:$C$501, 2,0)</f>
        <v>6</v>
      </c>
      <c r="O253" s="109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9">
        <f>VLOOKUP($A254, Stat!$A$1:$C$501, 2,0)</f>
        <v>6</v>
      </c>
      <c r="O254" s="109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9">
        <f>VLOOKUP($A255, Stat!$A$1:$C$501, 2,0)</f>
        <v>6</v>
      </c>
      <c r="O255" s="109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9">
        <f>VLOOKUP($A256, Stat!$A$1:$C$501, 2,0)</f>
        <v>6</v>
      </c>
      <c r="O256" s="109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9">
        <f>VLOOKUP($A257, Stat!$A$1:$C$501, 2,0)</f>
        <v>6</v>
      </c>
      <c r="O257" s="109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9">
        <f>VLOOKUP($A258, Stat!$A$1:$C$501, 2,0)</f>
        <v>6</v>
      </c>
      <c r="O258" s="109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9">
        <f>VLOOKUP($A259, Stat!$A$1:$C$501, 2,0)</f>
        <v>6</v>
      </c>
      <c r="O259" s="109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9">
        <f>VLOOKUP($A260, Stat!$A$1:$C$501, 2,0)</f>
        <v>6</v>
      </c>
      <c r="O260" s="109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9">
        <f>VLOOKUP($A261, Stat!$A$1:$C$501, 2,0)</f>
        <v>6</v>
      </c>
      <c r="O261" s="109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9">
        <f>VLOOKUP($A262, Stat!$A$1:$C$501, 2,0)</f>
        <v>6</v>
      </c>
      <c r="O262" s="109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9">
        <f>VLOOKUP($A263, Stat!$A$1:$C$501, 2,0)</f>
        <v>6</v>
      </c>
      <c r="O263" s="109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9">
        <f>VLOOKUP($A264, Stat!$A$1:$C$501, 2,0)</f>
        <v>6</v>
      </c>
      <c r="O264" s="109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9">
        <f>VLOOKUP($A265, Stat!$A$1:$C$501, 2,0)</f>
        <v>6</v>
      </c>
      <c r="O265" s="109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9">
        <f>VLOOKUP($A266, Stat!$A$1:$C$501, 2,0)</f>
        <v>6</v>
      </c>
      <c r="O266" s="109">
        <f>VLOOKUP($A266, Stat!$A$1:$C$501, 3,0)</f>
        <v>3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9">
        <f>VLOOKUP($A267, Stat!$A$1:$C$501, 2,0)</f>
        <v>6</v>
      </c>
      <c r="O267" s="109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9">
        <f>VLOOKUP($A268, Stat!$A$1:$C$501, 2,0)</f>
        <v>6</v>
      </c>
      <c r="O268" s="109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544</v>
      </c>
      <c r="E269" s="57" t="s">
        <v>543</v>
      </c>
      <c r="F269" s="51"/>
      <c r="H269" s="49">
        <v>1</v>
      </c>
      <c r="K269" s="51"/>
      <c r="L269" s="51"/>
      <c r="M269" s="51"/>
      <c r="N269" s="109">
        <f>VLOOKUP($A269, Stat!$A$1:$C$501, 2,0)</f>
        <v>5</v>
      </c>
      <c r="O269" s="109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9">
        <f>VLOOKUP($A270, Stat!$A$1:$C$501, 2,0)</f>
        <v>5</v>
      </c>
      <c r="O270" s="109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9">
        <f>VLOOKUP($A271, Stat!$A$1:$C$501, 2,0)</f>
        <v>5</v>
      </c>
      <c r="O271" s="109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9">
        <f>VLOOKUP($A272, Stat!$A$1:$C$501, 2,0)</f>
        <v>5</v>
      </c>
      <c r="O272" s="109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9">
        <f>VLOOKUP($A273, Stat!$A$1:$C$501, 2,0)</f>
        <v>5</v>
      </c>
      <c r="O273" s="109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9">
        <f>VLOOKUP($A274, Stat!$A$1:$C$501, 2,0)</f>
        <v>5</v>
      </c>
      <c r="O274" s="109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9">
        <f>VLOOKUP($A275, Stat!$A$1:$C$501, 2,0)</f>
        <v>5</v>
      </c>
      <c r="O275" s="109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9">
        <f>VLOOKUP($A276, Stat!$A$1:$C$501, 2,0)</f>
        <v>5</v>
      </c>
      <c r="O276" s="109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9">
        <f>VLOOKUP($A277, Stat!$A$1:$C$501, 2,0)</f>
        <v>5</v>
      </c>
      <c r="O277" s="109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9">
        <f>VLOOKUP($A278, Stat!$A$1:$C$501, 2,0)</f>
        <v>5</v>
      </c>
      <c r="O278" s="109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9">
        <f>VLOOKUP($A279, Stat!$A$1:$C$501, 2,0)</f>
        <v>5</v>
      </c>
      <c r="O279" s="109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9">
        <f>VLOOKUP($A280, Stat!$A$1:$C$501, 2,0)</f>
        <v>4</v>
      </c>
      <c r="O280" s="109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9">
        <f>VLOOKUP($A281, Stat!$A$1:$C$501, 2,0)</f>
        <v>4</v>
      </c>
      <c r="O281" s="109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9">
        <f>VLOOKUP($A282, Stat!$A$1:$C$501, 2,0)</f>
        <v>4</v>
      </c>
      <c r="O282" s="109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9">
        <f>VLOOKUP($A283, Stat!$A$1:$C$501, 2,0)</f>
        <v>4</v>
      </c>
      <c r="O283" s="109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9">
        <f>VLOOKUP($A284, Stat!$A$1:$C$501, 2,0)</f>
        <v>4</v>
      </c>
      <c r="O284" s="109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9">
        <f>VLOOKUP($A285, Stat!$A$1:$C$501, 2,0)</f>
        <v>4</v>
      </c>
      <c r="O285" s="109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9">
        <f>VLOOKUP($A286, Stat!$A$1:$C$501, 2,0)</f>
        <v>4</v>
      </c>
      <c r="O286" s="109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9">
        <f>VLOOKUP($A287, Stat!$A$1:$C$501, 2,0)</f>
        <v>4</v>
      </c>
      <c r="O287" s="109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9">
        <f>VLOOKUP($A288, Stat!$A$1:$C$501, 2,0)</f>
        <v>4</v>
      </c>
      <c r="O288" s="109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9">
        <f>VLOOKUP($A289, Stat!$A$1:$C$501, 2,0)</f>
        <v>4</v>
      </c>
      <c r="O289" s="109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9">
        <f>VLOOKUP($A290, Stat!$A$1:$C$501, 2,0)</f>
        <v>4</v>
      </c>
      <c r="O290" s="109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9">
        <f>VLOOKUP($A291, Stat!$A$1:$C$501, 2,0)</f>
        <v>4</v>
      </c>
      <c r="O291" s="109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9">
        <f>VLOOKUP($A292, Stat!$A$1:$C$501, 2,0)</f>
        <v>4</v>
      </c>
      <c r="O292" s="109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9">
        <f>VLOOKUP($A293, Stat!$A$1:$C$501, 2,0)</f>
        <v>4</v>
      </c>
      <c r="O293" s="109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9">
        <f>VLOOKUP($A294, Stat!$A$1:$C$501, 2,0)</f>
        <v>4</v>
      </c>
      <c r="O294" s="109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9">
        <f>VLOOKUP($A295, Stat!$A$1:$C$501, 2,0)</f>
        <v>4</v>
      </c>
      <c r="O295" s="109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554</v>
      </c>
      <c r="N296" s="109">
        <f>VLOOKUP($A296, Stat!$A$1:$C$501, 2,0)</f>
        <v>4</v>
      </c>
      <c r="O296" s="109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544</v>
      </c>
      <c r="E297" s="57" t="s">
        <v>546</v>
      </c>
      <c r="F297" s="51"/>
      <c r="H297" s="49">
        <v>1</v>
      </c>
      <c r="K297" s="51"/>
      <c r="L297" s="51"/>
      <c r="M297" s="51"/>
      <c r="N297" s="109">
        <f>VLOOKUP($A297, Stat!$A$1:$C$501, 2,0)</f>
        <v>3</v>
      </c>
      <c r="O297" s="109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9">
        <f>VLOOKUP($A298, Stat!$A$1:$C$501, 2,0)</f>
        <v>3</v>
      </c>
      <c r="O298" s="109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9">
        <f>VLOOKUP($A299, Stat!$A$1:$C$501, 2,0)</f>
        <v>3</v>
      </c>
      <c r="O299" s="109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9">
        <f>VLOOKUP($A300, Stat!$A$1:$C$501, 2,0)</f>
        <v>3</v>
      </c>
      <c r="O300" s="109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9">
        <f>VLOOKUP($A301, Stat!$A$1:$C$501, 2,0)</f>
        <v>3</v>
      </c>
      <c r="O301" s="109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9">
        <f>VLOOKUP($A302, Stat!$A$1:$C$501, 2,0)</f>
        <v>3</v>
      </c>
      <c r="O302" s="109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9">
        <f>VLOOKUP($A303, Stat!$A$1:$C$501, 2,0)</f>
        <v>3</v>
      </c>
      <c r="O303" s="109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9">
        <f>VLOOKUP($A304, Stat!$A$1:$C$501, 2,0)</f>
        <v>3</v>
      </c>
      <c r="O304" s="109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9">
        <f>VLOOKUP($A305, Stat!$A$1:$C$501, 2,0)</f>
        <v>3</v>
      </c>
      <c r="O305" s="109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9">
        <f>VLOOKUP($A306, Stat!$A$1:$C$501, 2,0)</f>
        <v>3</v>
      </c>
      <c r="O306" s="109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9">
        <f>VLOOKUP($A307, Stat!$A$1:$C$501, 2,0)</f>
        <v>3</v>
      </c>
      <c r="O307" s="109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9">
        <f>VLOOKUP($A308, Stat!$A$1:$C$501, 2,0)</f>
        <v>3</v>
      </c>
      <c r="O308" s="109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9">
        <f>VLOOKUP($A309, Stat!$A$1:$C$501, 2,0)</f>
        <v>3</v>
      </c>
      <c r="O309" s="109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9">
        <f>VLOOKUP($A310, Stat!$A$1:$C$501, 2,0)</f>
        <v>3</v>
      </c>
      <c r="O310" s="109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9">
        <f>VLOOKUP($A311, Stat!$A$1:$C$501, 2,0)</f>
        <v>3</v>
      </c>
      <c r="O311" s="109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9">
        <f>VLOOKUP($A312, Stat!$A$1:$C$501, 2,0)</f>
        <v>2</v>
      </c>
      <c r="O312" s="109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9">
        <f>VLOOKUP($A313, Stat!$A$1:$C$501, 2,0)</f>
        <v>2</v>
      </c>
      <c r="O313" s="109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9">
        <f>VLOOKUP($A314, Stat!$A$1:$C$501, 2,0)</f>
        <v>2</v>
      </c>
      <c r="O314" s="109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9">
        <f>VLOOKUP($A315, Stat!$A$1:$C$501, 2,0)</f>
        <v>2</v>
      </c>
      <c r="O315" s="109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9">
        <f>VLOOKUP($A316, Stat!$A$1:$C$501, 2,0)</f>
        <v>2</v>
      </c>
      <c r="O316" s="109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9">
        <f>VLOOKUP($A317, Stat!$A$1:$C$501, 2,0)</f>
        <v>2</v>
      </c>
      <c r="O317" s="109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9">
        <f>VLOOKUP($A318, Stat!$A$1:$C$501, 2,0)</f>
        <v>2</v>
      </c>
      <c r="O318" s="109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9">
        <f>VLOOKUP($A319, Stat!$A$1:$C$501, 2,0)</f>
        <v>2</v>
      </c>
      <c r="O319" s="109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9">
        <f>VLOOKUP($A320, Stat!$A$1:$C$501, 2,0)</f>
        <v>2</v>
      </c>
      <c r="O320" s="109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9">
        <f>VLOOKUP($A321, Stat!$A$1:$C$501, 2,0)</f>
        <v>2</v>
      </c>
      <c r="O321" s="109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9">
        <f>VLOOKUP($A322, Stat!$A$1:$C$501, 2,0)</f>
        <v>2</v>
      </c>
      <c r="O322" s="109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9">
        <f>VLOOKUP($A323, Stat!$A$1:$C$501, 2,0)</f>
        <v>1</v>
      </c>
      <c r="O323" s="109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542</v>
      </c>
      <c r="F324" s="50"/>
      <c r="H324" s="49">
        <v>1</v>
      </c>
      <c r="K324" s="50"/>
      <c r="L324" s="51"/>
      <c r="M324" s="50" t="s">
        <v>270</v>
      </c>
      <c r="N324" s="109">
        <f>VLOOKUP($A324, Stat!$A$1:$C$501, 2,0)</f>
        <v>1</v>
      </c>
      <c r="O324" s="109">
        <f>VLOOKUP($A324, Stat!$A$1:$C$501, 3,0)</f>
        <v>0</v>
      </c>
      <c r="P324" s="53">
        <v>30</v>
      </c>
      <c r="Q324" s="53">
        <v>0</v>
      </c>
      <c r="S324" s="53" t="s">
        <v>557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9">
        <f>VLOOKUP($A325, Stat!$A$1:$C$501, 2,0)</f>
        <v>1</v>
      </c>
      <c r="O325" s="109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9">
        <f>VLOOKUP($A326, Stat!$A$1:$C$501, 2,0)</f>
        <v>1</v>
      </c>
      <c r="O326" s="109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9">
        <f>VLOOKUP($A327, Stat!$A$1:$C$501, 2,0)</f>
        <v>1</v>
      </c>
      <c r="O327" s="109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9">
        <f>VLOOKUP($A328, Stat!$A$1:$C$501, 2,0)</f>
        <v>1</v>
      </c>
      <c r="O328" s="109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9">
        <f>VLOOKUP($A329, Stat!$A$1:$C$501, 2,0)</f>
        <v>1</v>
      </c>
      <c r="O329" s="109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9">
        <f>VLOOKUP($A330, Stat!$A$1:$C$501, 2,0)</f>
        <v>1</v>
      </c>
      <c r="O330" s="109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9">
        <f>VLOOKUP($A331, Stat!$A$1:$C$501, 2,0)</f>
        <v>1</v>
      </c>
      <c r="O331" s="109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9">
        <f>VLOOKUP($A332, Stat!$A$1:$C$501, 2,0)</f>
        <v>1</v>
      </c>
      <c r="O332" s="109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9">
        <f>VLOOKUP($A333, Stat!$A$1:$C$501, 2,0)</f>
        <v>1</v>
      </c>
      <c r="O333" s="109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9">
        <f>VLOOKUP($A334, Stat!$A$1:$C$501, 2,0)</f>
        <v>1</v>
      </c>
      <c r="O334" s="109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9">
        <f>VLOOKUP($A335, Stat!$A$1:$C$501, 2,0)</f>
        <v>0</v>
      </c>
      <c r="O335" s="109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9">
        <f>VLOOKUP($A336, Stat!$A$1:$C$501, 2,0)</f>
        <v>0</v>
      </c>
      <c r="O336" s="109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9">
        <f>VLOOKUP($A337, Stat!$A$1:$C$501, 2,0)</f>
        <v>0</v>
      </c>
      <c r="O337" s="109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9">
        <f>VLOOKUP($A338, Stat!$A$1:$C$501, 2,0)</f>
        <v>0</v>
      </c>
      <c r="O338" s="109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9">
        <f>VLOOKUP($A339, Stat!$A$1:$C$501, 2,0)</f>
        <v>0</v>
      </c>
      <c r="O339" s="109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9">
        <f>VLOOKUP($A340, Stat!$A$1:$C$501, 2,0)</f>
        <v>0</v>
      </c>
      <c r="O340" s="109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9">
        <f>VLOOKUP($A341, Stat!$A$1:$C$501, 2,0)</f>
        <v>0</v>
      </c>
      <c r="O341" s="109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9">
        <f>VLOOKUP($A342, Stat!$A$1:$C$501, 2,0)</f>
        <v>0</v>
      </c>
      <c r="O342" s="109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9">
        <f>VLOOKUP($A343, Stat!$A$1:$C$501, 2,0)</f>
        <v>0</v>
      </c>
      <c r="O343" s="109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9">
        <f>VLOOKUP($A344, Stat!$A$1:$C$501, 2,0)</f>
        <v>0</v>
      </c>
      <c r="O344" s="109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9">
        <f>VLOOKUP($A345, Stat!$A$1:$C$501, 2,0)</f>
        <v>0</v>
      </c>
      <c r="O345" s="109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9">
        <f>VLOOKUP($A346, Stat!$A$1:$C$501, 2,0)</f>
        <v>0</v>
      </c>
      <c r="O346" s="109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9">
        <f>VLOOKUP($A347, Stat!$A$1:$C$501, 2,0)</f>
        <v>0</v>
      </c>
      <c r="O347" s="109">
        <f>VLOOKUP($A347, Stat!$A$1:$C$501, 3,0)</f>
        <v>0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09">
        <f>VLOOKUP($A348, Stat!$A$1:$C$501, 2,0)</f>
        <v>0</v>
      </c>
      <c r="O348" s="109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K349" s="51"/>
      <c r="L349" s="50" t="s">
        <v>272</v>
      </c>
      <c r="M349" s="51"/>
      <c r="N349" s="109">
        <f>VLOOKUP($A349, Stat!$A$1:$C$501, 2,0)</f>
        <v>0</v>
      </c>
      <c r="O349" s="109">
        <f>VLOOKUP($A349, Stat!$A$1:$C$501, 3,0)</f>
        <v>0</v>
      </c>
      <c r="P349" s="53">
        <v>60</v>
      </c>
      <c r="Q349" s="53">
        <v>0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L350" s="49">
        <v>1</v>
      </c>
      <c r="N350" s="109">
        <f>VLOOKUP($A350, Stat!$A$1:$C$501, 2,0)</f>
        <v>0</v>
      </c>
      <c r="O350" s="109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09">
        <f>VLOOKUP($A351, Stat!$A$1:$C$501, 2,0)</f>
        <v>0</v>
      </c>
      <c r="O351" s="109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09">
        <f>VLOOKUP($A352, Stat!$A$1:$C$501, 2,0)</f>
        <v>0</v>
      </c>
      <c r="O352" s="109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09">
        <f>VLOOKUP($A353, Stat!$A$1:$C$501, 2,0)</f>
        <v>0</v>
      </c>
      <c r="O353" s="109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N354" s="109">
        <f>VLOOKUP($A354, Stat!$A$1:$C$501, 2,0)</f>
        <v>0</v>
      </c>
      <c r="O354" s="109">
        <f>VLOOKUP($A354, Stat!$A$1:$C$501, 3,0)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N355" s="109">
        <f>VLOOKUP($A355, Stat!$A$1:$C$501, 2,0)</f>
        <v>0</v>
      </c>
      <c r="O355" s="109">
        <f>VLOOKUP($A355, Stat!$A$1:$C$501, 3,0)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N356" s="109">
        <f>VLOOKUP($A356, Stat!$A$1:$C$501, 2,0)</f>
        <v>0</v>
      </c>
      <c r="O356" s="109">
        <f>VLOOKUP($A356, Stat!$A$1:$C$501, 3,0)</f>
        <v>0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09">
        <f>VLOOKUP($A357, Stat!$A$1:$C$501, 2,0)</f>
        <v>0</v>
      </c>
      <c r="O357" s="109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532</v>
      </c>
      <c r="N358" s="109">
        <f>VLOOKUP($A358, Stat!$A$1:$C$501, 2,0)</f>
        <v>0</v>
      </c>
      <c r="O358" s="109">
        <f>VLOOKUP($A358, Stat!$A$1:$C$501, 3,0)</f>
        <v>0</v>
      </c>
      <c r="P358" s="53">
        <v>100</v>
      </c>
      <c r="Q358" s="53">
        <v>0</v>
      </c>
      <c r="S358" s="53" t="s">
        <v>535</v>
      </c>
      <c r="T358" s="53">
        <v>1</v>
      </c>
    </row>
    <row r="359" spans="1:20" x14ac:dyDescent="0.25">
      <c r="A359" s="53">
        <v>360</v>
      </c>
      <c r="B359" s="53" t="s">
        <v>41</v>
      </c>
      <c r="C359" s="53" t="s">
        <v>64</v>
      </c>
      <c r="D359" s="53" t="s">
        <v>68</v>
      </c>
      <c r="E359" s="53" t="s">
        <v>534</v>
      </c>
      <c r="N359" s="109">
        <f>VLOOKUP($A359, Stat!$A$1:$C$501, 2,0)</f>
        <v>0</v>
      </c>
      <c r="O359" s="109">
        <f>VLOOKUP($A359, Stat!$A$1:$C$501, 3,0)</f>
        <v>0</v>
      </c>
      <c r="P359" s="53">
        <v>100</v>
      </c>
      <c r="Q359" s="53">
        <v>0</v>
      </c>
      <c r="S359" s="53" t="s">
        <v>536</v>
      </c>
      <c r="T359" s="53">
        <v>1</v>
      </c>
    </row>
    <row r="360" spans="1:20" x14ac:dyDescent="0.25">
      <c r="A360" s="53">
        <v>361</v>
      </c>
      <c r="B360" s="53" t="s">
        <v>41</v>
      </c>
      <c r="C360" s="53" t="s">
        <v>64</v>
      </c>
      <c r="D360" s="53" t="s">
        <v>68</v>
      </c>
      <c r="E360" s="53" t="s">
        <v>533</v>
      </c>
      <c r="N360" s="109">
        <f>VLOOKUP($A360, Stat!$A$1:$C$501, 2,0)</f>
        <v>0</v>
      </c>
      <c r="O360" s="109">
        <f>VLOOKUP($A360, Stat!$A$1:$C$501, 3,0)</f>
        <v>0</v>
      </c>
      <c r="P360" s="53">
        <v>60</v>
      </c>
      <c r="Q360" s="53">
        <v>0</v>
      </c>
      <c r="S360" s="53" t="s">
        <v>537</v>
      </c>
      <c r="T360" s="53">
        <v>1</v>
      </c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/>
  </sheetViews>
  <sheetFormatPr defaultRowHeight="13.2" x14ac:dyDescent="0.25"/>
  <sheetData>
    <row r="1" spans="1:3" x14ac:dyDescent="0.25">
      <c r="A1" s="108" t="s">
        <v>568</v>
      </c>
      <c r="B1" s="107" t="s">
        <v>566</v>
      </c>
      <c r="C1" s="107" t="s">
        <v>567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15</v>
      </c>
      <c r="C3" s="107">
        <v>1</v>
      </c>
    </row>
    <row r="4" spans="1:3" x14ac:dyDescent="0.25">
      <c r="A4" s="107">
        <v>2</v>
      </c>
      <c r="B4" s="107">
        <v>25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79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442</v>
      </c>
      <c r="C10" s="107">
        <v>1</v>
      </c>
    </row>
    <row r="11" spans="1:3" x14ac:dyDescent="0.25">
      <c r="A11" s="107">
        <v>9</v>
      </c>
      <c r="B11" s="107">
        <v>118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88</v>
      </c>
      <c r="C13" s="107">
        <v>2</v>
      </c>
    </row>
    <row r="14" spans="1:3" x14ac:dyDescent="0.25">
      <c r="A14" s="107">
        <v>12</v>
      </c>
      <c r="B14" s="107">
        <v>101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80</v>
      </c>
      <c r="C17" s="107">
        <v>2</v>
      </c>
    </row>
    <row r="18" spans="1:3" x14ac:dyDescent="0.25">
      <c r="A18" s="107">
        <v>16</v>
      </c>
      <c r="B18" s="107">
        <v>35</v>
      </c>
      <c r="C18" s="107">
        <v>1</v>
      </c>
    </row>
    <row r="19" spans="1:3" x14ac:dyDescent="0.25">
      <c r="A19" s="107">
        <v>17</v>
      </c>
      <c r="B19" s="107">
        <v>26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89</v>
      </c>
      <c r="C22" s="107">
        <v>1</v>
      </c>
    </row>
    <row r="23" spans="1:3" x14ac:dyDescent="0.25">
      <c r="A23" s="107">
        <v>21</v>
      </c>
      <c r="B23" s="107">
        <v>174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13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25</v>
      </c>
      <c r="C27" s="107">
        <v>0</v>
      </c>
    </row>
    <row r="28" spans="1:3" x14ac:dyDescent="0.25">
      <c r="A28" s="107">
        <v>26</v>
      </c>
      <c r="B28" s="107">
        <v>26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11</v>
      </c>
      <c r="C30" s="107">
        <v>0</v>
      </c>
    </row>
    <row r="31" spans="1:3" x14ac:dyDescent="0.25">
      <c r="A31" s="107">
        <v>29</v>
      </c>
      <c r="B31" s="107">
        <v>254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39</v>
      </c>
      <c r="C36" s="107">
        <v>1</v>
      </c>
    </row>
    <row r="37" spans="1:3" x14ac:dyDescent="0.25">
      <c r="A37" s="107">
        <v>35</v>
      </c>
      <c r="B37" s="107">
        <v>138</v>
      </c>
      <c r="C37" s="107">
        <v>0</v>
      </c>
    </row>
    <row r="38" spans="1:3" x14ac:dyDescent="0.25">
      <c r="A38" s="107">
        <v>36</v>
      </c>
      <c r="B38" s="107">
        <v>45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146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24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11</v>
      </c>
    </row>
    <row r="44" spans="1:3" x14ac:dyDescent="0.25">
      <c r="A44" s="107">
        <v>42</v>
      </c>
      <c r="B44" s="107">
        <v>175</v>
      </c>
      <c r="C44" s="107">
        <v>0</v>
      </c>
    </row>
    <row r="45" spans="1:3" x14ac:dyDescent="0.25">
      <c r="A45" s="107">
        <v>43</v>
      </c>
      <c r="B45" s="107">
        <v>75</v>
      </c>
      <c r="C45" s="107">
        <v>0</v>
      </c>
    </row>
    <row r="46" spans="1:3" x14ac:dyDescent="0.25">
      <c r="A46" s="107">
        <v>44</v>
      </c>
      <c r="B46" s="107">
        <v>64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53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42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38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391</v>
      </c>
      <c r="C59" s="107">
        <v>1</v>
      </c>
    </row>
    <row r="60" spans="1:3" x14ac:dyDescent="0.25">
      <c r="A60" s="107">
        <v>58</v>
      </c>
      <c r="B60" s="107">
        <v>153</v>
      </c>
      <c r="C60" s="107">
        <v>17</v>
      </c>
    </row>
    <row r="61" spans="1:3" x14ac:dyDescent="0.25">
      <c r="A61" s="107">
        <v>59</v>
      </c>
      <c r="B61" s="107">
        <v>175</v>
      </c>
      <c r="C61" s="107">
        <v>0</v>
      </c>
    </row>
    <row r="62" spans="1:3" x14ac:dyDescent="0.25">
      <c r="A62" s="107">
        <v>60</v>
      </c>
      <c r="B62" s="107">
        <v>51</v>
      </c>
      <c r="C62" s="107">
        <v>0</v>
      </c>
    </row>
    <row r="63" spans="1:3" x14ac:dyDescent="0.25">
      <c r="A63" s="107">
        <v>61</v>
      </c>
      <c r="B63" s="107">
        <v>41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6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153</v>
      </c>
      <c r="C69" s="107">
        <v>30</v>
      </c>
    </row>
    <row r="70" spans="1:3" x14ac:dyDescent="0.25">
      <c r="A70" s="107">
        <v>68</v>
      </c>
      <c r="B70" s="107">
        <v>17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491</v>
      </c>
      <c r="C79" s="107">
        <v>0</v>
      </c>
    </row>
    <row r="80" spans="1:3" x14ac:dyDescent="0.25">
      <c r="A80" s="107">
        <v>78</v>
      </c>
      <c r="B80" s="107">
        <v>61</v>
      </c>
      <c r="C80" s="107">
        <v>1</v>
      </c>
    </row>
    <row r="81" spans="1:3" x14ac:dyDescent="0.25">
      <c r="A81" s="107">
        <v>79</v>
      </c>
      <c r="B81" s="107">
        <v>75</v>
      </c>
      <c r="C81" s="107">
        <v>0</v>
      </c>
    </row>
    <row r="82" spans="1:3" x14ac:dyDescent="0.25">
      <c r="A82" s="107">
        <v>80</v>
      </c>
      <c r="B82" s="107">
        <v>275</v>
      </c>
      <c r="C82" s="107">
        <v>2</v>
      </c>
    </row>
    <row r="83" spans="1:3" x14ac:dyDescent="0.25">
      <c r="A83" s="107">
        <v>81</v>
      </c>
      <c r="B83" s="107">
        <v>51</v>
      </c>
      <c r="C83" s="107">
        <v>2</v>
      </c>
    </row>
    <row r="84" spans="1:3" x14ac:dyDescent="0.25">
      <c r="A84" s="107">
        <v>82</v>
      </c>
      <c r="B84" s="107">
        <v>44</v>
      </c>
      <c r="C84" s="107">
        <v>9</v>
      </c>
    </row>
    <row r="85" spans="1:3" x14ac:dyDescent="0.25">
      <c r="A85" s="107">
        <v>83</v>
      </c>
      <c r="B85" s="107">
        <v>190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114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32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69</v>
      </c>
      <c r="C94" s="107">
        <v>1</v>
      </c>
    </row>
    <row r="95" spans="1:3" x14ac:dyDescent="0.25">
      <c r="A95" s="107">
        <v>93</v>
      </c>
      <c r="B95" s="107">
        <v>35</v>
      </c>
      <c r="C95" s="107">
        <v>0</v>
      </c>
    </row>
    <row r="96" spans="1:3" x14ac:dyDescent="0.25">
      <c r="A96" s="107">
        <v>94</v>
      </c>
      <c r="B96" s="107">
        <v>3</v>
      </c>
      <c r="C96" s="107">
        <v>0</v>
      </c>
    </row>
    <row r="97" spans="1:3" x14ac:dyDescent="0.25">
      <c r="A97" s="107">
        <v>95</v>
      </c>
      <c r="B97" s="107">
        <v>22</v>
      </c>
      <c r="C97" s="107">
        <v>0</v>
      </c>
    </row>
    <row r="98" spans="1:3" x14ac:dyDescent="0.25">
      <c r="A98" s="107">
        <v>96</v>
      </c>
      <c r="B98" s="107">
        <v>12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13</v>
      </c>
      <c r="C100" s="107">
        <v>0</v>
      </c>
    </row>
    <row r="101" spans="1:3" x14ac:dyDescent="0.25">
      <c r="A101" s="107">
        <v>99</v>
      </c>
      <c r="B101" s="107">
        <v>126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77</v>
      </c>
      <c r="C103" s="107">
        <v>0</v>
      </c>
    </row>
    <row r="104" spans="1:3" x14ac:dyDescent="0.25">
      <c r="A104" s="107">
        <v>102</v>
      </c>
      <c r="B104" s="107">
        <v>62</v>
      </c>
      <c r="C104" s="107">
        <v>0</v>
      </c>
    </row>
    <row r="105" spans="1:3" x14ac:dyDescent="0.25">
      <c r="A105" s="107">
        <v>103</v>
      </c>
      <c r="B105" s="107">
        <v>34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24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65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125</v>
      </c>
      <c r="C114" s="107">
        <v>0</v>
      </c>
    </row>
    <row r="115" spans="1:3" x14ac:dyDescent="0.25">
      <c r="A115" s="107">
        <v>113</v>
      </c>
      <c r="B115" s="107">
        <v>18</v>
      </c>
      <c r="C115" s="107">
        <v>0</v>
      </c>
    </row>
    <row r="116" spans="1:3" x14ac:dyDescent="0.25">
      <c r="A116" s="107">
        <v>114</v>
      </c>
      <c r="B116" s="107">
        <v>14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38</v>
      </c>
      <c r="C118" s="107">
        <v>0</v>
      </c>
    </row>
    <row r="119" spans="1:3" x14ac:dyDescent="0.25">
      <c r="A119" s="107">
        <v>117</v>
      </c>
      <c r="B119" s="107">
        <v>44</v>
      </c>
      <c r="C119" s="107">
        <v>0</v>
      </c>
    </row>
    <row r="120" spans="1:3" x14ac:dyDescent="0.25">
      <c r="A120" s="107">
        <v>118</v>
      </c>
      <c r="B120" s="107">
        <v>26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78</v>
      </c>
      <c r="C122" s="107">
        <v>0</v>
      </c>
    </row>
    <row r="123" spans="1:3" x14ac:dyDescent="0.25">
      <c r="A123" s="107">
        <v>121</v>
      </c>
      <c r="B123" s="107">
        <v>49</v>
      </c>
      <c r="C123" s="107">
        <v>0</v>
      </c>
    </row>
    <row r="124" spans="1:3" x14ac:dyDescent="0.25">
      <c r="A124" s="107">
        <v>122</v>
      </c>
      <c r="B124" s="107">
        <v>11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27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84</v>
      </c>
      <c r="C128" s="107">
        <v>1</v>
      </c>
    </row>
    <row r="129" spans="1:3" x14ac:dyDescent="0.25">
      <c r="A129" s="107">
        <v>127</v>
      </c>
      <c r="B129" s="107">
        <v>93</v>
      </c>
      <c r="C129" s="107">
        <v>1</v>
      </c>
    </row>
    <row r="130" spans="1:3" x14ac:dyDescent="0.25">
      <c r="A130" s="107">
        <v>128</v>
      </c>
      <c r="B130" s="107">
        <v>124</v>
      </c>
      <c r="C130" s="107">
        <v>0</v>
      </c>
    </row>
    <row r="131" spans="1:3" x14ac:dyDescent="0.25">
      <c r="A131" s="107">
        <v>129</v>
      </c>
      <c r="B131" s="107">
        <v>59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28</v>
      </c>
      <c r="C133" s="107">
        <v>0</v>
      </c>
    </row>
    <row r="134" spans="1:3" x14ac:dyDescent="0.25">
      <c r="A134" s="107">
        <v>132</v>
      </c>
      <c r="B134" s="107">
        <v>159</v>
      </c>
      <c r="C134" s="107">
        <v>0</v>
      </c>
    </row>
    <row r="135" spans="1:3" x14ac:dyDescent="0.25">
      <c r="A135" s="107">
        <v>133</v>
      </c>
      <c r="B135" s="107">
        <v>53</v>
      </c>
      <c r="C135" s="107">
        <v>0</v>
      </c>
    </row>
    <row r="136" spans="1:3" x14ac:dyDescent="0.25">
      <c r="A136" s="107">
        <v>134</v>
      </c>
      <c r="B136" s="107">
        <v>32</v>
      </c>
      <c r="C136" s="107">
        <v>2</v>
      </c>
    </row>
    <row r="137" spans="1:3" x14ac:dyDescent="0.25">
      <c r="A137" s="107">
        <v>135</v>
      </c>
      <c r="B137" s="107">
        <v>11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11</v>
      </c>
      <c r="C139" s="107">
        <v>2</v>
      </c>
    </row>
    <row r="140" spans="1:3" x14ac:dyDescent="0.25">
      <c r="A140" s="107">
        <v>138</v>
      </c>
      <c r="B140" s="107">
        <v>7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63</v>
      </c>
      <c r="C142" s="107">
        <v>0</v>
      </c>
    </row>
    <row r="143" spans="1:3" x14ac:dyDescent="0.25">
      <c r="A143" s="107">
        <v>141</v>
      </c>
      <c r="B143" s="107">
        <v>26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47</v>
      </c>
      <c r="C147" s="107">
        <v>0</v>
      </c>
    </row>
    <row r="148" spans="1:3" x14ac:dyDescent="0.25">
      <c r="A148" s="107">
        <v>146</v>
      </c>
      <c r="B148" s="107">
        <v>29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36</v>
      </c>
      <c r="C150" s="107">
        <v>0</v>
      </c>
    </row>
    <row r="151" spans="1:3" x14ac:dyDescent="0.25">
      <c r="A151" s="107">
        <v>149</v>
      </c>
      <c r="B151" s="107">
        <v>4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12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15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6</v>
      </c>
      <c r="C164" s="107">
        <v>1</v>
      </c>
    </row>
    <row r="165" spans="1:3" x14ac:dyDescent="0.25">
      <c r="A165" s="107">
        <v>163</v>
      </c>
      <c r="B165" s="107">
        <v>14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18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45</v>
      </c>
      <c r="C170" s="107">
        <v>4</v>
      </c>
    </row>
    <row r="171" spans="1:3" x14ac:dyDescent="0.25">
      <c r="A171" s="107">
        <v>169</v>
      </c>
      <c r="B171" s="107">
        <v>632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6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6</v>
      </c>
      <c r="C176" s="107">
        <v>2</v>
      </c>
    </row>
    <row r="177" spans="1:3" x14ac:dyDescent="0.25">
      <c r="A177" s="107">
        <v>175</v>
      </c>
      <c r="B177" s="107">
        <v>54</v>
      </c>
      <c r="C177" s="107">
        <v>5</v>
      </c>
    </row>
    <row r="178" spans="1:3" x14ac:dyDescent="0.25">
      <c r="A178" s="107">
        <v>176</v>
      </c>
      <c r="B178" s="107">
        <v>62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30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46</v>
      </c>
      <c r="C183" s="107">
        <v>5</v>
      </c>
    </row>
    <row r="184" spans="1:3" x14ac:dyDescent="0.25">
      <c r="A184" s="107">
        <v>182</v>
      </c>
      <c r="B184" s="107">
        <v>32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30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104</v>
      </c>
      <c r="C189" s="107">
        <v>8</v>
      </c>
    </row>
    <row r="190" spans="1:3" x14ac:dyDescent="0.25">
      <c r="A190" s="107">
        <v>188</v>
      </c>
      <c r="B190" s="107">
        <v>11</v>
      </c>
      <c r="C190" s="107">
        <v>2</v>
      </c>
    </row>
    <row r="191" spans="1:3" x14ac:dyDescent="0.25">
      <c r="A191" s="107">
        <v>189</v>
      </c>
      <c r="B191" s="107">
        <v>7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158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6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18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63</v>
      </c>
      <c r="C206" s="107">
        <v>0</v>
      </c>
    </row>
    <row r="207" spans="1:3" x14ac:dyDescent="0.25">
      <c r="A207" s="107">
        <v>205</v>
      </c>
      <c r="B207" s="107">
        <v>13</v>
      </c>
      <c r="C207" s="107">
        <v>0</v>
      </c>
    </row>
    <row r="208" spans="1:3" x14ac:dyDescent="0.25">
      <c r="A208" s="107">
        <v>206</v>
      </c>
      <c r="B208" s="107">
        <v>28</v>
      </c>
      <c r="C208" s="107">
        <v>0</v>
      </c>
    </row>
    <row r="209" spans="1:3" x14ac:dyDescent="0.25">
      <c r="A209" s="107">
        <v>207</v>
      </c>
      <c r="B209" s="107">
        <v>16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20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19</v>
      </c>
      <c r="C215" s="107">
        <v>7</v>
      </c>
    </row>
    <row r="216" spans="1:3" x14ac:dyDescent="0.25">
      <c r="A216" s="107">
        <v>214</v>
      </c>
      <c r="B216" s="107">
        <v>15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23</v>
      </c>
      <c r="C221" s="107">
        <v>5</v>
      </c>
    </row>
    <row r="222" spans="1:3" x14ac:dyDescent="0.25">
      <c r="A222" s="107">
        <v>220</v>
      </c>
      <c r="B222" s="107">
        <v>14</v>
      </c>
      <c r="C222" s="107">
        <v>11</v>
      </c>
    </row>
    <row r="223" spans="1:3" x14ac:dyDescent="0.25">
      <c r="A223" s="107">
        <v>221</v>
      </c>
      <c r="B223" s="107">
        <v>12</v>
      </c>
      <c r="C223" s="107">
        <v>7</v>
      </c>
    </row>
    <row r="224" spans="1:3" x14ac:dyDescent="0.25">
      <c r="A224" s="107">
        <v>222</v>
      </c>
      <c r="B224" s="107">
        <v>3</v>
      </c>
      <c r="C224" s="107">
        <v>2</v>
      </c>
    </row>
    <row r="225" spans="1:3" x14ac:dyDescent="0.25">
      <c r="A225" s="107">
        <v>223</v>
      </c>
      <c r="B225" s="107">
        <v>16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279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37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34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19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19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20</v>
      </c>
      <c r="C239" s="107">
        <v>16</v>
      </c>
    </row>
    <row r="240" spans="1:3" x14ac:dyDescent="0.25">
      <c r="A240" s="107">
        <v>238</v>
      </c>
      <c r="B240" s="107">
        <v>17</v>
      </c>
      <c r="C240" s="107">
        <v>6</v>
      </c>
    </row>
    <row r="241" spans="1:3" x14ac:dyDescent="0.25">
      <c r="A241" s="107">
        <v>239</v>
      </c>
      <c r="B241" s="107">
        <v>54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58</v>
      </c>
      <c r="C243" s="107">
        <v>14</v>
      </c>
    </row>
    <row r="244" spans="1:3" x14ac:dyDescent="0.25">
      <c r="A244" s="107">
        <v>242</v>
      </c>
      <c r="B244" s="107">
        <v>26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25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84</v>
      </c>
      <c r="C251" s="107">
        <v>17</v>
      </c>
    </row>
    <row r="252" spans="1:3" x14ac:dyDescent="0.25">
      <c r="A252" s="107">
        <v>250</v>
      </c>
      <c r="B252" s="107">
        <v>60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22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21</v>
      </c>
      <c r="C260" s="107">
        <v>0</v>
      </c>
    </row>
    <row r="261" spans="1:3" x14ac:dyDescent="0.25">
      <c r="A261" s="107">
        <v>259</v>
      </c>
      <c r="B261" s="107">
        <v>6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11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0</v>
      </c>
      <c r="C266" s="107">
        <v>0</v>
      </c>
    </row>
    <row r="267" spans="1:3" x14ac:dyDescent="0.25">
      <c r="A267" s="107">
        <v>265</v>
      </c>
      <c r="B267" s="107">
        <v>10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45</v>
      </c>
      <c r="C269" s="107">
        <v>16</v>
      </c>
    </row>
    <row r="270" spans="1:3" x14ac:dyDescent="0.25">
      <c r="A270" s="107">
        <v>268</v>
      </c>
      <c r="B270" s="107">
        <v>247</v>
      </c>
      <c r="C270" s="107">
        <v>3</v>
      </c>
    </row>
    <row r="271" spans="1:3" x14ac:dyDescent="0.25">
      <c r="A271" s="107">
        <v>269</v>
      </c>
      <c r="B271" s="107">
        <v>42</v>
      </c>
      <c r="C271" s="107">
        <v>2</v>
      </c>
    </row>
    <row r="272" spans="1:3" x14ac:dyDescent="0.25">
      <c r="A272" s="107">
        <v>270</v>
      </c>
      <c r="B272" s="107">
        <v>18</v>
      </c>
      <c r="C272" s="107">
        <v>4</v>
      </c>
    </row>
    <row r="273" spans="1:3" x14ac:dyDescent="0.25">
      <c r="A273" s="107">
        <v>271</v>
      </c>
      <c r="B273" s="107">
        <v>10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8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5</v>
      </c>
      <c r="C280" s="107">
        <v>1</v>
      </c>
    </row>
    <row r="281" spans="1:3" x14ac:dyDescent="0.25">
      <c r="A281" s="107">
        <v>279</v>
      </c>
      <c r="B281" s="107">
        <v>15</v>
      </c>
      <c r="C281" s="107">
        <v>0</v>
      </c>
    </row>
    <row r="282" spans="1:3" x14ac:dyDescent="0.25">
      <c r="A282" s="107">
        <v>280</v>
      </c>
      <c r="B282" s="107">
        <v>2</v>
      </c>
      <c r="C282" s="107">
        <v>0</v>
      </c>
    </row>
    <row r="283" spans="1:3" x14ac:dyDescent="0.25">
      <c r="A283" s="107">
        <v>281</v>
      </c>
      <c r="B283" s="107">
        <v>0</v>
      </c>
      <c r="C283" s="107">
        <v>0</v>
      </c>
    </row>
    <row r="284" spans="1:3" x14ac:dyDescent="0.25">
      <c r="A284" s="107">
        <v>282</v>
      </c>
      <c r="B284" s="107">
        <v>43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8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18</v>
      </c>
      <c r="C303" s="107">
        <v>3</v>
      </c>
    </row>
    <row r="304" spans="1:3" x14ac:dyDescent="0.25">
      <c r="A304" s="107">
        <v>302</v>
      </c>
      <c r="B304" s="107">
        <v>11</v>
      </c>
      <c r="C304" s="107">
        <v>0</v>
      </c>
    </row>
    <row r="305" spans="1:3" x14ac:dyDescent="0.25">
      <c r="A305" s="107">
        <v>303</v>
      </c>
      <c r="B305" s="107">
        <v>5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34</v>
      </c>
      <c r="C307" s="107">
        <v>3</v>
      </c>
    </row>
    <row r="308" spans="1:3" x14ac:dyDescent="0.25">
      <c r="A308" s="107">
        <v>306</v>
      </c>
      <c r="B308" s="107">
        <v>66</v>
      </c>
      <c r="C308" s="107">
        <v>11</v>
      </c>
    </row>
    <row r="309" spans="1:3" x14ac:dyDescent="0.25">
      <c r="A309" s="107">
        <v>307</v>
      </c>
      <c r="B309" s="107">
        <v>108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11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4</v>
      </c>
      <c r="C315" s="107">
        <v>0</v>
      </c>
    </row>
    <row r="316" spans="1:3" x14ac:dyDescent="0.25">
      <c r="A316" s="107">
        <v>314</v>
      </c>
      <c r="B316" s="107">
        <v>12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18</v>
      </c>
      <c r="C320" s="107">
        <v>7</v>
      </c>
    </row>
    <row r="321" spans="1:3" x14ac:dyDescent="0.25">
      <c r="A321" s="107">
        <v>319</v>
      </c>
      <c r="B321" s="107">
        <v>20</v>
      </c>
      <c r="C321" s="107">
        <v>4</v>
      </c>
    </row>
    <row r="322" spans="1:3" x14ac:dyDescent="0.25">
      <c r="A322" s="107">
        <v>320</v>
      </c>
      <c r="B322" s="107">
        <v>6</v>
      </c>
      <c r="C322" s="107">
        <v>1</v>
      </c>
    </row>
    <row r="323" spans="1:3" x14ac:dyDescent="0.25">
      <c r="A323" s="107">
        <v>321</v>
      </c>
      <c r="B323" s="107">
        <v>4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19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24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4</v>
      </c>
    </row>
    <row r="336" spans="1:3" x14ac:dyDescent="0.25">
      <c r="A336" s="107">
        <v>334</v>
      </c>
      <c r="B336" s="107">
        <v>6</v>
      </c>
      <c r="C336" s="107">
        <v>3</v>
      </c>
    </row>
    <row r="337" spans="1:3" x14ac:dyDescent="0.25">
      <c r="A337" s="107">
        <v>335</v>
      </c>
      <c r="B337" s="107">
        <v>124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45</v>
      </c>
      <c r="C340" s="107">
        <v>6</v>
      </c>
    </row>
    <row r="341" spans="1:3" x14ac:dyDescent="0.25">
      <c r="A341" s="107">
        <v>339</v>
      </c>
      <c r="B341" s="107">
        <v>0</v>
      </c>
      <c r="C341" s="107">
        <v>0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28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287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17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2017-11-29T05:07:46Z</dcterms:modified>
</cp:coreProperties>
</file>