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Data!$A$1:$T$385</definedName>
  </definedNames>
  <calcPr calcId="162913" calcMode="manual"/>
</workbook>
</file>

<file path=xl/calcChain.xml><?xml version="1.0" encoding="utf-8"?>
<calcChain xmlns="http://schemas.openxmlformats.org/spreadsheetml/2006/main">
  <c r="H385" i="4" l="1"/>
  <c r="G385" i="4"/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88" i="4"/>
  <c r="G88" i="4"/>
  <c r="H53" i="4"/>
  <c r="G53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32" i="4" l="1"/>
  <c r="G332" i="4"/>
  <c r="H324" i="4"/>
  <c r="G324" i="4"/>
  <c r="H286" i="4"/>
  <c r="G286" i="4"/>
  <c r="H285" i="4"/>
  <c r="G285" i="4"/>
  <c r="H284" i="4"/>
  <c r="G284" i="4"/>
  <c r="H263" i="4"/>
  <c r="G263" i="4"/>
  <c r="H196" i="4"/>
  <c r="G196" i="4"/>
  <c r="H195" i="4"/>
  <c r="G195" i="4"/>
  <c r="H193" i="4"/>
  <c r="G193" i="4"/>
  <c r="H192" i="4"/>
  <c r="G192" i="4"/>
  <c r="H145" i="4"/>
  <c r="G145" i="4"/>
  <c r="H124" i="4"/>
  <c r="G124" i="4"/>
  <c r="H108" i="4"/>
  <c r="G108" i="4"/>
  <c r="H107" i="4"/>
  <c r="G107" i="4"/>
  <c r="H105" i="4"/>
  <c r="G105" i="4"/>
  <c r="H101" i="4"/>
  <c r="G101" i="4"/>
  <c r="H31" i="4"/>
  <c r="G31" i="4"/>
  <c r="H344" i="4"/>
  <c r="G344" i="4"/>
  <c r="H309" i="4"/>
  <c r="G309" i="4"/>
  <c r="H305" i="4"/>
  <c r="G305" i="4"/>
  <c r="H293" i="4"/>
  <c r="G293" i="4"/>
  <c r="H282" i="4"/>
  <c r="G282" i="4"/>
  <c r="H278" i="4"/>
  <c r="G278" i="4"/>
  <c r="H265" i="4"/>
  <c r="G265" i="4"/>
  <c r="H254" i="4"/>
  <c r="G254" i="4"/>
  <c r="H219" i="4"/>
  <c r="G219" i="4"/>
  <c r="H217" i="4"/>
  <c r="G217" i="4"/>
  <c r="H209" i="4"/>
  <c r="G209" i="4"/>
  <c r="H158" i="4"/>
  <c r="G158" i="4"/>
  <c r="H153" i="4"/>
  <c r="G153" i="4"/>
  <c r="H49" i="4"/>
  <c r="G49" i="4"/>
  <c r="H8" i="4"/>
  <c r="G8" i="4"/>
  <c r="H349" i="4"/>
  <c r="G349" i="4"/>
  <c r="H348" i="4"/>
  <c r="G348" i="4"/>
  <c r="H340" i="4"/>
  <c r="G340" i="4"/>
  <c r="H328" i="4"/>
  <c r="G328" i="4"/>
  <c r="H310" i="4"/>
  <c r="G310" i="4"/>
  <c r="H296" i="4"/>
  <c r="G296" i="4"/>
  <c r="H261" i="4"/>
  <c r="G261" i="4"/>
  <c r="H252" i="4"/>
  <c r="G252" i="4"/>
  <c r="H156" i="4"/>
  <c r="G156" i="4"/>
  <c r="H152" i="4"/>
  <c r="G152" i="4"/>
  <c r="H112" i="4"/>
  <c r="G112" i="4"/>
  <c r="H347" i="4"/>
  <c r="G347" i="4"/>
  <c r="H337" i="4"/>
  <c r="G337" i="4"/>
  <c r="H314" i="4"/>
  <c r="G314" i="4"/>
  <c r="H295" i="4"/>
  <c r="G295" i="4"/>
  <c r="H289" i="4"/>
  <c r="G289" i="4"/>
  <c r="H281" i="4"/>
  <c r="G281" i="4"/>
  <c r="H264" i="4"/>
  <c r="G264" i="4"/>
  <c r="H245" i="4"/>
  <c r="G245" i="4"/>
  <c r="H233" i="4"/>
  <c r="G233" i="4"/>
  <c r="H218" i="4"/>
  <c r="G218" i="4"/>
  <c r="H191" i="4"/>
  <c r="G191" i="4"/>
  <c r="H185" i="4"/>
  <c r="G185" i="4"/>
  <c r="H160" i="4"/>
  <c r="G160" i="4"/>
  <c r="H154" i="4"/>
  <c r="G154" i="4"/>
  <c r="H91" i="4"/>
  <c r="G91" i="4"/>
  <c r="H358" i="4"/>
  <c r="G358" i="4"/>
  <c r="H354" i="4"/>
  <c r="G354" i="4"/>
  <c r="H331" i="4"/>
  <c r="G331" i="4"/>
  <c r="H329" i="4"/>
  <c r="G329" i="4"/>
  <c r="H323" i="4"/>
  <c r="G323" i="4"/>
  <c r="H312" i="4"/>
  <c r="G312" i="4"/>
  <c r="H292" i="4"/>
  <c r="G292" i="4"/>
  <c r="H232" i="4"/>
  <c r="G232" i="4"/>
  <c r="H213" i="4"/>
  <c r="G213" i="4"/>
  <c r="H198" i="4"/>
  <c r="G198" i="4"/>
  <c r="H171" i="4"/>
  <c r="G171" i="4"/>
  <c r="H157" i="4"/>
  <c r="G157" i="4"/>
  <c r="H98" i="4"/>
  <c r="G98" i="4"/>
  <c r="H95" i="4"/>
  <c r="G95" i="4"/>
  <c r="H341" i="4"/>
  <c r="G341" i="4"/>
  <c r="H322" i="4"/>
  <c r="G322" i="4"/>
  <c r="H277" i="4"/>
  <c r="G277" i="4"/>
  <c r="H267" i="4"/>
  <c r="G267" i="4"/>
  <c r="H223" i="4"/>
  <c r="G223" i="4"/>
  <c r="H187" i="4"/>
  <c r="G187" i="4"/>
  <c r="H150" i="4"/>
  <c r="G150" i="4"/>
  <c r="H144" i="4"/>
  <c r="G144" i="4"/>
  <c r="H92" i="4"/>
  <c r="G92" i="4"/>
  <c r="H67" i="4"/>
  <c r="G67" i="4"/>
  <c r="H65" i="4"/>
  <c r="G65" i="4"/>
  <c r="H50" i="4"/>
  <c r="G50" i="4"/>
  <c r="H352" i="4"/>
  <c r="G352" i="4"/>
  <c r="H338" i="4"/>
  <c r="G338" i="4"/>
  <c r="H335" i="4"/>
  <c r="G335" i="4"/>
  <c r="H304" i="4"/>
  <c r="G304" i="4"/>
  <c r="H301" i="4"/>
  <c r="G301" i="4"/>
  <c r="H300" i="4"/>
  <c r="G300" i="4"/>
  <c r="H298" i="4"/>
  <c r="G298" i="4"/>
  <c r="H279" i="4"/>
  <c r="G279" i="4"/>
  <c r="H275" i="4"/>
  <c r="G275" i="4"/>
  <c r="H227" i="4"/>
  <c r="G227" i="4"/>
  <c r="H203" i="4"/>
  <c r="G203" i="4"/>
  <c r="H202" i="4"/>
  <c r="G202" i="4"/>
  <c r="H184" i="4"/>
  <c r="G184" i="4"/>
  <c r="H181" i="4"/>
  <c r="G181" i="4"/>
  <c r="H179" i="4"/>
  <c r="G179" i="4"/>
  <c r="H178" i="4"/>
  <c r="G178" i="4"/>
  <c r="H172" i="4"/>
  <c r="G172" i="4"/>
  <c r="H334" i="4"/>
  <c r="G334" i="4"/>
  <c r="H260" i="4"/>
  <c r="G260" i="4"/>
  <c r="H258" i="4"/>
  <c r="G258" i="4"/>
  <c r="H247" i="4"/>
  <c r="G247" i="4"/>
  <c r="H241" i="4"/>
  <c r="G241" i="4"/>
  <c r="H212" i="4"/>
  <c r="G212" i="4"/>
  <c r="H199" i="4"/>
  <c r="G199" i="4"/>
  <c r="H197" i="4"/>
  <c r="G197" i="4"/>
  <c r="H174" i="4"/>
  <c r="G174" i="4"/>
  <c r="H159" i="4"/>
  <c r="G159" i="4"/>
  <c r="H137" i="4"/>
  <c r="G137" i="4"/>
  <c r="H66" i="4"/>
  <c r="G66" i="4"/>
  <c r="H321" i="4"/>
  <c r="G321" i="4"/>
  <c r="H235" i="4"/>
  <c r="G235" i="4"/>
  <c r="H225" i="4"/>
  <c r="G225" i="4"/>
  <c r="H216" i="4"/>
  <c r="G216" i="4"/>
  <c r="H163" i="4"/>
  <c r="G163" i="4"/>
  <c r="H353" i="4"/>
  <c r="G353" i="4"/>
  <c r="H204" i="4"/>
  <c r="G204" i="4"/>
  <c r="H165" i="4"/>
  <c r="G165" i="4"/>
  <c r="H140" i="4"/>
  <c r="G140" i="4"/>
  <c r="H139" i="4"/>
  <c r="G139" i="4"/>
  <c r="H111" i="4"/>
  <c r="G111" i="4"/>
  <c r="H297" i="4"/>
  <c r="G297" i="4"/>
  <c r="H276" i="4"/>
  <c r="G276" i="4"/>
  <c r="H173" i="4"/>
  <c r="G173" i="4"/>
  <c r="H72" i="4"/>
  <c r="G72" i="4"/>
  <c r="H315" i="4"/>
  <c r="G315" i="4"/>
  <c r="H272" i="4"/>
  <c r="G272" i="4"/>
  <c r="H266" i="4"/>
  <c r="G266" i="4"/>
  <c r="H256" i="4"/>
  <c r="G256" i="4"/>
  <c r="H231" i="4"/>
  <c r="G231" i="4"/>
  <c r="H175" i="4"/>
  <c r="G175" i="4"/>
  <c r="H166" i="4"/>
  <c r="G166" i="4"/>
  <c r="H148" i="4"/>
  <c r="G148" i="4"/>
  <c r="H110" i="4"/>
  <c r="G110" i="4"/>
  <c r="H86" i="4"/>
  <c r="G86" i="4"/>
  <c r="H29" i="4"/>
  <c r="G29" i="4"/>
  <c r="H4" i="4"/>
  <c r="G4" i="4"/>
  <c r="H303" i="4"/>
  <c r="G303" i="4"/>
  <c r="H237" i="4"/>
  <c r="G237" i="4"/>
  <c r="H155" i="4"/>
  <c r="G155" i="4"/>
  <c r="H151" i="4"/>
  <c r="G151" i="4"/>
  <c r="H138" i="4"/>
  <c r="G138" i="4"/>
  <c r="H136" i="4"/>
  <c r="G136" i="4"/>
  <c r="H123" i="4"/>
  <c r="G123" i="4"/>
  <c r="H360" i="4"/>
  <c r="G360" i="4"/>
  <c r="H316" i="4"/>
  <c r="G316" i="4"/>
  <c r="H311" i="4"/>
  <c r="G311" i="4"/>
  <c r="H143" i="4"/>
  <c r="G143" i="4"/>
  <c r="H333" i="4"/>
  <c r="G333" i="4"/>
  <c r="H313" i="4"/>
  <c r="G313" i="4"/>
  <c r="H299" i="4"/>
  <c r="G299" i="4"/>
  <c r="H294" i="4"/>
  <c r="G294" i="4"/>
  <c r="H190" i="4"/>
  <c r="G190" i="4"/>
  <c r="H97" i="4"/>
  <c r="G97" i="4"/>
  <c r="H46" i="4"/>
  <c r="G46" i="4"/>
  <c r="H290" i="4"/>
  <c r="G290" i="4"/>
  <c r="H287" i="4"/>
  <c r="G287" i="4"/>
  <c r="H262" i="4"/>
  <c r="G262" i="4"/>
  <c r="H244" i="4"/>
  <c r="G244" i="4"/>
  <c r="H222" i="4"/>
  <c r="G222" i="4"/>
  <c r="H221" i="4"/>
  <c r="G221" i="4"/>
  <c r="H115" i="4"/>
  <c r="G115" i="4"/>
  <c r="H42" i="4"/>
  <c r="G42" i="4"/>
  <c r="H215" i="4"/>
  <c r="G215" i="4"/>
  <c r="H206" i="4"/>
  <c r="G206" i="4"/>
  <c r="H161" i="4"/>
  <c r="G161" i="4"/>
  <c r="H345" i="4"/>
  <c r="G345" i="4"/>
  <c r="H325" i="4"/>
  <c r="G325" i="4"/>
  <c r="H229" i="4"/>
  <c r="G229" i="4"/>
  <c r="H224" i="4"/>
  <c r="G224" i="4"/>
  <c r="H208" i="4"/>
  <c r="G208" i="4"/>
  <c r="H164" i="4"/>
  <c r="G164" i="4"/>
  <c r="H99" i="4"/>
  <c r="G99" i="4"/>
  <c r="H24" i="4"/>
  <c r="G24" i="4"/>
  <c r="H2" i="4"/>
  <c r="G2" i="4"/>
  <c r="H280" i="4"/>
  <c r="G280" i="4"/>
  <c r="H255" i="4"/>
  <c r="G255" i="4"/>
  <c r="H249" i="4"/>
  <c r="G249" i="4"/>
  <c r="H162" i="4"/>
  <c r="G162" i="4"/>
  <c r="H69" i="4"/>
  <c r="G69" i="4"/>
  <c r="H19" i="4"/>
  <c r="G19" i="4"/>
  <c r="H357" i="4"/>
  <c r="G357" i="4"/>
  <c r="H319" i="4"/>
  <c r="G319" i="4"/>
  <c r="H318" i="4"/>
  <c r="G318" i="4"/>
  <c r="H239" i="4"/>
  <c r="G239" i="4"/>
  <c r="H211" i="4"/>
  <c r="G211" i="4"/>
  <c r="H114" i="4"/>
  <c r="G114" i="4"/>
  <c r="H52" i="4"/>
  <c r="G52" i="4"/>
  <c r="H5" i="4"/>
  <c r="G5" i="4"/>
  <c r="H356" i="4"/>
  <c r="G356" i="4"/>
  <c r="H246" i="4"/>
  <c r="G246" i="4"/>
  <c r="H238" i="4"/>
  <c r="G238" i="4"/>
  <c r="H236" i="4"/>
  <c r="G236" i="4"/>
  <c r="H214" i="4"/>
  <c r="G214" i="4"/>
  <c r="H189" i="4"/>
  <c r="G189" i="4"/>
  <c r="H116" i="4"/>
  <c r="G116" i="4"/>
  <c r="H327" i="4"/>
  <c r="G327" i="4"/>
  <c r="H234" i="4"/>
  <c r="G234" i="4"/>
  <c r="H120" i="4"/>
  <c r="G120" i="4"/>
  <c r="H96" i="4"/>
  <c r="G96" i="4"/>
  <c r="H40" i="4"/>
  <c r="G40" i="4"/>
  <c r="H302" i="4"/>
  <c r="G302" i="4"/>
  <c r="H74" i="4"/>
  <c r="G74" i="4"/>
  <c r="H73" i="4"/>
  <c r="G73" i="4"/>
  <c r="H64" i="4"/>
  <c r="G64" i="4"/>
  <c r="H326" i="4"/>
  <c r="G326" i="4"/>
  <c r="H168" i="4"/>
  <c r="G168" i="4"/>
  <c r="H126" i="4"/>
  <c r="G126" i="4"/>
  <c r="H75" i="4"/>
  <c r="G75" i="4"/>
  <c r="H57" i="4"/>
  <c r="G57" i="4"/>
  <c r="H55" i="4"/>
  <c r="G55" i="4"/>
  <c r="H23" i="4"/>
  <c r="G23" i="4"/>
  <c r="H271" i="4"/>
  <c r="G271" i="4"/>
  <c r="H253" i="4"/>
  <c r="G253" i="4"/>
  <c r="H201" i="4"/>
  <c r="G201" i="4"/>
  <c r="H89" i="4"/>
  <c r="G89" i="4"/>
  <c r="H51" i="4"/>
  <c r="G51" i="4"/>
  <c r="H320" i="4"/>
  <c r="G320" i="4"/>
  <c r="H220" i="4"/>
  <c r="G220" i="4"/>
  <c r="H106" i="4"/>
  <c r="G106" i="4"/>
  <c r="H359" i="4"/>
  <c r="G359" i="4"/>
  <c r="H210" i="4"/>
  <c r="G210" i="4"/>
  <c r="H26" i="4"/>
  <c r="G26" i="4"/>
  <c r="H346" i="4"/>
  <c r="G346" i="4"/>
  <c r="H248" i="4"/>
  <c r="G248" i="4"/>
  <c r="H142" i="4"/>
  <c r="G142" i="4"/>
  <c r="H41" i="4"/>
  <c r="G41" i="4"/>
  <c r="H38" i="4"/>
  <c r="G38" i="4"/>
  <c r="H20" i="4"/>
  <c r="G20" i="4"/>
  <c r="H3" i="4"/>
  <c r="G3" i="4"/>
  <c r="H257" i="4"/>
  <c r="G257" i="4"/>
  <c r="H243" i="4"/>
  <c r="G243" i="4"/>
  <c r="H132" i="4"/>
  <c r="G132" i="4"/>
  <c r="H119" i="4"/>
  <c r="G119" i="4"/>
  <c r="H27" i="4"/>
  <c r="G27" i="4"/>
  <c r="H351" i="4"/>
  <c r="G351" i="4"/>
  <c r="H342" i="4"/>
  <c r="G342" i="4"/>
  <c r="H207" i="4"/>
  <c r="G207" i="4"/>
  <c r="H167" i="4"/>
  <c r="G167" i="4"/>
  <c r="H63" i="4"/>
  <c r="G63" i="4"/>
  <c r="H186" i="4"/>
  <c r="G186" i="4"/>
  <c r="H147" i="4"/>
  <c r="G147" i="4"/>
  <c r="H76" i="4"/>
  <c r="G76" i="4"/>
  <c r="H330" i="4"/>
  <c r="G330" i="4"/>
  <c r="H180" i="4"/>
  <c r="G180" i="4"/>
  <c r="H125" i="4"/>
  <c r="G125" i="4"/>
  <c r="H259" i="4"/>
  <c r="G259" i="4"/>
  <c r="H183" i="4"/>
  <c r="G183" i="4"/>
  <c r="H6" i="4"/>
  <c r="G6" i="4"/>
  <c r="H291" i="4"/>
  <c r="G291" i="4"/>
  <c r="H94" i="4"/>
  <c r="G94" i="4"/>
  <c r="H18" i="4"/>
  <c r="G18" i="4"/>
  <c r="H11" i="4"/>
  <c r="G11" i="4"/>
  <c r="H135" i="4"/>
  <c r="G135" i="4"/>
  <c r="H71" i="4"/>
  <c r="G71" i="4"/>
  <c r="H273" i="4"/>
  <c r="G273" i="4"/>
  <c r="H230" i="4"/>
  <c r="G230" i="4"/>
  <c r="H131" i="4"/>
  <c r="G131" i="4"/>
  <c r="H17" i="4"/>
  <c r="G17" i="4"/>
  <c r="H306" i="4"/>
  <c r="G306" i="4"/>
  <c r="H104" i="4"/>
  <c r="G104" i="4"/>
  <c r="H90" i="4"/>
  <c r="G90" i="4"/>
  <c r="H56" i="4"/>
  <c r="G56" i="4"/>
  <c r="H350" i="4"/>
  <c r="G350" i="4"/>
  <c r="H35" i="4"/>
  <c r="G35" i="4"/>
  <c r="H117" i="4"/>
  <c r="G117" i="4"/>
  <c r="H283" i="4"/>
  <c r="G283" i="4"/>
  <c r="H54" i="4"/>
  <c r="G54" i="4"/>
  <c r="H339" i="4"/>
  <c r="G339" i="4"/>
  <c r="H274" i="4"/>
  <c r="G274" i="4"/>
  <c r="H228" i="4"/>
  <c r="G228" i="4"/>
  <c r="H200" i="4"/>
  <c r="G200" i="4"/>
  <c r="H77" i="4"/>
  <c r="G77" i="4"/>
  <c r="H37" i="4"/>
  <c r="G37" i="4"/>
  <c r="H268" i="4"/>
  <c r="G268" i="4"/>
  <c r="H270" i="4"/>
  <c r="G270" i="4"/>
  <c r="H149" i="4"/>
  <c r="G149" i="4"/>
  <c r="H118" i="4"/>
  <c r="G118" i="4"/>
  <c r="H83" i="4"/>
  <c r="G83" i="4"/>
  <c r="H62" i="4"/>
  <c r="G62" i="4"/>
  <c r="H182" i="4"/>
  <c r="G182" i="4"/>
  <c r="H146" i="4"/>
  <c r="G146" i="4"/>
  <c r="H25" i="4"/>
  <c r="G25" i="4"/>
  <c r="H317" i="4"/>
  <c r="G317" i="4"/>
  <c r="H34" i="4"/>
  <c r="G34" i="4"/>
  <c r="H32" i="4"/>
  <c r="G32" i="4"/>
  <c r="H122" i="4"/>
  <c r="G122" i="4"/>
  <c r="H33" i="4"/>
  <c r="G33" i="4"/>
  <c r="H61" i="4"/>
  <c r="G61" i="4"/>
  <c r="H134" i="4"/>
  <c r="G134" i="4"/>
  <c r="H288" i="4"/>
  <c r="G288" i="4"/>
  <c r="H82" i="4"/>
  <c r="G82" i="4"/>
  <c r="H47" i="4"/>
  <c r="G47" i="4"/>
  <c r="H14" i="4"/>
  <c r="G14" i="4"/>
  <c r="H28" i="4"/>
  <c r="G28" i="4"/>
  <c r="H176" i="4"/>
  <c r="G176" i="4"/>
  <c r="H169" i="4"/>
  <c r="G169" i="4"/>
  <c r="H130" i="4"/>
  <c r="G130" i="4"/>
  <c r="H240" i="4"/>
  <c r="G240" i="4"/>
  <c r="H70" i="4"/>
  <c r="G70" i="4"/>
  <c r="H251" i="4"/>
  <c r="G251" i="4"/>
  <c r="H205" i="4"/>
  <c r="G205" i="4"/>
  <c r="H45" i="4"/>
  <c r="G45" i="4"/>
  <c r="H103" i="4"/>
  <c r="G103" i="4"/>
  <c r="H79" i="4"/>
  <c r="G79" i="4"/>
  <c r="H141" i="4"/>
  <c r="G141" i="4"/>
  <c r="H177" i="4"/>
  <c r="G177" i="4"/>
  <c r="H109" i="4"/>
  <c r="G109" i="4"/>
  <c r="H242" i="4"/>
  <c r="G242" i="4"/>
  <c r="H307" i="4"/>
  <c r="G307" i="4"/>
  <c r="H44" i="4"/>
  <c r="G44" i="4"/>
  <c r="H102" i="4"/>
  <c r="G102" i="4"/>
  <c r="H80" i="4"/>
  <c r="G80" i="4"/>
  <c r="H7" i="4"/>
  <c r="G7" i="4"/>
  <c r="H121" i="4"/>
  <c r="G121" i="4"/>
  <c r="H16" i="4"/>
  <c r="G16" i="4"/>
  <c r="H127" i="4"/>
  <c r="G127" i="4"/>
  <c r="H93" i="4"/>
  <c r="G93" i="4"/>
  <c r="H250" i="4"/>
  <c r="G250" i="4"/>
  <c r="H48" i="4"/>
  <c r="G48" i="4"/>
  <c r="H128" i="4"/>
  <c r="G128" i="4"/>
  <c r="H85" i="4"/>
  <c r="G85" i="4"/>
  <c r="H13" i="4"/>
  <c r="G13" i="4"/>
  <c r="H21" i="4"/>
  <c r="G21" i="4"/>
  <c r="H188" i="4"/>
  <c r="G188" i="4"/>
  <c r="H12" i="4"/>
  <c r="G12" i="4"/>
  <c r="H308" i="4"/>
  <c r="G308" i="4"/>
  <c r="H10" i="4"/>
  <c r="G10" i="4"/>
  <c r="H336" i="4"/>
  <c r="G336" i="4"/>
  <c r="H113" i="4"/>
  <c r="G113" i="4"/>
  <c r="H129" i="4"/>
  <c r="G129" i="4"/>
  <c r="H87" i="4"/>
  <c r="G87" i="4"/>
  <c r="H100" i="4"/>
  <c r="G100" i="4"/>
  <c r="H39" i="4"/>
  <c r="G39" i="4"/>
  <c r="H36" i="4"/>
  <c r="G36" i="4"/>
  <c r="H59" i="4"/>
  <c r="G59" i="4"/>
  <c r="H68" i="4"/>
  <c r="G68" i="4"/>
  <c r="H133" i="4"/>
  <c r="G133" i="4"/>
  <c r="H194" i="4"/>
  <c r="G194" i="4"/>
  <c r="H15" i="4"/>
  <c r="G15" i="4"/>
  <c r="H22" i="4"/>
  <c r="G22" i="4"/>
  <c r="H84" i="4"/>
  <c r="G84" i="4"/>
  <c r="H60" i="4"/>
  <c r="G60" i="4"/>
  <c r="H43" i="4"/>
  <c r="G43" i="4"/>
  <c r="H269" i="4"/>
  <c r="G269" i="4"/>
  <c r="H30" i="4"/>
  <c r="G30" i="4"/>
  <c r="H81" i="4"/>
  <c r="G81" i="4"/>
  <c r="H355" i="4"/>
  <c r="G355" i="4"/>
  <c r="H226" i="4"/>
  <c r="G226" i="4"/>
  <c r="H9" i="4"/>
  <c r="G9" i="4"/>
  <c r="H58" i="4"/>
  <c r="G58" i="4"/>
  <c r="H78" i="4"/>
  <c r="G78" i="4"/>
  <c r="H170" i="4"/>
  <c r="G170" i="4"/>
  <c r="H343" i="4" l="1"/>
  <c r="G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5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6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7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7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7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8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8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0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3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<sst xmlns="http://schemas.openxmlformats.org/spreadsheetml/2006/main" count="2548" uniqueCount="597">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</sst>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3"/>
  <sheetViews>
    <sheetView tabSelected="1" zoomScale="85" zoomScaleNormal="85" workbookViewId="0">
      <pane ySplit="1" topLeftCell="A53" activePane="bottomLeft" state="frozen"/>
      <selection activeCell="C37" sqref="C37"/>
      <selection pane="bottomLeft" activeCell="H83" sqref="H83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5" t="s">
        <v>63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6" t="s">
        <v>40</v>
      </c>
      <c r="E2" s="117"/>
      <c r="F2" s="117"/>
      <c r="G2" s="117"/>
      <c r="H2" s="117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4" t="s">
        <v>39</v>
      </c>
      <c r="B3" s="115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4"/>
      <c r="B4" s="115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4"/>
      <c r="B5" s="115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4"/>
      <c r="B6" s="115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4"/>
      <c r="B7" s="115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4"/>
      <c r="B8" s="115"/>
      <c r="C8" s="30" t="s">
        <v>393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436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4"/>
      <c r="B9" s="115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4"/>
      <c r="B10" s="115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4"/>
      <c r="B11" s="115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4"/>
      <c r="B12" s="115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4"/>
      <c r="B13" s="115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4"/>
      <c r="B14" s="115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4"/>
      <c r="B15" s="115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4"/>
      <c r="B16" s="115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4"/>
      <c r="B17" s="115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4"/>
      <c r="B18" s="115"/>
      <c r="C18" s="34" t="s">
        <v>256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4"/>
      <c r="B19" s="115"/>
      <c r="C19" s="34" t="s">
        <v>276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277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4"/>
      <c r="B20" s="115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4"/>
      <c r="B21" s="115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4"/>
      <c r="B22" s="115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4"/>
      <c r="B23" s="115"/>
      <c r="C23" s="30" t="s">
        <v>167</v>
      </c>
      <c r="D23" s="68" t="s">
        <v>407</v>
      </c>
      <c r="E23" s="68" t="s">
        <v>409</v>
      </c>
      <c r="F23" s="69" t="s">
        <v>392</v>
      </c>
      <c r="G23" s="69" t="s">
        <v>366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4"/>
      <c r="B24" s="115"/>
      <c r="C24" s="30" t="s">
        <v>168</v>
      </c>
      <c r="D24" s="68" t="s">
        <v>408</v>
      </c>
      <c r="E24" s="68" t="s">
        <v>410</v>
      </c>
      <c r="F24" s="69" t="s">
        <v>365</v>
      </c>
      <c r="G24" s="69" t="s">
        <v>367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4"/>
      <c r="B25" s="115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4"/>
      <c r="B26" s="115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4"/>
      <c r="B27" s="115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4"/>
      <c r="B28" s="120" t="s">
        <v>14</v>
      </c>
      <c r="C28" s="34" t="s">
        <v>383</v>
      </c>
      <c r="D28" s="123" t="s">
        <v>139</v>
      </c>
      <c r="E28" s="124"/>
      <c r="F28" s="123" t="s">
        <v>172</v>
      </c>
      <c r="G28" s="124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4"/>
      <c r="B29" s="122"/>
      <c r="C29" s="34" t="s">
        <v>405</v>
      </c>
      <c r="D29" s="118" t="s">
        <v>384</v>
      </c>
      <c r="E29" s="119"/>
      <c r="F29" s="118" t="s">
        <v>387</v>
      </c>
      <c r="G29" s="119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4"/>
      <c r="B30" s="115" t="s">
        <v>15</v>
      </c>
      <c r="C30" s="34" t="s">
        <v>425</v>
      </c>
      <c r="D30" s="4" t="s">
        <v>427</v>
      </c>
      <c r="E30" s="78" t="s">
        <v>426</v>
      </c>
      <c r="F30" s="75" t="s">
        <v>428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4"/>
      <c r="B31" s="115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389</v>
      </c>
      <c r="I31" s="83" t="s">
        <v>388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4"/>
      <c r="B32" s="115"/>
      <c r="C32" s="3" t="s">
        <v>24</v>
      </c>
      <c r="D32" s="71" t="s">
        <v>378</v>
      </c>
      <c r="E32" s="68" t="s">
        <v>379</v>
      </c>
      <c r="F32" s="68" t="s">
        <v>380</v>
      </c>
      <c r="G32" s="68" t="s">
        <v>381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4"/>
      <c r="B33" s="115"/>
      <c r="C33" s="3" t="s">
        <v>146</v>
      </c>
      <c r="D33" s="71" t="s">
        <v>370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4"/>
      <c r="B34" s="115"/>
      <c r="C34" s="36" t="s">
        <v>166</v>
      </c>
      <c r="D34" s="19" t="s">
        <v>374</v>
      </c>
      <c r="E34" s="68" t="s">
        <v>373</v>
      </c>
      <c r="F34" s="71" t="s">
        <v>508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4"/>
      <c r="B35" s="115"/>
      <c r="C35" s="30" t="s">
        <v>497</v>
      </c>
      <c r="D35" s="69" t="s">
        <v>498</v>
      </c>
      <c r="E35" s="99" t="s">
        <v>499</v>
      </c>
      <c r="F35" s="69" t="s">
        <v>500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4"/>
      <c r="B36" s="120" t="s">
        <v>563</v>
      </c>
      <c r="C36" s="34" t="s">
        <v>562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596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4"/>
      <c r="B37" s="121"/>
      <c r="C37" s="34" t="s">
        <v>494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556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4"/>
      <c r="B38" s="120" t="s">
        <v>564</v>
      </c>
      <c r="C38" s="34" t="s">
        <v>562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559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4"/>
      <c r="B39" s="121"/>
      <c r="C39" s="34" t="s">
        <v>557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559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4"/>
      <c r="B40" s="121"/>
      <c r="C40" s="34" t="s">
        <v>558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560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4"/>
      <c r="B41" s="121"/>
      <c r="C41" s="34" t="s">
        <v>494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556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4"/>
      <c r="B42" s="122"/>
      <c r="C42" s="34" t="s">
        <v>495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561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4"/>
      <c r="B43" s="115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4"/>
      <c r="B44" s="115"/>
      <c r="C44" s="34" t="s">
        <v>17</v>
      </c>
      <c r="D44" s="72" t="s">
        <v>151</v>
      </c>
      <c r="E44" s="73" t="s">
        <v>590</v>
      </c>
      <c r="F44" s="73" t="s">
        <v>385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4"/>
      <c r="B45" s="115"/>
      <c r="C45" s="3" t="s">
        <v>516</v>
      </c>
      <c r="D45" s="69" t="s">
        <v>375</v>
      </c>
      <c r="E45" s="99" t="s">
        <v>469</v>
      </c>
      <c r="F45" s="69" t="s">
        <v>517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4"/>
      <c r="B46" s="115"/>
      <c r="C46" s="34" t="s">
        <v>156</v>
      </c>
      <c r="D46" s="69" t="s">
        <v>375</v>
      </c>
      <c r="E46" s="99" t="s">
        <v>505</v>
      </c>
      <c r="F46" s="69" t="s">
        <v>386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4"/>
      <c r="B47" s="115"/>
      <c r="C47" s="34" t="s">
        <v>361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4" t="s">
        <v>41</v>
      </c>
      <c r="B48" s="115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4"/>
      <c r="B49" s="115"/>
      <c r="C49" s="34" t="s">
        <v>20</v>
      </c>
      <c r="D49" s="74" t="s">
        <v>417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4"/>
      <c r="B50" s="115"/>
      <c r="C50" s="3" t="s">
        <v>445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399</v>
      </c>
      <c r="O50" s="2">
        <v>194</v>
      </c>
      <c r="P50" s="2">
        <v>195</v>
      </c>
      <c r="Q50" s="2"/>
    </row>
    <row r="51" spans="1:21" x14ac:dyDescent="0.25">
      <c r="A51" s="114"/>
      <c r="B51" s="115"/>
      <c r="C51" s="34" t="s">
        <v>398</v>
      </c>
      <c r="D51" s="4" t="s">
        <v>543</v>
      </c>
      <c r="E51" s="7" t="s">
        <v>462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4"/>
      <c r="B52" s="115"/>
      <c r="C52" s="3" t="s">
        <v>403</v>
      </c>
      <c r="D52" s="71" t="s">
        <v>442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4"/>
      <c r="B53" s="115"/>
      <c r="C53" s="3" t="s">
        <v>400</v>
      </c>
      <c r="D53" s="102" t="s">
        <v>525</v>
      </c>
      <c r="E53" s="103" t="s">
        <v>463</v>
      </c>
      <c r="F53" s="103" t="s">
        <v>464</v>
      </c>
      <c r="G53" s="80" t="s">
        <v>574</v>
      </c>
      <c r="H53" s="80" t="s">
        <v>105</v>
      </c>
      <c r="I53" s="80" t="s">
        <v>106</v>
      </c>
      <c r="J53" s="80" t="s">
        <v>588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4"/>
      <c r="B54" s="115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431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4"/>
      <c r="B55" s="115" t="s">
        <v>567</v>
      </c>
      <c r="C55" s="34" t="s">
        <v>527</v>
      </c>
      <c r="D55" s="4" t="s">
        <v>526</v>
      </c>
      <c r="E55" s="75" t="s">
        <v>529</v>
      </c>
      <c r="F55" s="77" t="s">
        <v>294</v>
      </c>
      <c r="G55" s="3"/>
      <c r="H55" s="3"/>
      <c r="I55" s="3"/>
      <c r="J55" s="3"/>
      <c r="K55" s="3"/>
      <c r="L55" s="11"/>
      <c r="M55" s="22" t="s">
        <v>551</v>
      </c>
      <c r="O55" s="2">
        <v>49</v>
      </c>
      <c r="P55" s="2">
        <v>90</v>
      </c>
      <c r="Q55" s="2">
        <v>33</v>
      </c>
    </row>
    <row r="56" spans="1:21" x14ac:dyDescent="0.25">
      <c r="A56" s="114"/>
      <c r="B56" s="115"/>
      <c r="C56" s="34" t="s">
        <v>73</v>
      </c>
      <c r="D56" s="19" t="s">
        <v>532</v>
      </c>
      <c r="E56" s="19" t="s">
        <v>533</v>
      </c>
      <c r="F56" s="3"/>
      <c r="G56" s="3"/>
      <c r="H56" s="3"/>
      <c r="I56" s="3"/>
      <c r="J56" s="3"/>
      <c r="K56" s="3"/>
      <c r="L56" s="4"/>
      <c r="M56" s="22" t="s">
        <v>551</v>
      </c>
      <c r="O56" s="2">
        <v>14</v>
      </c>
      <c r="P56" s="2">
        <v>34</v>
      </c>
    </row>
    <row r="57" spans="1:21" x14ac:dyDescent="0.25">
      <c r="A57" s="114"/>
      <c r="B57" s="115"/>
      <c r="C57" s="34" t="s">
        <v>74</v>
      </c>
      <c r="D57" s="21" t="s">
        <v>531</v>
      </c>
      <c r="E57" s="80" t="s">
        <v>530</v>
      </c>
      <c r="F57" s="3"/>
      <c r="G57" s="3"/>
      <c r="H57" s="3"/>
      <c r="I57" s="3"/>
      <c r="J57" s="3"/>
      <c r="K57" s="3"/>
      <c r="L57" s="58"/>
      <c r="M57" s="22" t="s">
        <v>551</v>
      </c>
      <c r="O57" s="2">
        <v>51</v>
      </c>
      <c r="P57" s="2">
        <v>13</v>
      </c>
    </row>
    <row r="58" spans="1:21" x14ac:dyDescent="0.25">
      <c r="A58" s="114"/>
      <c r="B58" s="115"/>
      <c r="C58" s="3" t="s">
        <v>566</v>
      </c>
      <c r="D58" s="78" t="s">
        <v>573</v>
      </c>
      <c r="E58" s="78" t="s">
        <v>572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4"/>
      <c r="B59" s="115"/>
      <c r="C59" s="34" t="s">
        <v>75</v>
      </c>
      <c r="D59" s="77" t="s">
        <v>528</v>
      </c>
      <c r="E59" s="3"/>
      <c r="F59" s="3"/>
      <c r="G59" s="3"/>
      <c r="H59" s="3"/>
      <c r="I59" s="3"/>
      <c r="J59" s="3"/>
      <c r="K59" s="3"/>
      <c r="L59" s="14"/>
      <c r="M59" s="22" t="s">
        <v>551</v>
      </c>
      <c r="O59" s="26">
        <v>50</v>
      </c>
      <c r="P59" s="2"/>
      <c r="Q59" s="26"/>
    </row>
    <row r="60" spans="1:21" x14ac:dyDescent="0.25">
      <c r="A60" s="27"/>
      <c r="B60" s="115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5"/>
      <c r="C61" s="3" t="s">
        <v>511</v>
      </c>
      <c r="D61" s="68" t="s">
        <v>513</v>
      </c>
      <c r="E61" s="68" t="s">
        <v>512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5"/>
      <c r="C62" s="34" t="s">
        <v>159</v>
      </c>
      <c r="D62" s="68" t="s">
        <v>510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5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5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5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5"/>
      <c r="C66" s="34" t="s">
        <v>579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5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5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451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5"/>
      <c r="C69" s="3" t="s">
        <v>582</v>
      </c>
      <c r="D69" s="78" t="s">
        <v>453</v>
      </c>
      <c r="E69" s="78" t="s">
        <v>452</v>
      </c>
      <c r="F69" s="3"/>
      <c r="G69" s="3"/>
      <c r="H69" s="3"/>
      <c r="I69" s="3"/>
      <c r="J69" s="3"/>
      <c r="K69" s="3"/>
      <c r="L69" s="58"/>
      <c r="M69" s="57" t="s">
        <v>585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5"/>
      <c r="C70" s="34" t="s">
        <v>212</v>
      </c>
      <c r="D70" s="4" t="s">
        <v>455</v>
      </c>
      <c r="E70" s="75" t="s">
        <v>69</v>
      </c>
      <c r="F70" s="75" t="s">
        <v>444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5"/>
      <c r="C71" s="36" t="s">
        <v>214</v>
      </c>
      <c r="D71" s="4" t="s">
        <v>211</v>
      </c>
      <c r="E71" s="4" t="s">
        <v>578</v>
      </c>
      <c r="F71" s="80" t="s">
        <v>503</v>
      </c>
      <c r="G71" s="4" t="s">
        <v>570</v>
      </c>
      <c r="H71" s="75" t="s">
        <v>419</v>
      </c>
      <c r="I71" s="75" t="s">
        <v>65</v>
      </c>
      <c r="J71" s="4" t="s">
        <v>130</v>
      </c>
      <c r="K71" s="75" t="s">
        <v>213</v>
      </c>
      <c r="L71" s="14"/>
      <c r="M71" s="22" t="s">
        <v>450</v>
      </c>
      <c r="O71" s="2">
        <v>248</v>
      </c>
      <c r="P71" s="2">
        <v>376</v>
      </c>
      <c r="Q71" s="26">
        <v>347</v>
      </c>
      <c r="R71" s="2">
        <v>374</v>
      </c>
      <c r="S71" s="2">
        <v>315</v>
      </c>
      <c r="T71" s="2">
        <v>316</v>
      </c>
      <c r="U71" s="2">
        <v>249</v>
      </c>
      <c r="V71" s="2">
        <v>250</v>
      </c>
    </row>
    <row r="72" spans="1:22" x14ac:dyDescent="0.25">
      <c r="A72" s="111"/>
      <c r="B72" s="115"/>
      <c r="C72" s="3" t="s">
        <v>586</v>
      </c>
      <c r="D72" s="78" t="s">
        <v>197</v>
      </c>
      <c r="E72" s="78" t="s">
        <v>199</v>
      </c>
      <c r="F72" s="78" t="s">
        <v>587</v>
      </c>
      <c r="G72" s="78" t="s">
        <v>210</v>
      </c>
      <c r="H72" s="3"/>
      <c r="I72" s="3"/>
      <c r="J72" s="3"/>
      <c r="K72" s="3"/>
      <c r="L72" s="14"/>
      <c r="M72" s="22"/>
      <c r="O72" s="2">
        <v>379</v>
      </c>
      <c r="P72" s="2">
        <v>380</v>
      </c>
      <c r="Q72" s="2">
        <v>381</v>
      </c>
      <c r="R72" s="2">
        <v>382</v>
      </c>
      <c r="S72" s="2"/>
      <c r="T72" s="2"/>
      <c r="U72" s="2"/>
      <c r="V72" s="2"/>
    </row>
    <row r="73" spans="1:22" x14ac:dyDescent="0.25">
      <c r="A73" s="38"/>
      <c r="B73" s="115"/>
      <c r="C73" s="34" t="s">
        <v>173</v>
      </c>
      <c r="D73" s="4" t="s">
        <v>175</v>
      </c>
      <c r="E73" s="8" t="s">
        <v>176</v>
      </c>
      <c r="F73" s="76">
        <v>5</v>
      </c>
      <c r="G73" s="75">
        <v>8</v>
      </c>
      <c r="H73" s="3"/>
      <c r="I73" s="3"/>
      <c r="J73" s="3"/>
      <c r="K73" s="3"/>
      <c r="L73" s="4"/>
      <c r="M73" s="22" t="s">
        <v>177</v>
      </c>
      <c r="O73" s="2">
        <v>208</v>
      </c>
      <c r="P73" s="2">
        <v>209</v>
      </c>
      <c r="Q73" s="2">
        <v>210</v>
      </c>
      <c r="R73" s="2">
        <v>211</v>
      </c>
      <c r="S73" s="2"/>
      <c r="T73" s="2"/>
      <c r="U73" s="2"/>
    </row>
    <row r="74" spans="1:22" x14ac:dyDescent="0.25">
      <c r="A74" s="38"/>
      <c r="B74" s="115"/>
      <c r="C74" s="34" t="s">
        <v>174</v>
      </c>
      <c r="D74" s="78" t="s">
        <v>175</v>
      </c>
      <c r="E74" s="76" t="s">
        <v>176</v>
      </c>
      <c r="F74" s="76">
        <v>5</v>
      </c>
      <c r="G74" s="75">
        <v>8</v>
      </c>
      <c r="H74" s="3"/>
      <c r="I74" s="3"/>
      <c r="J74" s="3"/>
      <c r="K74" s="3"/>
      <c r="L74" s="58"/>
      <c r="M74" s="22" t="s">
        <v>178</v>
      </c>
      <c r="O74" s="2">
        <v>212</v>
      </c>
      <c r="P74" s="2">
        <v>213</v>
      </c>
      <c r="Q74" s="2">
        <v>214</v>
      </c>
      <c r="R74" s="2">
        <v>215</v>
      </c>
      <c r="S74" s="2"/>
      <c r="T74" s="2"/>
      <c r="U74" s="2"/>
    </row>
    <row r="75" spans="1:22" x14ac:dyDescent="0.25">
      <c r="A75" s="100"/>
      <c r="B75" s="115"/>
      <c r="C75" s="34" t="s">
        <v>179</v>
      </c>
      <c r="D75" s="75" t="s">
        <v>184</v>
      </c>
      <c r="E75" s="78" t="s">
        <v>183</v>
      </c>
      <c r="F75" s="75" t="s">
        <v>182</v>
      </c>
      <c r="G75" s="3"/>
      <c r="H75" s="3"/>
      <c r="I75" s="3"/>
      <c r="J75" s="3"/>
      <c r="K75" s="3"/>
      <c r="L75" s="11"/>
      <c r="M75" s="22"/>
      <c r="O75" s="2">
        <v>216</v>
      </c>
      <c r="P75" s="2">
        <v>217</v>
      </c>
      <c r="Q75" s="2">
        <v>218</v>
      </c>
      <c r="T75" s="2"/>
      <c r="U75" s="2"/>
      <c r="V75" s="2"/>
    </row>
    <row r="76" spans="1:22" x14ac:dyDescent="0.25">
      <c r="A76" s="39"/>
      <c r="B76" s="115"/>
      <c r="C76" s="34" t="s">
        <v>179</v>
      </c>
      <c r="D76" s="40" t="s">
        <v>185</v>
      </c>
      <c r="E76" s="75" t="s">
        <v>181</v>
      </c>
      <c r="F76" s="77" t="s">
        <v>50</v>
      </c>
      <c r="G76" s="77" t="s">
        <v>180</v>
      </c>
      <c r="H76" s="77" t="s">
        <v>336</v>
      </c>
      <c r="I76" s="75" t="s">
        <v>334</v>
      </c>
      <c r="J76" s="3"/>
      <c r="L76" s="11"/>
      <c r="M76" s="22"/>
      <c r="O76" s="2">
        <v>222</v>
      </c>
      <c r="P76" s="2">
        <v>219</v>
      </c>
      <c r="Q76" s="2">
        <v>220</v>
      </c>
      <c r="R76" s="2">
        <v>221</v>
      </c>
      <c r="S76" s="2">
        <v>291</v>
      </c>
      <c r="T76" s="2">
        <v>286</v>
      </c>
    </row>
    <row r="77" spans="1:22" x14ac:dyDescent="0.25">
      <c r="A77" s="55"/>
      <c r="B77" s="115"/>
      <c r="C77" s="34" t="s">
        <v>331</v>
      </c>
      <c r="D77" s="40" t="s">
        <v>523</v>
      </c>
      <c r="E77" s="40" t="s">
        <v>524</v>
      </c>
      <c r="F77" s="40" t="s">
        <v>349</v>
      </c>
      <c r="G77" s="40" t="s">
        <v>350</v>
      </c>
      <c r="H77" s="75" t="s">
        <v>348</v>
      </c>
      <c r="I77" s="77" t="s">
        <v>347</v>
      </c>
      <c r="J77" s="3"/>
      <c r="K77" s="3"/>
      <c r="L77" s="14"/>
      <c r="M77" s="22"/>
      <c r="O77" s="2">
        <v>296</v>
      </c>
      <c r="P77" s="2">
        <v>136</v>
      </c>
      <c r="Q77" s="2">
        <v>137</v>
      </c>
      <c r="R77" s="2">
        <v>138</v>
      </c>
      <c r="S77" s="2">
        <v>292</v>
      </c>
      <c r="T77" s="2">
        <v>295</v>
      </c>
    </row>
    <row r="78" spans="1:22" x14ac:dyDescent="0.25">
      <c r="A78" s="29"/>
      <c r="B78" s="115"/>
      <c r="C78" s="34" t="s">
        <v>68</v>
      </c>
      <c r="D78" s="77" t="s">
        <v>552</v>
      </c>
      <c r="E78" s="77" t="s">
        <v>65</v>
      </c>
      <c r="F78" s="75" t="s">
        <v>592</v>
      </c>
      <c r="G78" s="113" t="s">
        <v>591</v>
      </c>
      <c r="H78" s="77" t="s">
        <v>338</v>
      </c>
      <c r="I78" s="40" t="s">
        <v>458</v>
      </c>
      <c r="J78" s="3"/>
      <c r="K78" s="3"/>
      <c r="L78" s="4"/>
      <c r="M78" s="22"/>
      <c r="O78" s="2">
        <v>359</v>
      </c>
      <c r="P78" s="2">
        <v>83</v>
      </c>
      <c r="Q78" s="2">
        <v>223</v>
      </c>
      <c r="R78" s="2">
        <v>384</v>
      </c>
      <c r="S78" s="2">
        <v>224</v>
      </c>
      <c r="T78" s="2">
        <v>331</v>
      </c>
    </row>
    <row r="79" spans="1:22" x14ac:dyDescent="0.25">
      <c r="A79" s="27"/>
      <c r="B79" s="115"/>
      <c r="C79" s="34" t="s">
        <v>129</v>
      </c>
      <c r="D79" s="19" t="s">
        <v>130</v>
      </c>
      <c r="E79" s="75" t="s">
        <v>180</v>
      </c>
      <c r="F79" s="75" t="s">
        <v>298</v>
      </c>
      <c r="H79" s="3"/>
      <c r="I79" s="3"/>
      <c r="J79" s="3"/>
      <c r="K79" s="3"/>
      <c r="L79" s="58"/>
      <c r="M79" s="22"/>
      <c r="O79" s="2">
        <v>169</v>
      </c>
      <c r="P79" s="2">
        <v>187</v>
      </c>
      <c r="Q79" s="2">
        <v>276</v>
      </c>
    </row>
    <row r="80" spans="1:22" x14ac:dyDescent="0.25">
      <c r="A80" s="27"/>
      <c r="B80" s="115"/>
      <c r="C80" s="3" t="s">
        <v>79</v>
      </c>
      <c r="D80" s="92">
        <v>3</v>
      </c>
      <c r="E80" s="69" t="s">
        <v>53</v>
      </c>
      <c r="F80" s="3"/>
      <c r="G80" s="3"/>
      <c r="H80" s="3"/>
      <c r="I80" s="3"/>
      <c r="J80" s="3"/>
      <c r="K80" s="3"/>
      <c r="L80" s="11"/>
      <c r="M80" s="22" t="s">
        <v>80</v>
      </c>
      <c r="O80" s="2">
        <v>89</v>
      </c>
      <c r="P80" s="2">
        <v>96</v>
      </c>
    </row>
    <row r="81" spans="1:22" x14ac:dyDescent="0.25">
      <c r="A81" s="27"/>
      <c r="B81" s="115"/>
      <c r="C81" s="34" t="s">
        <v>519</v>
      </c>
      <c r="D81" s="19" t="s">
        <v>534</v>
      </c>
      <c r="E81" s="19" t="s">
        <v>535</v>
      </c>
      <c r="F81" s="80" t="s">
        <v>536</v>
      </c>
      <c r="G81" s="76" t="s">
        <v>537</v>
      </c>
      <c r="H81" s="77" t="s">
        <v>294</v>
      </c>
      <c r="I81" s="3"/>
      <c r="J81" s="3"/>
      <c r="K81" s="3"/>
      <c r="L81" s="14"/>
      <c r="M81" s="22"/>
      <c r="O81" s="2">
        <v>268</v>
      </c>
      <c r="P81" s="2">
        <v>269</v>
      </c>
      <c r="Q81" s="2">
        <v>270</v>
      </c>
      <c r="R81" s="25">
        <v>271</v>
      </c>
      <c r="S81" s="25">
        <v>272</v>
      </c>
      <c r="T81" s="25"/>
      <c r="U81" s="25"/>
    </row>
    <row r="82" spans="1:22" x14ac:dyDescent="0.25">
      <c r="A82" s="104"/>
      <c r="B82" s="115"/>
      <c r="C82" s="34" t="s">
        <v>520</v>
      </c>
      <c r="D82" s="19" t="s">
        <v>534</v>
      </c>
      <c r="E82" s="19" t="s">
        <v>535</v>
      </c>
      <c r="F82" s="7" t="s">
        <v>536</v>
      </c>
      <c r="G82" s="76" t="s">
        <v>537</v>
      </c>
      <c r="H82" s="77" t="s">
        <v>294</v>
      </c>
      <c r="I82" s="3"/>
      <c r="J82" s="3"/>
      <c r="K82" s="3"/>
      <c r="L82" s="14"/>
      <c r="M82" s="22"/>
      <c r="O82" s="2">
        <v>354</v>
      </c>
      <c r="P82" s="2">
        <v>355</v>
      </c>
      <c r="Q82" s="2">
        <v>356</v>
      </c>
      <c r="R82" s="25">
        <v>357</v>
      </c>
      <c r="S82" s="25">
        <v>358</v>
      </c>
      <c r="T82" s="25"/>
      <c r="U82" s="25"/>
    </row>
    <row r="83" spans="1:22" x14ac:dyDescent="0.25">
      <c r="A83" s="46"/>
      <c r="B83" s="115"/>
      <c r="C83" s="34" t="s">
        <v>295</v>
      </c>
      <c r="D83" s="78" t="s">
        <v>297</v>
      </c>
      <c r="E83" s="3"/>
      <c r="F83" s="3"/>
      <c r="G83" s="3"/>
      <c r="H83" s="3"/>
      <c r="I83" s="3"/>
      <c r="J83" s="3"/>
      <c r="K83" s="3"/>
      <c r="L83" s="4"/>
      <c r="M83" s="22"/>
      <c r="O83" s="2">
        <v>273</v>
      </c>
      <c r="P83" s="2"/>
      <c r="Q83" s="2"/>
      <c r="R83" s="25"/>
      <c r="S83" s="25"/>
      <c r="T83" s="25"/>
      <c r="U83" s="25"/>
    </row>
    <row r="84" spans="1:22" x14ac:dyDescent="0.25">
      <c r="A84" s="27"/>
      <c r="B84" s="115"/>
      <c r="C84" s="34" t="s">
        <v>76</v>
      </c>
      <c r="D84" s="75" t="s">
        <v>304</v>
      </c>
      <c r="E84" s="75" t="s">
        <v>302</v>
      </c>
      <c r="F84" s="75" t="s">
        <v>303</v>
      </c>
      <c r="G84" s="3"/>
      <c r="H84" s="3"/>
      <c r="I84" s="3"/>
      <c r="J84" s="3"/>
      <c r="K84" s="3"/>
      <c r="L84" s="58"/>
      <c r="M84" s="22"/>
      <c r="O84" s="2">
        <v>91</v>
      </c>
      <c r="P84" s="2">
        <v>275</v>
      </c>
      <c r="Q84" s="2">
        <v>277</v>
      </c>
    </row>
    <row r="85" spans="1:22" x14ac:dyDescent="0.25">
      <c r="A85" s="27"/>
      <c r="B85" s="115"/>
      <c r="C85" s="34" t="s">
        <v>424</v>
      </c>
      <c r="D85" s="80" t="s">
        <v>539</v>
      </c>
      <c r="E85" s="80" t="s">
        <v>538</v>
      </c>
      <c r="F85" s="80" t="s">
        <v>423</v>
      </c>
      <c r="G85" s="80" t="s">
        <v>518</v>
      </c>
      <c r="H85" s="80" t="s">
        <v>446</v>
      </c>
      <c r="I85" s="80" t="s">
        <v>477</v>
      </c>
      <c r="J85" s="3"/>
      <c r="K85" s="3"/>
      <c r="L85" s="11"/>
      <c r="M85" s="22"/>
      <c r="O85" s="2">
        <v>47</v>
      </c>
      <c r="P85" s="2">
        <v>75</v>
      </c>
      <c r="Q85" s="2">
        <v>317</v>
      </c>
      <c r="R85" s="25">
        <v>318</v>
      </c>
      <c r="S85" s="25">
        <v>322</v>
      </c>
      <c r="T85" s="25">
        <v>335</v>
      </c>
    </row>
    <row r="86" spans="1:22" x14ac:dyDescent="0.25">
      <c r="A86" s="27"/>
      <c r="B86" s="115"/>
      <c r="C86" s="3" t="s">
        <v>137</v>
      </c>
      <c r="D86" s="59" t="s">
        <v>186</v>
      </c>
      <c r="E86" s="77" t="s">
        <v>115</v>
      </c>
      <c r="F86" s="3"/>
      <c r="H86" s="3"/>
      <c r="I86" s="3"/>
      <c r="J86" s="3"/>
      <c r="K86" s="3"/>
      <c r="L86" s="14"/>
      <c r="M86" s="22"/>
      <c r="O86" s="2">
        <v>225</v>
      </c>
      <c r="P86" s="2">
        <v>30</v>
      </c>
      <c r="Q86" s="2"/>
    </row>
    <row r="87" spans="1:22" x14ac:dyDescent="0.25">
      <c r="A87" s="29"/>
      <c r="B87" s="115"/>
      <c r="C87" s="30" t="s">
        <v>162</v>
      </c>
      <c r="D87" s="78">
        <v>1</v>
      </c>
      <c r="E87" s="76">
        <v>2</v>
      </c>
      <c r="F87" s="75" t="s">
        <v>52</v>
      </c>
      <c r="G87" s="3"/>
      <c r="H87" s="3"/>
      <c r="I87" s="3"/>
      <c r="J87" s="3"/>
      <c r="K87" s="3"/>
      <c r="L87" s="4"/>
      <c r="M87" s="22" t="s">
        <v>135</v>
      </c>
      <c r="O87" s="2">
        <v>93</v>
      </c>
      <c r="P87" s="2">
        <v>94</v>
      </c>
      <c r="Q87" s="2">
        <v>95</v>
      </c>
      <c r="T87" s="2"/>
    </row>
    <row r="88" spans="1:22" x14ac:dyDescent="0.25">
      <c r="A88" s="29"/>
      <c r="B88" s="115"/>
      <c r="C88" s="30" t="s">
        <v>138</v>
      </c>
      <c r="D88" s="59">
        <v>1</v>
      </c>
      <c r="E88" s="8">
        <v>2</v>
      </c>
      <c r="F88" s="75" t="s">
        <v>52</v>
      </c>
      <c r="G88" s="3"/>
      <c r="H88" s="3"/>
      <c r="I88" s="3"/>
      <c r="J88" s="3"/>
      <c r="K88" s="3"/>
      <c r="L88" s="58"/>
      <c r="M88" s="22" t="s">
        <v>136</v>
      </c>
      <c r="O88" s="2">
        <v>188</v>
      </c>
      <c r="P88" s="2">
        <v>189</v>
      </c>
      <c r="Q88" s="2">
        <v>190</v>
      </c>
      <c r="R88" s="2"/>
      <c r="S88" s="2"/>
      <c r="T88" s="2"/>
    </row>
    <row r="89" spans="1:22" x14ac:dyDescent="0.25">
      <c r="A89" s="27"/>
      <c r="B89" s="115"/>
      <c r="C89" s="34" t="s">
        <v>92</v>
      </c>
      <c r="D89" s="75" t="s">
        <v>93</v>
      </c>
      <c r="E89" s="3"/>
      <c r="F89" s="3"/>
      <c r="G89" s="3"/>
      <c r="H89" s="3"/>
      <c r="I89" s="3"/>
      <c r="J89" s="3"/>
      <c r="K89" s="3"/>
      <c r="L89" s="11"/>
      <c r="M89" s="22"/>
      <c r="O89" s="2">
        <v>24</v>
      </c>
    </row>
    <row r="90" spans="1:22" x14ac:dyDescent="0.25">
      <c r="A90" s="27"/>
      <c r="B90" s="115"/>
      <c r="C90" s="3" t="s">
        <v>95</v>
      </c>
      <c r="D90" s="64" t="s">
        <v>134</v>
      </c>
      <c r="E90" s="66" t="s">
        <v>133</v>
      </c>
      <c r="F90" s="28"/>
      <c r="G90" s="28"/>
      <c r="H90" s="28"/>
      <c r="I90" s="3"/>
      <c r="J90" s="3"/>
      <c r="K90" s="3"/>
      <c r="L90" s="14"/>
      <c r="M90" s="22"/>
      <c r="O90" s="2">
        <v>35</v>
      </c>
      <c r="P90" s="2">
        <v>46</v>
      </c>
    </row>
    <row r="91" spans="1:22" x14ac:dyDescent="0.25">
      <c r="A91" s="43"/>
      <c r="B91" s="120" t="s">
        <v>248</v>
      </c>
      <c r="C91" s="3" t="s">
        <v>249</v>
      </c>
      <c r="D91" s="4" t="s">
        <v>318</v>
      </c>
      <c r="E91" s="10" t="s">
        <v>250</v>
      </c>
      <c r="F91" s="75" t="s">
        <v>454</v>
      </c>
      <c r="G91" s="75" t="s">
        <v>251</v>
      </c>
      <c r="H91" s="8" t="s">
        <v>252</v>
      </c>
      <c r="I91" s="3"/>
      <c r="J91" s="3"/>
      <c r="K91" s="3"/>
      <c r="L91" s="4"/>
      <c r="M91" s="22"/>
      <c r="O91" s="2">
        <v>256</v>
      </c>
      <c r="P91" s="2">
        <v>257</v>
      </c>
      <c r="Q91" s="25">
        <v>327</v>
      </c>
      <c r="R91" s="25">
        <v>259</v>
      </c>
      <c r="S91" s="25">
        <v>261</v>
      </c>
      <c r="T91" s="25"/>
    </row>
    <row r="92" spans="1:22" x14ac:dyDescent="0.25">
      <c r="A92" s="55"/>
      <c r="B92" s="121"/>
      <c r="C92" s="3" t="s">
        <v>249</v>
      </c>
      <c r="D92" s="8" t="s">
        <v>437</v>
      </c>
      <c r="E92" s="75" t="s">
        <v>253</v>
      </c>
      <c r="F92" s="10" t="s">
        <v>254</v>
      </c>
      <c r="G92" s="8" t="s">
        <v>255</v>
      </c>
      <c r="H92" s="8" t="s">
        <v>313</v>
      </c>
      <c r="I92" s="8" t="s">
        <v>312</v>
      </c>
      <c r="J92" s="3"/>
      <c r="K92" s="3"/>
      <c r="L92" s="58"/>
      <c r="M92" s="22"/>
      <c r="O92" s="2">
        <v>323</v>
      </c>
      <c r="P92" s="2">
        <v>263</v>
      </c>
      <c r="Q92" s="2">
        <v>264</v>
      </c>
      <c r="R92" s="25">
        <v>265</v>
      </c>
      <c r="S92" s="25">
        <v>266</v>
      </c>
      <c r="T92" s="25">
        <v>279</v>
      </c>
    </row>
    <row r="93" spans="1:22" x14ac:dyDescent="0.25">
      <c r="A93" s="55"/>
      <c r="B93" s="121"/>
      <c r="C93" s="3" t="s">
        <v>316</v>
      </c>
      <c r="D93" s="4" t="s">
        <v>318</v>
      </c>
      <c r="E93" s="10" t="s">
        <v>250</v>
      </c>
      <c r="F93" s="75" t="s">
        <v>454</v>
      </c>
      <c r="G93" s="75" t="s">
        <v>251</v>
      </c>
      <c r="H93" s="68" t="s">
        <v>320</v>
      </c>
      <c r="I93" s="76" t="s">
        <v>492</v>
      </c>
      <c r="J93" s="3"/>
      <c r="K93" s="3"/>
      <c r="L93" s="11"/>
      <c r="M93" s="22"/>
      <c r="O93" s="2">
        <v>258</v>
      </c>
      <c r="P93" s="2">
        <v>280</v>
      </c>
      <c r="Q93" s="2">
        <v>328</v>
      </c>
      <c r="R93" s="2">
        <v>281</v>
      </c>
      <c r="S93" s="25">
        <v>260</v>
      </c>
      <c r="T93" s="25">
        <v>97</v>
      </c>
    </row>
    <row r="94" spans="1:22" x14ac:dyDescent="0.25">
      <c r="A94" s="55"/>
      <c r="B94" s="121"/>
      <c r="C94" s="3" t="s">
        <v>329</v>
      </c>
      <c r="D94" s="4" t="s">
        <v>330</v>
      </c>
      <c r="E94" s="76" t="s">
        <v>352</v>
      </c>
      <c r="F94" s="76" t="s">
        <v>69</v>
      </c>
      <c r="G94" s="3"/>
      <c r="H94" s="3"/>
      <c r="I94" s="3"/>
      <c r="J94" s="3"/>
      <c r="K94" s="3"/>
      <c r="L94" s="14"/>
      <c r="M94" s="22" t="s">
        <v>368</v>
      </c>
      <c r="O94" s="2">
        <v>282</v>
      </c>
      <c r="P94" s="2">
        <v>297</v>
      </c>
      <c r="Q94" s="2">
        <v>298</v>
      </c>
      <c r="R94" s="25"/>
      <c r="S94" s="25"/>
    </row>
    <row r="95" spans="1:22" x14ac:dyDescent="0.25">
      <c r="A95" s="55"/>
      <c r="B95" s="121"/>
      <c r="C95" s="34" t="s">
        <v>337</v>
      </c>
      <c r="D95" s="78" t="s">
        <v>318</v>
      </c>
      <c r="E95" s="76" t="s">
        <v>346</v>
      </c>
      <c r="F95" s="8" t="s">
        <v>344</v>
      </c>
      <c r="G95" s="76" t="s">
        <v>345</v>
      </c>
      <c r="H95" s="75" t="s">
        <v>77</v>
      </c>
      <c r="I95" s="75" t="s">
        <v>470</v>
      </c>
      <c r="J95" s="75" t="s">
        <v>473</v>
      </c>
      <c r="K95" s="8" t="s">
        <v>180</v>
      </c>
      <c r="L95" s="4"/>
      <c r="M95" s="15"/>
      <c r="O95" s="2">
        <v>287</v>
      </c>
      <c r="P95" s="2">
        <v>294</v>
      </c>
      <c r="Q95" s="2">
        <v>293</v>
      </c>
      <c r="R95" s="2">
        <v>288</v>
      </c>
      <c r="S95" s="25">
        <v>290</v>
      </c>
      <c r="T95" s="25">
        <v>333</v>
      </c>
      <c r="U95" s="25">
        <v>334</v>
      </c>
      <c r="V95" s="2">
        <v>289</v>
      </c>
    </row>
    <row r="96" spans="1:22" x14ac:dyDescent="0.25">
      <c r="A96" s="43"/>
      <c r="B96" s="122"/>
      <c r="C96" s="44" t="s">
        <v>321</v>
      </c>
      <c r="D96" s="88" t="s">
        <v>318</v>
      </c>
      <c r="E96" s="89" t="s">
        <v>130</v>
      </c>
      <c r="F96" s="89" t="s">
        <v>323</v>
      </c>
      <c r="G96" s="89" t="s">
        <v>322</v>
      </c>
      <c r="H96" s="3"/>
      <c r="I96" s="3"/>
      <c r="J96" s="3"/>
      <c r="K96" s="3"/>
      <c r="L96" s="58"/>
      <c r="M96" s="15"/>
      <c r="O96" s="2">
        <v>262</v>
      </c>
      <c r="P96" s="2">
        <v>283</v>
      </c>
      <c r="Q96" s="2">
        <v>284</v>
      </c>
      <c r="R96" s="25">
        <v>285</v>
      </c>
      <c r="S96" s="25"/>
      <c r="T96" s="25"/>
      <c r="U96" s="25"/>
    </row>
    <row r="97" spans="1:22" x14ac:dyDescent="0.25">
      <c r="A97" s="41"/>
      <c r="B97" s="115" t="s">
        <v>206</v>
      </c>
      <c r="C97" s="34" t="s">
        <v>206</v>
      </c>
      <c r="D97" s="4" t="s">
        <v>216</v>
      </c>
      <c r="E97" s="75" t="s">
        <v>215</v>
      </c>
      <c r="F97" s="75" t="s">
        <v>207</v>
      </c>
      <c r="G97" s="75" t="s">
        <v>205</v>
      </c>
      <c r="H97" s="75" t="s">
        <v>219</v>
      </c>
      <c r="I97" s="75" t="s">
        <v>223</v>
      </c>
      <c r="J97" s="75" t="s">
        <v>222</v>
      </c>
      <c r="K97" s="75" t="s">
        <v>210</v>
      </c>
      <c r="L97" s="11"/>
      <c r="M97" s="15"/>
      <c r="O97" s="2">
        <v>233</v>
      </c>
      <c r="P97" s="2">
        <v>234</v>
      </c>
      <c r="Q97" s="2">
        <v>235</v>
      </c>
      <c r="R97" s="25">
        <v>236</v>
      </c>
      <c r="S97" s="25">
        <v>237</v>
      </c>
      <c r="T97" s="25">
        <v>254</v>
      </c>
      <c r="U97" s="25">
        <v>197</v>
      </c>
      <c r="V97" s="25">
        <v>247</v>
      </c>
    </row>
    <row r="98" spans="1:22" x14ac:dyDescent="0.25">
      <c r="A98" s="41"/>
      <c r="B98" s="115"/>
      <c r="C98" s="34" t="s">
        <v>195</v>
      </c>
      <c r="D98" s="75" t="s">
        <v>197</v>
      </c>
      <c r="E98" s="4" t="s">
        <v>198</v>
      </c>
      <c r="F98" s="75" t="s">
        <v>199</v>
      </c>
      <c r="G98" s="4" t="s">
        <v>200</v>
      </c>
      <c r="H98" s="75" t="s">
        <v>208</v>
      </c>
      <c r="I98" s="75" t="s">
        <v>191</v>
      </c>
      <c r="J98" s="75" t="s">
        <v>209</v>
      </c>
      <c r="K98" s="75" t="s">
        <v>180</v>
      </c>
      <c r="L98" s="14"/>
      <c r="M98" s="15"/>
      <c r="O98" s="2">
        <v>226</v>
      </c>
      <c r="P98" s="2">
        <v>227</v>
      </c>
      <c r="Q98" s="2">
        <v>228</v>
      </c>
      <c r="R98" s="25">
        <v>229</v>
      </c>
      <c r="S98" s="25">
        <v>230</v>
      </c>
      <c r="T98" s="25">
        <v>231</v>
      </c>
      <c r="U98" s="25">
        <v>232</v>
      </c>
      <c r="V98" s="25">
        <v>88</v>
      </c>
    </row>
    <row r="99" spans="1:22" x14ac:dyDescent="0.25">
      <c r="A99" s="41"/>
      <c r="B99" s="115"/>
      <c r="C99" s="34" t="s">
        <v>217</v>
      </c>
      <c r="D99" s="4" t="s">
        <v>204</v>
      </c>
      <c r="E99" s="4" t="s">
        <v>306</v>
      </c>
      <c r="F99" s="4" t="s">
        <v>307</v>
      </c>
      <c r="G99" s="75" t="s">
        <v>77</v>
      </c>
      <c r="H99" s="44"/>
      <c r="I99" s="44"/>
      <c r="J99" s="44"/>
      <c r="K99" s="44"/>
      <c r="L99" s="4"/>
      <c r="M99" s="15"/>
      <c r="O99" s="2">
        <v>238</v>
      </c>
      <c r="P99" s="2">
        <v>239</v>
      </c>
      <c r="Q99" s="2">
        <v>278</v>
      </c>
      <c r="R99" s="2">
        <v>240</v>
      </c>
    </row>
    <row r="100" spans="1:22" x14ac:dyDescent="0.25">
      <c r="A100" s="100"/>
      <c r="B100" s="115"/>
      <c r="C100" s="3" t="s">
        <v>479</v>
      </c>
      <c r="D100" s="68" t="s">
        <v>482</v>
      </c>
      <c r="E100" s="68" t="s">
        <v>480</v>
      </c>
      <c r="F100" s="68" t="s">
        <v>542</v>
      </c>
      <c r="G100" s="68" t="s">
        <v>481</v>
      </c>
      <c r="H100" s="68" t="s">
        <v>483</v>
      </c>
      <c r="I100" s="3"/>
      <c r="J100" s="3"/>
      <c r="K100" s="3"/>
      <c r="L100" s="14"/>
      <c r="M100" s="22" t="s">
        <v>484</v>
      </c>
      <c r="O100" s="2">
        <v>336</v>
      </c>
      <c r="P100" s="2">
        <v>337</v>
      </c>
      <c r="Q100" s="2">
        <v>338</v>
      </c>
      <c r="R100" s="25">
        <v>339</v>
      </c>
      <c r="S100" s="25">
        <v>340</v>
      </c>
    </row>
    <row r="101" spans="1:22" x14ac:dyDescent="0.25">
      <c r="A101" s="104"/>
      <c r="B101" s="115"/>
      <c r="C101" s="3" t="s">
        <v>545</v>
      </c>
      <c r="D101" s="75" t="s">
        <v>52</v>
      </c>
      <c r="E101" s="3"/>
      <c r="F101" s="3"/>
      <c r="G101" s="3"/>
      <c r="H101" s="3"/>
      <c r="I101" s="3"/>
      <c r="J101" s="3"/>
      <c r="K101" s="3"/>
      <c r="L101" s="14"/>
      <c r="M101" s="22"/>
      <c r="O101" s="2">
        <v>41</v>
      </c>
      <c r="P101" s="2"/>
      <c r="Q101" s="2"/>
      <c r="R101" s="25"/>
      <c r="S101" s="25"/>
    </row>
    <row r="102" spans="1:22" x14ac:dyDescent="0.25">
      <c r="A102" s="104"/>
      <c r="B102" s="115"/>
      <c r="C102" s="34" t="s">
        <v>75</v>
      </c>
      <c r="D102" s="78" t="s">
        <v>293</v>
      </c>
      <c r="E102" s="75" t="s">
        <v>220</v>
      </c>
      <c r="F102" s="75" t="s">
        <v>221</v>
      </c>
      <c r="G102" s="44"/>
      <c r="H102" s="44"/>
      <c r="I102" s="44"/>
      <c r="J102" s="44"/>
      <c r="K102" s="44"/>
      <c r="L102" s="58"/>
      <c r="M102" s="15"/>
      <c r="O102" s="2">
        <v>267</v>
      </c>
      <c r="P102" s="2">
        <v>252</v>
      </c>
      <c r="Q102" s="2">
        <v>253</v>
      </c>
    </row>
    <row r="103" spans="1:22" x14ac:dyDescent="0.25">
      <c r="A103" s="41"/>
      <c r="B103" s="115"/>
      <c r="C103" s="34" t="s">
        <v>371</v>
      </c>
      <c r="D103" s="4" t="s">
        <v>196</v>
      </c>
      <c r="E103" s="4" t="s">
        <v>201</v>
      </c>
      <c r="F103" s="75" t="s">
        <v>218</v>
      </c>
      <c r="G103" s="10" t="s">
        <v>203</v>
      </c>
      <c r="H103" s="75" t="s">
        <v>202</v>
      </c>
      <c r="I103" s="75" t="s">
        <v>470</v>
      </c>
      <c r="J103" s="75" t="s">
        <v>474</v>
      </c>
      <c r="K103" s="44"/>
      <c r="L103" s="11"/>
      <c r="M103" s="15"/>
      <c r="O103" s="2">
        <v>241</v>
      </c>
      <c r="P103" s="2">
        <v>242</v>
      </c>
      <c r="Q103" s="2">
        <v>251</v>
      </c>
      <c r="R103" s="2">
        <v>243</v>
      </c>
      <c r="S103" s="25">
        <v>244</v>
      </c>
      <c r="T103" s="25">
        <v>274</v>
      </c>
      <c r="U103" s="25">
        <v>332</v>
      </c>
    </row>
    <row r="104" spans="1:22" x14ac:dyDescent="0.25">
      <c r="A104" s="55"/>
      <c r="B104" s="115"/>
      <c r="C104" s="3" t="s">
        <v>194</v>
      </c>
      <c r="D104" s="69" t="s">
        <v>362</v>
      </c>
      <c r="E104" s="78" t="s">
        <v>372</v>
      </c>
      <c r="F104" s="69" t="s">
        <v>490</v>
      </c>
      <c r="G104" s="44"/>
      <c r="H104" s="44"/>
      <c r="I104" s="44"/>
      <c r="J104" s="44"/>
      <c r="K104" s="44"/>
      <c r="L104" s="14"/>
      <c r="M104" s="15"/>
      <c r="O104" s="25">
        <v>139</v>
      </c>
      <c r="P104" s="2">
        <v>299</v>
      </c>
      <c r="Q104" s="2">
        <v>341</v>
      </c>
      <c r="R104" s="2"/>
      <c r="S104" s="25"/>
      <c r="T104" s="25"/>
      <c r="U104" s="25"/>
    </row>
    <row r="105" spans="1:22" x14ac:dyDescent="0.25">
      <c r="A105" s="41"/>
      <c r="B105" s="115"/>
      <c r="C105" s="34" t="s">
        <v>193</v>
      </c>
      <c r="D105" s="4" t="s">
        <v>376</v>
      </c>
      <c r="E105" s="78">
        <v>5</v>
      </c>
      <c r="F105" s="75" t="s">
        <v>192</v>
      </c>
      <c r="G105" s="75" t="s">
        <v>225</v>
      </c>
      <c r="H105" s="44"/>
      <c r="I105" s="44"/>
      <c r="J105" s="44"/>
      <c r="K105" s="44"/>
      <c r="L105" s="4"/>
      <c r="M105" s="15"/>
      <c r="O105" s="2">
        <v>301</v>
      </c>
      <c r="P105" s="2">
        <v>245</v>
      </c>
      <c r="Q105" s="2">
        <v>246</v>
      </c>
      <c r="R105" s="2">
        <v>255</v>
      </c>
    </row>
    <row r="107" spans="1:22" x14ac:dyDescent="0.25">
      <c r="B107" s="1" t="s">
        <v>29</v>
      </c>
    </row>
    <row r="108" spans="1:22" x14ac:dyDescent="0.25">
      <c r="B108" s="1"/>
    </row>
    <row r="109" spans="1:22" x14ac:dyDescent="0.25">
      <c r="B109" s="1" t="s">
        <v>30</v>
      </c>
      <c r="C109" s="2" t="s">
        <v>37</v>
      </c>
    </row>
    <row r="110" spans="1:22" x14ac:dyDescent="0.25">
      <c r="B110" s="98" t="s">
        <v>131</v>
      </c>
      <c r="C110" s="2" t="s">
        <v>132</v>
      </c>
    </row>
    <row r="111" spans="1:22" x14ac:dyDescent="0.25">
      <c r="B111" s="35" t="s">
        <v>160</v>
      </c>
      <c r="C111" s="2" t="s">
        <v>161</v>
      </c>
    </row>
    <row r="112" spans="1:22" x14ac:dyDescent="0.25">
      <c r="B112" s="97" t="s">
        <v>34</v>
      </c>
      <c r="C112" s="2" t="s">
        <v>32</v>
      </c>
    </row>
    <row r="113" spans="2:3" ht="15" x14ac:dyDescent="0.25">
      <c r="B113" s="90" t="s">
        <v>36</v>
      </c>
      <c r="C113" s="2" t="s">
        <v>35</v>
      </c>
    </row>
    <row r="114" spans="2:3" x14ac:dyDescent="0.25">
      <c r="B114" s="16" t="s">
        <v>31</v>
      </c>
      <c r="C114" s="2" t="s">
        <v>33</v>
      </c>
    </row>
    <row r="115" spans="2:3" x14ac:dyDescent="0.25">
      <c r="B115" s="8" t="s">
        <v>38</v>
      </c>
      <c r="C115" s="2" t="s">
        <v>468</v>
      </c>
    </row>
    <row r="116" spans="2:3" x14ac:dyDescent="0.25">
      <c r="B116" s="18">
        <v>63</v>
      </c>
      <c r="C116" s="2" t="s">
        <v>61</v>
      </c>
    </row>
    <row r="118" spans="2:3" x14ac:dyDescent="0.25">
      <c r="B118" s="91" t="s">
        <v>42</v>
      </c>
    </row>
    <row r="120" spans="2:3" x14ac:dyDescent="0.25">
      <c r="B120" t="s">
        <v>43</v>
      </c>
      <c r="C120" t="s">
        <v>44</v>
      </c>
    </row>
    <row r="121" spans="2:3" x14ac:dyDescent="0.25">
      <c r="B121" t="s">
        <v>45</v>
      </c>
      <c r="C121" t="s">
        <v>46</v>
      </c>
    </row>
    <row r="123" spans="2:3" x14ac:dyDescent="0.25">
      <c r="B123" s="2" t="s">
        <v>47</v>
      </c>
    </row>
    <row r="125" spans="2:3" x14ac:dyDescent="0.25">
      <c r="B125" t="s">
        <v>57</v>
      </c>
    </row>
    <row r="126" spans="2:3" x14ac:dyDescent="0.25">
      <c r="B126" s="2" t="s">
        <v>48</v>
      </c>
    </row>
    <row r="127" spans="2:3" x14ac:dyDescent="0.25">
      <c r="B127" s="2" t="s">
        <v>62</v>
      </c>
    </row>
    <row r="129" spans="2:3" x14ac:dyDescent="0.25">
      <c r="B129" s="2" t="s">
        <v>152</v>
      </c>
    </row>
    <row r="130" spans="2:3" x14ac:dyDescent="0.25">
      <c r="B130" s="2" t="s">
        <v>60</v>
      </c>
      <c r="C130" s="2" t="s">
        <v>163</v>
      </c>
    </row>
    <row r="131" spans="2:3" x14ac:dyDescent="0.25">
      <c r="B131" s="2" t="s">
        <v>153</v>
      </c>
      <c r="C131" s="2" t="s">
        <v>165</v>
      </c>
    </row>
    <row r="132" spans="2:3" x14ac:dyDescent="0.25">
      <c r="B132" s="2" t="s">
        <v>154</v>
      </c>
      <c r="C132" s="2" t="s">
        <v>164</v>
      </c>
    </row>
    <row r="133" spans="2:3" x14ac:dyDescent="0.25">
      <c r="B133" s="2" t="s">
        <v>16</v>
      </c>
      <c r="C133" s="2" t="s">
        <v>155</v>
      </c>
    </row>
  </sheetData>
  <mergeCells count="23">
    <mergeCell ref="B97:B105"/>
    <mergeCell ref="B60:B67"/>
    <mergeCell ref="B55:B59"/>
    <mergeCell ref="B68:B90"/>
    <mergeCell ref="B1:M1"/>
    <mergeCell ref="B91:B96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5"/>
  <sheetViews>
    <sheetView topLeftCell="E1" zoomScale="130" zoomScaleNormal="130" workbookViewId="0">
      <pane ySplit="1" topLeftCell="A2" activePane="bottomLeft" state="frozen"/>
      <selection pane="bottomLeft" activeCell="R2" sqref="R2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595</v>
      </c>
      <c r="G1" s="47" t="s">
        <v>550</v>
      </c>
      <c r="H1" s="47" t="s">
        <v>551</v>
      </c>
      <c r="I1" s="47" t="s">
        <v>287</v>
      </c>
      <c r="J1" s="47" t="s">
        <v>286</v>
      </c>
      <c r="K1" s="47" t="s">
        <v>288</v>
      </c>
      <c r="L1" s="47" t="s">
        <v>289</v>
      </c>
      <c r="M1" s="47" t="s">
        <v>268</v>
      </c>
      <c r="N1" s="47" t="s">
        <v>290</v>
      </c>
      <c r="O1" s="47" t="s">
        <v>291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311</v>
      </c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563</v>
      </c>
      <c r="D3" s="52" t="s">
        <v>562</v>
      </c>
      <c r="E3" s="56" t="s">
        <v>49</v>
      </c>
      <c r="F3" s="49" t="s">
        <v>311</v>
      </c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596</v>
      </c>
      <c r="S3" s="52" t="s">
        <v>433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407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415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383</v>
      </c>
      <c r="E5" s="56" t="s">
        <v>139</v>
      </c>
      <c r="F5" s="50"/>
      <c r="G5" s="106">
        <f>VLOOKUP($A5, Stat!$A$1:$C$501, 2,0)</f>
        <v>22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460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383</v>
      </c>
      <c r="E6" s="56" t="s">
        <v>172</v>
      </c>
      <c r="F6" s="50"/>
      <c r="G6" s="106">
        <f>VLOOKUP($A6, Stat!$A$1:$C$501, 2,0)</f>
        <v>40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461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311</v>
      </c>
      <c r="G9" s="106">
        <f>VLOOKUP($A9, Stat!$A$1:$C$501, 2,0)</f>
        <v>482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425</v>
      </c>
      <c r="E10" s="56" t="s">
        <v>428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430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374</v>
      </c>
      <c r="F11" s="50"/>
      <c r="G11" s="106">
        <f>VLOOKUP($A11, Stat!$A$1:$C$501, 2,0)</f>
        <v>39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441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388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270</v>
      </c>
      <c r="N13" s="50"/>
      <c r="O13" s="50"/>
      <c r="P13" s="52">
        <v>100</v>
      </c>
      <c r="Q13" s="52">
        <v>0</v>
      </c>
      <c r="S13" s="52" t="s">
        <v>390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567</v>
      </c>
      <c r="D14" s="52" t="s">
        <v>74</v>
      </c>
      <c r="E14" s="56" t="s">
        <v>530</v>
      </c>
      <c r="F14" s="50"/>
      <c r="G14" s="106">
        <f>VLOOKUP($A14, Stat!$A$1:$C$501, 2,0)</f>
        <v>58</v>
      </c>
      <c r="H14" s="106">
        <f>VLOOKUP($A14, Stat!$A$1:$C$501, 3,0)</f>
        <v>10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551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567</v>
      </c>
      <c r="D15" s="52" t="s">
        <v>73</v>
      </c>
      <c r="E15" s="56" t="s">
        <v>532</v>
      </c>
      <c r="F15" s="50"/>
      <c r="G15" s="106">
        <f>VLOOKUP($A15, Stat!$A$1:$C$501, 2,0)</f>
        <v>182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551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361</v>
      </c>
      <c r="E16" s="56" t="s">
        <v>158</v>
      </c>
      <c r="F16" s="49"/>
      <c r="G16" s="106">
        <f>VLOOKUP($A16, Stat!$A$1:$C$501, 2,0)</f>
        <v>99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501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361</v>
      </c>
      <c r="E17" s="56" t="s">
        <v>157</v>
      </c>
      <c r="F17" s="49"/>
      <c r="G17" s="106">
        <f>VLOOKUP($A17, Stat!$A$1:$C$501, 2,0)</f>
        <v>46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501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269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267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564</v>
      </c>
      <c r="D19" s="52" t="s">
        <v>494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556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564</v>
      </c>
      <c r="D20" s="52" t="s">
        <v>494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434</v>
      </c>
      <c r="N20" s="50"/>
      <c r="O20" s="50"/>
      <c r="P20" s="52">
        <v>60</v>
      </c>
      <c r="Q20" s="52">
        <v>0</v>
      </c>
      <c r="R20" s="52" t="s">
        <v>556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417</v>
      </c>
      <c r="F21" s="49" t="s">
        <v>269</v>
      </c>
      <c r="G21" s="106">
        <f>VLOOKUP($A21, Stat!$A$1:$C$501, 2,0)</f>
        <v>118</v>
      </c>
      <c r="H21" s="106">
        <f>VLOOKUP($A21, Stat!$A$1:$C$501, 3,0)</f>
        <v>1</v>
      </c>
      <c r="J21" s="48">
        <v>1</v>
      </c>
      <c r="M21" s="49"/>
      <c r="N21" s="50"/>
      <c r="O21" s="49" t="s">
        <v>267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382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311</v>
      </c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269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267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50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409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416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31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311</v>
      </c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13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579</v>
      </c>
      <c r="E30" s="56" t="s">
        <v>16</v>
      </c>
      <c r="F30" s="50"/>
      <c r="G30" s="106">
        <f>VLOOKUP($A30, Stat!$A$1:$C$501, 2,0)</f>
        <v>324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563</v>
      </c>
      <c r="D32" s="52" t="s">
        <v>562</v>
      </c>
      <c r="E32" s="56" t="s">
        <v>50</v>
      </c>
      <c r="F32" s="49" t="s">
        <v>311</v>
      </c>
      <c r="G32" s="106">
        <f>VLOOKUP($A32, Stat!$A$1:$C$501, 2,0)</f>
        <v>30</v>
      </c>
      <c r="H32" s="106">
        <f>VLOOKUP($A32, Stat!$A$1:$C$501, 3,0)</f>
        <v>3</v>
      </c>
      <c r="I32" s="107"/>
      <c r="M32" s="49" t="s">
        <v>311</v>
      </c>
      <c r="N32" s="50"/>
      <c r="O32" s="50"/>
      <c r="P32" s="52">
        <v>60</v>
      </c>
      <c r="Q32" s="52">
        <v>0</v>
      </c>
      <c r="R32" s="52" t="s">
        <v>596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563</v>
      </c>
      <c r="D33" s="52" t="s">
        <v>562</v>
      </c>
      <c r="E33" s="56" t="s">
        <v>23</v>
      </c>
      <c r="F33" s="49" t="s">
        <v>311</v>
      </c>
      <c r="G33" s="106">
        <f>VLOOKUP($A33, Stat!$A$1:$C$501, 2,0)</f>
        <v>18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596</v>
      </c>
      <c r="S33" s="52" t="s">
        <v>565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567</v>
      </c>
      <c r="D34" s="52" t="s">
        <v>527</v>
      </c>
      <c r="E34" s="56" t="s">
        <v>294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551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567</v>
      </c>
      <c r="D35" s="52" t="s">
        <v>73</v>
      </c>
      <c r="E35" s="56" t="s">
        <v>533</v>
      </c>
      <c r="F35" s="50"/>
      <c r="G35" s="106">
        <f>VLOOKUP($A35, Stat!$A$1:$C$501, 2,0)</f>
        <v>43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551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379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385</v>
      </c>
      <c r="F38" s="50"/>
      <c r="G38" s="106">
        <f>VLOOKUP($A38, Stat!$A$1:$C$501, 2,0)</f>
        <v>28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167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418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373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398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544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545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546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311</v>
      </c>
      <c r="G43" s="106">
        <f>VLOOKUP($A43, Stat!$A$1:$C$501, 2,0)</f>
        <v>195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311</v>
      </c>
      <c r="G44" s="106">
        <f>VLOOKUP($A44, Stat!$A$1:$C$501, 2,0)</f>
        <v>80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311</v>
      </c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311</v>
      </c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554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68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424</v>
      </c>
      <c r="E48" s="56" t="s">
        <v>539</v>
      </c>
      <c r="F48" s="50"/>
      <c r="G48" s="106">
        <f>VLOOKUP($A48, Stat!$A$1:$C$501, 2,0)</f>
        <v>100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422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400</v>
      </c>
      <c r="E49" s="56" t="s">
        <v>525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267</v>
      </c>
      <c r="P49" s="52">
        <v>30</v>
      </c>
      <c r="Q49" s="52">
        <v>0</v>
      </c>
      <c r="S49" s="52" t="s">
        <v>540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567</v>
      </c>
      <c r="D50" s="52" t="s">
        <v>527</v>
      </c>
      <c r="E50" s="56" t="s">
        <v>526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551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567</v>
      </c>
      <c r="D51" s="52" t="s">
        <v>75</v>
      </c>
      <c r="E51" s="56" t="s">
        <v>528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551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567</v>
      </c>
      <c r="D52" s="52" t="s">
        <v>74</v>
      </c>
      <c r="E52" s="56" t="s">
        <v>531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551</v>
      </c>
      <c r="T52" s="52">
        <v>1</v>
      </c>
    </row>
    <row r="53" spans="1:20" ht="13.2" customHeight="1" x14ac:dyDescent="0.25">
      <c r="A53" s="52">
        <v>52</v>
      </c>
      <c r="B53" s="52" t="s">
        <v>41</v>
      </c>
      <c r="C53" s="52" t="s">
        <v>567</v>
      </c>
      <c r="D53" s="52" t="s">
        <v>566</v>
      </c>
      <c r="E53" s="52" t="s">
        <v>573</v>
      </c>
      <c r="G53" s="106">
        <f>VLOOKUP($A53, Stat!$A$1:$C$501, 2,0)</f>
        <v>12</v>
      </c>
      <c r="H53" s="106">
        <f>VLOOKUP($A53, Stat!$A$1:$C$501, 3,0)</f>
        <v>1</v>
      </c>
      <c r="P53" s="52">
        <v>0</v>
      </c>
      <c r="Q53" s="52">
        <v>0</v>
      </c>
      <c r="S53" s="52" t="s">
        <v>568</v>
      </c>
      <c r="T53" s="52">
        <v>1</v>
      </c>
    </row>
    <row r="54" spans="1:20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311</v>
      </c>
      <c r="G54" s="106">
        <f>VLOOKUP($A54, Stat!$A$1:$C$501, 2,0)</f>
        <v>46</v>
      </c>
      <c r="H54" s="106">
        <f>VLOOKUP($A54, Stat!$A$1:$C$501, 3,0)</f>
        <v>0</v>
      </c>
      <c r="I54" s="108"/>
      <c r="M54" s="50"/>
      <c r="N54" s="50"/>
      <c r="O54" s="50"/>
      <c r="P54" s="52">
        <v>0</v>
      </c>
      <c r="Q54" s="52">
        <v>-1</v>
      </c>
      <c r="T54" s="52">
        <v>1</v>
      </c>
    </row>
    <row r="55" spans="1:20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311</v>
      </c>
      <c r="G55" s="106">
        <f>VLOOKUP($A55, Stat!$A$1:$C$501, 2,0)</f>
        <v>26</v>
      </c>
      <c r="H55" s="106">
        <f>VLOOKUP($A55, Stat!$A$1:$C$501, 3,0)</f>
        <v>0</v>
      </c>
      <c r="I55" s="108"/>
      <c r="M55" s="50"/>
      <c r="N55" s="50"/>
      <c r="O55" s="50"/>
      <c r="P55" s="52">
        <v>10</v>
      </c>
      <c r="Q55" s="52">
        <v>-1</v>
      </c>
      <c r="T55" s="52">
        <v>1</v>
      </c>
    </row>
    <row r="56" spans="1:20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311</v>
      </c>
      <c r="G56" s="106">
        <f>VLOOKUP($A56, Stat!$A$1:$C$501, 2,0)</f>
        <v>41</v>
      </c>
      <c r="H56" s="106">
        <f>VLOOKUP($A56, Stat!$A$1:$C$501, 3,0)</f>
        <v>0</v>
      </c>
      <c r="I56" s="108"/>
      <c r="M56" s="50"/>
      <c r="N56" s="50"/>
      <c r="O56" s="50"/>
      <c r="P56" s="52">
        <v>40</v>
      </c>
      <c r="Q56" s="52">
        <v>-1</v>
      </c>
      <c r="T56" s="52">
        <v>1</v>
      </c>
    </row>
    <row r="57" spans="1:20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311</v>
      </c>
      <c r="G57" s="106">
        <f>VLOOKUP($A57, Stat!$A$1:$C$501, 2,0)</f>
        <v>25</v>
      </c>
      <c r="H57" s="106">
        <f>VLOOKUP($A57, Stat!$A$1:$C$501, 3,0)</f>
        <v>0</v>
      </c>
      <c r="I57" s="108"/>
      <c r="M57" s="50"/>
      <c r="N57" s="50"/>
      <c r="O57" s="50"/>
      <c r="P57" s="52">
        <v>60</v>
      </c>
      <c r="Q57" s="52">
        <v>-1</v>
      </c>
      <c r="T57" s="52">
        <v>1</v>
      </c>
    </row>
    <row r="58" spans="1:20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311</v>
      </c>
      <c r="F58" s="49" t="s">
        <v>269</v>
      </c>
      <c r="G58" s="106">
        <f>VLOOKUP($A58, Stat!$A$1:$C$501, 2,0)</f>
        <v>517</v>
      </c>
      <c r="H58" s="106">
        <f>VLOOKUP($A58, Stat!$A$1:$C$501, 3,0)</f>
        <v>1</v>
      </c>
      <c r="I58" s="109"/>
      <c r="M58" s="49"/>
      <c r="N58" s="50"/>
      <c r="O58" s="49" t="s">
        <v>267</v>
      </c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311</v>
      </c>
      <c r="G59" s="106">
        <f>VLOOKUP($A59, Stat!$A$1:$C$501, 2,0)</f>
        <v>170</v>
      </c>
      <c r="H59" s="106">
        <f>VLOOKUP($A59, Stat!$A$1:$C$501, 3,0)</f>
        <v>33</v>
      </c>
      <c r="I59" s="48">
        <v>1</v>
      </c>
      <c r="M59" s="50"/>
      <c r="N59" s="50"/>
      <c r="O59" s="50"/>
      <c r="P59" s="52">
        <v>0</v>
      </c>
      <c r="Q59" s="52">
        <v>-1</v>
      </c>
      <c r="T59" s="52">
        <v>1</v>
      </c>
    </row>
    <row r="60" spans="1:20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311</v>
      </c>
      <c r="G60" s="106">
        <f>VLOOKUP($A60, Stat!$A$1:$C$501, 2,0)</f>
        <v>205</v>
      </c>
      <c r="H60" s="106">
        <f>VLOOKUP($A60, Stat!$A$1:$C$501, 3,0)</f>
        <v>0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311</v>
      </c>
      <c r="G61" s="106">
        <f>VLOOKUP($A61, Stat!$A$1:$C$501, 2,0)</f>
        <v>59</v>
      </c>
      <c r="H61" s="106">
        <f>VLOOKUP($A61, Stat!$A$1:$C$501, 3,0)</f>
        <v>6</v>
      </c>
      <c r="I61" s="109"/>
      <c r="M61" s="50"/>
      <c r="N61" s="50"/>
      <c r="O61" s="50"/>
      <c r="P61" s="52">
        <v>0</v>
      </c>
      <c r="Q61" s="52">
        <v>1</v>
      </c>
      <c r="T61" s="52">
        <v>1</v>
      </c>
    </row>
    <row r="62" spans="1:20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311</v>
      </c>
      <c r="G62" s="106">
        <f>VLOOKUP($A62, Stat!$A$1:$C$501, 2,0)</f>
        <v>48</v>
      </c>
      <c r="H62" s="106">
        <f>VLOOKUP($A62, Stat!$A$1:$C$501, 3,0)</f>
        <v>5</v>
      </c>
      <c r="I62" s="109"/>
      <c r="M62" s="49"/>
      <c r="N62" s="50"/>
      <c r="O62" s="50"/>
      <c r="P62" s="52">
        <v>40</v>
      </c>
      <c r="Q62" s="52">
        <v>1</v>
      </c>
      <c r="T62" s="52">
        <v>1</v>
      </c>
    </row>
    <row r="63" spans="1:20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311</v>
      </c>
      <c r="G63" s="106">
        <f>VLOOKUP($A63, Stat!$A$1:$C$501, 2,0)</f>
        <v>31</v>
      </c>
      <c r="H63" s="106">
        <f>VLOOKUP($A63, Stat!$A$1:$C$501, 3,0)</f>
        <v>3</v>
      </c>
      <c r="I63" s="109"/>
      <c r="M63" s="50"/>
      <c r="N63" s="50"/>
      <c r="O63" s="50"/>
      <c r="P63" s="52">
        <v>100</v>
      </c>
      <c r="Q63" s="52">
        <v>0</v>
      </c>
      <c r="T63" s="52">
        <v>1</v>
      </c>
    </row>
    <row r="64" spans="1:20" ht="13.2" customHeight="1" x14ac:dyDescent="0.25">
      <c r="A64" s="52">
        <v>63</v>
      </c>
      <c r="B64" s="52" t="s">
        <v>39</v>
      </c>
      <c r="C64" s="52" t="s">
        <v>83</v>
      </c>
      <c r="D64" s="52" t="s">
        <v>256</v>
      </c>
      <c r="E64" s="56" t="s">
        <v>3</v>
      </c>
      <c r="F64" s="49" t="s">
        <v>311</v>
      </c>
      <c r="G64" s="106">
        <f>VLOOKUP($A64, Stat!$A$1:$C$501, 2,0)</f>
        <v>26</v>
      </c>
      <c r="H64" s="106">
        <f>VLOOKUP($A64, Stat!$A$1:$C$501, 3,0)</f>
        <v>8</v>
      </c>
      <c r="I64" s="48">
        <v>1</v>
      </c>
      <c r="M64" s="49" t="s">
        <v>278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64</v>
      </c>
      <c r="B65" s="52" t="s">
        <v>39</v>
      </c>
      <c r="C65" s="52" t="s">
        <v>83</v>
      </c>
      <c r="D65" s="52" t="s">
        <v>256</v>
      </c>
      <c r="E65" s="56" t="s">
        <v>4</v>
      </c>
      <c r="F65" s="49" t="s">
        <v>311</v>
      </c>
      <c r="G65" s="106">
        <f>VLOOKUP($A65, Stat!$A$1:$C$501, 2,0)</f>
        <v>6</v>
      </c>
      <c r="H65" s="106">
        <f>VLOOKUP($A65, Stat!$A$1:$C$501, 3,0)</f>
        <v>2</v>
      </c>
      <c r="I65" s="48">
        <v>1</v>
      </c>
      <c r="M65" s="49" t="s">
        <v>279</v>
      </c>
      <c r="N65" s="50"/>
      <c r="O65" s="50"/>
      <c r="P65" s="52">
        <v>0</v>
      </c>
      <c r="Q65" s="52">
        <v>0</v>
      </c>
      <c r="T65" s="52">
        <v>1</v>
      </c>
    </row>
    <row r="66" spans="1:20" ht="13.2" customHeight="1" x14ac:dyDescent="0.25">
      <c r="A66" s="52">
        <v>65</v>
      </c>
      <c r="B66" s="52" t="s">
        <v>39</v>
      </c>
      <c r="C66" s="52" t="s">
        <v>83</v>
      </c>
      <c r="D66" s="52" t="s">
        <v>256</v>
      </c>
      <c r="E66" s="56" t="s">
        <v>5</v>
      </c>
      <c r="F66" s="49" t="s">
        <v>311</v>
      </c>
      <c r="G66" s="106">
        <f>VLOOKUP($A66, Stat!$A$1:$C$501, 2,0)</f>
        <v>7</v>
      </c>
      <c r="H66" s="106">
        <f>VLOOKUP($A66, Stat!$A$1:$C$501, 3,0)</f>
        <v>2</v>
      </c>
      <c r="I66" s="48">
        <v>1</v>
      </c>
      <c r="M66" s="49" t="s">
        <v>280</v>
      </c>
      <c r="N66" s="50"/>
      <c r="O66" s="50"/>
      <c r="P66" s="52">
        <v>60</v>
      </c>
      <c r="Q66" s="52">
        <v>0</v>
      </c>
      <c r="T66" s="52">
        <v>1</v>
      </c>
    </row>
    <row r="67" spans="1:20" ht="13.2" customHeight="1" x14ac:dyDescent="0.25">
      <c r="A67" s="52">
        <v>66</v>
      </c>
      <c r="B67" s="52" t="s">
        <v>39</v>
      </c>
      <c r="C67" s="52" t="s">
        <v>83</v>
      </c>
      <c r="D67" s="52" t="s">
        <v>256</v>
      </c>
      <c r="E67" s="56" t="s">
        <v>51</v>
      </c>
      <c r="F67" s="49" t="s">
        <v>311</v>
      </c>
      <c r="G67" s="106">
        <f>VLOOKUP($A67, Stat!$A$1:$C$501, 2,0)</f>
        <v>5</v>
      </c>
      <c r="H67" s="106">
        <f>VLOOKUP($A67, Stat!$A$1:$C$501, 3,0)</f>
        <v>3</v>
      </c>
      <c r="I67" s="48">
        <v>1</v>
      </c>
      <c r="M67" s="49" t="s">
        <v>281</v>
      </c>
      <c r="N67" s="50"/>
      <c r="O67" s="50"/>
      <c r="P67" s="52">
        <v>100</v>
      </c>
      <c r="Q67" s="52">
        <v>0</v>
      </c>
      <c r="T67" s="52">
        <v>1</v>
      </c>
    </row>
    <row r="68" spans="1:20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269</v>
      </c>
      <c r="F68" s="50"/>
      <c r="G68" s="106">
        <f>VLOOKUP($A68, Stat!$A$1:$C$501, 2,0)</f>
        <v>176</v>
      </c>
      <c r="H68" s="106">
        <f>VLOOKUP($A68, Stat!$A$1:$C$501, 3,0)</f>
        <v>44</v>
      </c>
      <c r="I68" s="109">
        <v>1</v>
      </c>
      <c r="M68" s="50"/>
      <c r="N68" s="50"/>
      <c r="O68" s="50"/>
      <c r="P68" s="52">
        <v>0</v>
      </c>
      <c r="Q68" s="52">
        <v>-1</v>
      </c>
      <c r="T68" s="52">
        <v>1</v>
      </c>
    </row>
    <row r="69" spans="1:20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106">
        <f>VLOOKUP($A69, Stat!$A$1:$C$501, 2,0)</f>
        <v>19</v>
      </c>
      <c r="H69" s="106">
        <f>VLOOKUP($A69, Stat!$A$1:$C$501, 3,0)</f>
        <v>10</v>
      </c>
      <c r="I69" s="48">
        <v>1</v>
      </c>
      <c r="M69" s="50"/>
      <c r="N69" s="50"/>
      <c r="O69" s="50"/>
      <c r="P69" s="52">
        <v>70</v>
      </c>
      <c r="Q69" s="52">
        <v>-1</v>
      </c>
      <c r="T69" s="52">
        <v>1</v>
      </c>
    </row>
    <row r="70" spans="1:20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106">
        <f>VLOOKUP($A70, Stat!$A$1:$C$501, 2,0)</f>
        <v>70</v>
      </c>
      <c r="H70" s="106">
        <f>VLOOKUP($A70, Stat!$A$1:$C$501, 3,0)</f>
        <v>24</v>
      </c>
      <c r="I70" s="48">
        <v>1</v>
      </c>
      <c r="M70" s="50"/>
      <c r="N70" s="50"/>
      <c r="O70" s="50"/>
      <c r="P70" s="52">
        <v>100</v>
      </c>
      <c r="Q70" s="52">
        <v>0</v>
      </c>
      <c r="T70" s="52">
        <v>1</v>
      </c>
    </row>
    <row r="71" spans="1:20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308</v>
      </c>
      <c r="F71" s="49" t="s">
        <v>311</v>
      </c>
      <c r="G71" s="106">
        <f>VLOOKUP($A71, Stat!$A$1:$C$501, 2,0)</f>
        <v>38</v>
      </c>
      <c r="H71" s="106">
        <f>VLOOKUP($A71, Stat!$A$1:$C$501, 3,0)</f>
        <v>0</v>
      </c>
      <c r="I71" s="109"/>
      <c r="L71" s="48">
        <v>1</v>
      </c>
      <c r="M71" s="50"/>
      <c r="N71" s="50"/>
      <c r="O71" s="50"/>
      <c r="P71" s="52">
        <v>60</v>
      </c>
      <c r="Q71" s="52">
        <v>0</v>
      </c>
      <c r="T71" s="52">
        <v>1</v>
      </c>
    </row>
    <row r="72" spans="1:20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311</v>
      </c>
      <c r="G72" s="106">
        <f>VLOOKUP($A72, Stat!$A$1:$C$501, 2,0)</f>
        <v>10</v>
      </c>
      <c r="H72" s="106">
        <f>VLOOKUP($A72, Stat!$A$1:$C$501, 3,0)</f>
        <v>1</v>
      </c>
      <c r="I72" s="109"/>
      <c r="L72" s="48">
        <v>1</v>
      </c>
      <c r="M72" s="49" t="s">
        <v>265</v>
      </c>
      <c r="N72" s="50"/>
      <c r="O72" s="50"/>
      <c r="P72" s="52">
        <v>100</v>
      </c>
      <c r="Q72" s="52">
        <v>0</v>
      </c>
      <c r="T72" s="52">
        <v>1</v>
      </c>
    </row>
    <row r="73" spans="1:20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380</v>
      </c>
      <c r="F73" s="50"/>
      <c r="G73" s="106">
        <f>VLOOKUP($A73, Stat!$A$1:$C$501, 2,0)</f>
        <v>25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381</v>
      </c>
      <c r="F74" s="50"/>
      <c r="G74" s="106">
        <f>VLOOKUP($A74, Stat!$A$1:$C$501, 2,0)</f>
        <v>23</v>
      </c>
      <c r="H74" s="106">
        <f>VLOOKUP($A74, Stat!$A$1:$C$501, 3,0)</f>
        <v>0</v>
      </c>
      <c r="I74" s="109"/>
      <c r="M74" s="50"/>
      <c r="N74" s="50"/>
      <c r="O74" s="50"/>
      <c r="P74" s="52">
        <v>60</v>
      </c>
      <c r="Q74" s="52">
        <v>0</v>
      </c>
      <c r="S74" s="52" t="s">
        <v>230</v>
      </c>
      <c r="T74" s="52">
        <v>1</v>
      </c>
    </row>
    <row r="75" spans="1:20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106">
        <f>VLOOKUP($A75, Stat!$A$1:$C$501, 2,0)</f>
        <v>25</v>
      </c>
      <c r="H75" s="106">
        <f>VLOOKUP($A75, Stat!$A$1:$C$501, 3,0)</f>
        <v>4</v>
      </c>
      <c r="I75" s="48">
        <v>1</v>
      </c>
      <c r="M75" s="50"/>
      <c r="N75" s="50"/>
      <c r="O75" s="50"/>
      <c r="P75" s="52">
        <v>60</v>
      </c>
      <c r="Q75" s="52">
        <v>0</v>
      </c>
      <c r="S75" s="52" t="s">
        <v>233</v>
      </c>
      <c r="T75" s="52">
        <v>1</v>
      </c>
    </row>
    <row r="76" spans="1:20" ht="13.2" customHeight="1" x14ac:dyDescent="0.25">
      <c r="A76" s="52">
        <v>75</v>
      </c>
      <c r="B76" s="52" t="s">
        <v>41</v>
      </c>
      <c r="C76" s="52" t="s">
        <v>64</v>
      </c>
      <c r="D76" s="52" t="s">
        <v>424</v>
      </c>
      <c r="E76" s="56" t="s">
        <v>538</v>
      </c>
      <c r="F76" s="50"/>
      <c r="G76" s="106">
        <f>VLOOKUP($A76, Stat!$A$1:$C$501, 2,0)</f>
        <v>35</v>
      </c>
      <c r="H76" s="106">
        <f>VLOOKUP($A76, Stat!$A$1:$C$501, 3,0)</f>
        <v>20</v>
      </c>
      <c r="I76" s="48">
        <v>1</v>
      </c>
      <c r="M76" s="50"/>
      <c r="N76" s="50"/>
      <c r="O76" s="50"/>
      <c r="P76" s="52">
        <v>30</v>
      </c>
      <c r="Q76" s="52">
        <v>0</v>
      </c>
      <c r="S76" s="52" t="s">
        <v>541</v>
      </c>
      <c r="T76" s="52">
        <v>1</v>
      </c>
    </row>
    <row r="77" spans="1:20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378</v>
      </c>
      <c r="F77" s="50"/>
      <c r="G77" s="106">
        <f>VLOOKUP($A77, Stat!$A$1:$C$501, 2,0)</f>
        <v>46</v>
      </c>
      <c r="H77" s="106">
        <f>VLOOKUP($A77, Stat!$A$1:$C$501, 3,0)</f>
        <v>1</v>
      </c>
      <c r="J77" s="48">
        <v>1</v>
      </c>
      <c r="M77" s="50"/>
      <c r="N77" s="50"/>
      <c r="O77" s="50"/>
      <c r="P77" s="52">
        <v>20</v>
      </c>
      <c r="Q77" s="52">
        <v>0</v>
      </c>
      <c r="S77" s="52" t="s">
        <v>229</v>
      </c>
      <c r="T77" s="52">
        <v>1</v>
      </c>
    </row>
    <row r="78" spans="1:20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269</v>
      </c>
      <c r="F78" s="49" t="s">
        <v>269</v>
      </c>
      <c r="G78" s="106">
        <f>VLOOKUP($A78, Stat!$A$1:$C$501, 2,0)</f>
        <v>577</v>
      </c>
      <c r="H78" s="106">
        <f>VLOOKUP($A78, Stat!$A$1:$C$501, 3,0)</f>
        <v>0</v>
      </c>
      <c r="I78" s="109"/>
      <c r="M78" s="49"/>
      <c r="N78" s="50"/>
      <c r="O78" s="49" t="s">
        <v>267</v>
      </c>
      <c r="P78" s="52">
        <v>0</v>
      </c>
      <c r="Q78" s="52">
        <v>-1</v>
      </c>
      <c r="T78" s="52">
        <v>1</v>
      </c>
    </row>
    <row r="79" spans="1:20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106">
        <f>VLOOKUP($A79, Stat!$A$1:$C$501, 2,0)</f>
        <v>69</v>
      </c>
      <c r="H79" s="106">
        <f>VLOOKUP($A79, Stat!$A$1:$C$501, 3,0)</f>
        <v>1</v>
      </c>
      <c r="L79" s="48">
        <v>1</v>
      </c>
      <c r="M79" s="50"/>
      <c r="N79" s="50"/>
      <c r="O79" s="50"/>
      <c r="P79" s="52">
        <v>60</v>
      </c>
      <c r="Q79" s="52">
        <v>-1</v>
      </c>
      <c r="S79" s="52" t="s">
        <v>382</v>
      </c>
      <c r="T79" s="52">
        <v>1</v>
      </c>
    </row>
    <row r="80" spans="1:20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106">
        <f>VLOOKUP($A80, Stat!$A$1:$C$501, 2,0)</f>
        <v>91</v>
      </c>
      <c r="H80" s="106">
        <f>VLOOKUP($A80, Stat!$A$1:$C$501, 3,0)</f>
        <v>0</v>
      </c>
      <c r="I80" s="109"/>
      <c r="L80" s="48">
        <v>1</v>
      </c>
      <c r="M80" s="50"/>
      <c r="N80" s="50"/>
      <c r="O80" s="50"/>
      <c r="P80" s="52">
        <v>30</v>
      </c>
      <c r="Q80" s="52">
        <v>-1</v>
      </c>
      <c r="S80" s="52" t="s">
        <v>382</v>
      </c>
      <c r="T80" s="52">
        <v>1</v>
      </c>
    </row>
    <row r="81" spans="1:20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106">
        <f>VLOOKUP($A81, Stat!$A$1:$C$501, 2,0)</f>
        <v>328</v>
      </c>
      <c r="H81" s="106">
        <f>VLOOKUP($A81, Stat!$A$1:$C$501, 3,0)</f>
        <v>2</v>
      </c>
      <c r="I81" s="109"/>
      <c r="M81" s="50"/>
      <c r="N81" s="50"/>
      <c r="O81" s="50"/>
      <c r="P81" s="52">
        <v>0</v>
      </c>
      <c r="Q81" s="52">
        <v>-1</v>
      </c>
      <c r="T81" s="52">
        <v>1</v>
      </c>
    </row>
    <row r="82" spans="1:20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106">
        <f>VLOOKUP($A82, Stat!$A$1:$C$501, 2,0)</f>
        <v>63</v>
      </c>
      <c r="H82" s="106">
        <f>VLOOKUP($A82, Stat!$A$1:$C$501, 3,0)</f>
        <v>2</v>
      </c>
      <c r="M82" s="50"/>
      <c r="N82" s="50"/>
      <c r="O82" s="50"/>
      <c r="P82" s="52">
        <v>60</v>
      </c>
      <c r="Q82" s="52">
        <v>1</v>
      </c>
      <c r="T82" s="52">
        <v>1</v>
      </c>
    </row>
    <row r="83" spans="1:20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106">
        <f>VLOOKUP($A83, Stat!$A$1:$C$501, 2,0)</f>
        <v>48</v>
      </c>
      <c r="H83" s="106">
        <f>VLOOKUP($A83, Stat!$A$1:$C$501, 3,0)</f>
        <v>11</v>
      </c>
      <c r="I83" s="48">
        <v>1</v>
      </c>
      <c r="M83" s="49" t="s">
        <v>266</v>
      </c>
      <c r="N83" s="50"/>
      <c r="O83" s="50"/>
      <c r="P83" s="52">
        <v>60</v>
      </c>
      <c r="Q83" s="52">
        <v>-1</v>
      </c>
      <c r="T83" s="52">
        <v>1</v>
      </c>
    </row>
    <row r="84" spans="1:20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106">
        <f>VLOOKUP($A84, Stat!$A$1:$C$501, 2,0)</f>
        <v>188</v>
      </c>
      <c r="H84" s="106">
        <f>VLOOKUP($A84, Stat!$A$1:$C$501, 3,0)</f>
        <v>5</v>
      </c>
      <c r="I84" s="109"/>
      <c r="M84" s="49" t="s">
        <v>333</v>
      </c>
      <c r="N84" s="50"/>
      <c r="O84" s="50"/>
      <c r="P84" s="52">
        <v>100</v>
      </c>
      <c r="Q84" s="52">
        <v>0</v>
      </c>
      <c r="T84" s="52">
        <v>1</v>
      </c>
    </row>
    <row r="85" spans="1:20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308</v>
      </c>
      <c r="G85" s="106">
        <f>VLOOKUP($A85, Stat!$A$1:$C$501, 2,0)</f>
        <v>120</v>
      </c>
      <c r="H85" s="106">
        <f>VLOOKUP($A85, Stat!$A$1:$C$501, 3,0)</f>
        <v>7</v>
      </c>
      <c r="M85" s="50"/>
      <c r="N85" s="50"/>
      <c r="O85" s="50"/>
      <c r="P85" s="52">
        <v>60</v>
      </c>
      <c r="Q85" s="52">
        <v>0</v>
      </c>
      <c r="T85" s="52">
        <v>1</v>
      </c>
    </row>
    <row r="86" spans="1:20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444</v>
      </c>
      <c r="F86" s="49" t="s">
        <v>308</v>
      </c>
      <c r="G86" s="106">
        <f>VLOOKUP($A86, Stat!$A$1:$C$501, 2,0)</f>
        <v>11</v>
      </c>
      <c r="H86" s="106">
        <f>VLOOKUP($A86, Stat!$A$1:$C$501, 3,0)</f>
        <v>4</v>
      </c>
      <c r="I86" s="48">
        <v>1</v>
      </c>
      <c r="M86" s="50"/>
      <c r="N86" s="50"/>
      <c r="O86" s="50"/>
      <c r="P86" s="52">
        <v>60</v>
      </c>
      <c r="Q86" s="52">
        <v>0</v>
      </c>
      <c r="S86" s="52" t="s">
        <v>447</v>
      </c>
      <c r="T86" s="52">
        <v>1</v>
      </c>
    </row>
    <row r="87" spans="1:20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308</v>
      </c>
      <c r="G87" s="106">
        <f>VLOOKUP($A87, Stat!$A$1:$C$501, 2,0)</f>
        <v>160</v>
      </c>
      <c r="H87" s="106">
        <f>VLOOKUP($A87, Stat!$A$1:$C$501, 3,0)</f>
        <v>1</v>
      </c>
      <c r="I87" s="109"/>
      <c r="M87" s="50"/>
      <c r="N87" s="50"/>
      <c r="O87" s="50"/>
      <c r="P87" s="52">
        <v>60</v>
      </c>
      <c r="Q87" s="52">
        <v>-1</v>
      </c>
      <c r="T87" s="52">
        <v>1</v>
      </c>
    </row>
    <row r="88" spans="1:20" ht="13.2" customHeight="1" x14ac:dyDescent="0.25">
      <c r="A88" s="52">
        <v>87</v>
      </c>
      <c r="B88" s="52" t="s">
        <v>41</v>
      </c>
      <c r="C88" s="52" t="s">
        <v>567</v>
      </c>
      <c r="D88" s="52" t="s">
        <v>566</v>
      </c>
      <c r="E88" s="52" t="s">
        <v>572</v>
      </c>
      <c r="G88" s="106">
        <f>VLOOKUP($A88, Stat!$A$1:$C$501, 2,0)</f>
        <v>46</v>
      </c>
      <c r="H88" s="106">
        <f>VLOOKUP($A88, Stat!$A$1:$C$501, 3,0)</f>
        <v>1</v>
      </c>
      <c r="P88" s="52">
        <v>0</v>
      </c>
      <c r="Q88" s="52">
        <v>0</v>
      </c>
      <c r="S88" s="52" t="s">
        <v>569</v>
      </c>
      <c r="T88" s="52">
        <v>1</v>
      </c>
    </row>
    <row r="89" spans="1:20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311</v>
      </c>
      <c r="G89" s="106">
        <f>VLOOKUP($A89, Stat!$A$1:$C$501, 2,0)</f>
        <v>32</v>
      </c>
      <c r="H89" s="106">
        <f>VLOOKUP($A89, Stat!$A$1:$C$501, 3,0)</f>
        <v>15</v>
      </c>
      <c r="I89" s="48">
        <v>1</v>
      </c>
      <c r="M89" s="50"/>
      <c r="N89" s="50"/>
      <c r="O89" s="50"/>
      <c r="P89" s="52">
        <v>60</v>
      </c>
      <c r="Q89" s="52">
        <v>0</v>
      </c>
      <c r="S89" s="52" t="s">
        <v>246</v>
      </c>
      <c r="T89" s="52">
        <v>1</v>
      </c>
    </row>
    <row r="90" spans="1:20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308</v>
      </c>
      <c r="F90" s="50"/>
      <c r="G90" s="106">
        <f>VLOOKUP($A90, Stat!$A$1:$C$501, 2,0)</f>
        <v>45</v>
      </c>
      <c r="H90" s="106">
        <f>VLOOKUP($A90, Stat!$A$1:$C$501, 3,0)</f>
        <v>0</v>
      </c>
      <c r="I90" s="109"/>
      <c r="M90" s="50"/>
      <c r="N90" s="50"/>
      <c r="O90" s="50"/>
      <c r="P90" s="52">
        <v>0</v>
      </c>
      <c r="Q90" s="52">
        <v>1</v>
      </c>
      <c r="R90" s="52" t="s">
        <v>80</v>
      </c>
      <c r="T90" s="52">
        <v>1</v>
      </c>
    </row>
    <row r="91" spans="1:20" ht="13.2" customHeight="1" x14ac:dyDescent="0.25">
      <c r="A91" s="52">
        <v>90</v>
      </c>
      <c r="B91" s="52" t="s">
        <v>41</v>
      </c>
      <c r="C91" s="52" t="s">
        <v>567</v>
      </c>
      <c r="D91" s="52" t="s">
        <v>527</v>
      </c>
      <c r="E91" s="56" t="s">
        <v>529</v>
      </c>
      <c r="F91" s="50"/>
      <c r="G91" s="106">
        <f>VLOOKUP($A91, Stat!$A$1:$C$501, 2,0)</f>
        <v>3</v>
      </c>
      <c r="H91" s="106">
        <f>VLOOKUP($A91, Stat!$A$1:$C$501, 3,0)</f>
        <v>1</v>
      </c>
      <c r="I91" s="48">
        <v>1</v>
      </c>
      <c r="M91" s="50"/>
      <c r="N91" s="50"/>
      <c r="O91" s="50"/>
      <c r="P91" s="52">
        <v>60</v>
      </c>
      <c r="Q91" s="52">
        <v>0</v>
      </c>
      <c r="R91" s="52" t="s">
        <v>551</v>
      </c>
      <c r="T91" s="52">
        <v>1</v>
      </c>
    </row>
    <row r="92" spans="1:20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304</v>
      </c>
      <c r="F92" s="50"/>
      <c r="G92" s="106">
        <f>VLOOKUP($A92, Stat!$A$1:$C$501, 2,0)</f>
        <v>5</v>
      </c>
      <c r="H92" s="106">
        <f>VLOOKUP($A92, Stat!$A$1:$C$501, 3,0)</f>
        <v>2</v>
      </c>
      <c r="I92" s="48">
        <v>1</v>
      </c>
      <c r="M92" s="50"/>
      <c r="N92" s="50"/>
      <c r="O92" s="50"/>
      <c r="P92" s="52">
        <v>60</v>
      </c>
      <c r="Q92" s="52">
        <v>0</v>
      </c>
      <c r="S92" s="52" t="s">
        <v>305</v>
      </c>
      <c r="T92" s="52">
        <v>1</v>
      </c>
    </row>
    <row r="93" spans="1:20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269</v>
      </c>
      <c r="G93" s="106">
        <f>VLOOKUP($A93, Stat!$A$1:$C$501, 2,0)</f>
        <v>102</v>
      </c>
      <c r="H93" s="106">
        <f>VLOOKUP($A93, Stat!$A$1:$C$501, 3,0)</f>
        <v>1</v>
      </c>
      <c r="M93" s="49"/>
      <c r="N93" s="50"/>
      <c r="O93" s="49" t="s">
        <v>267</v>
      </c>
      <c r="P93" s="52">
        <v>0</v>
      </c>
      <c r="Q93" s="52">
        <v>-1</v>
      </c>
      <c r="T93" s="52">
        <v>1</v>
      </c>
    </row>
    <row r="94" spans="1:20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269</v>
      </c>
      <c r="F94" s="50"/>
      <c r="G94" s="106">
        <f>VLOOKUP($A94, Stat!$A$1:$C$501, 2,0)</f>
        <v>38</v>
      </c>
      <c r="H94" s="106">
        <f>VLOOKUP($A94, Stat!$A$1:$C$501, 3,0)</f>
        <v>0</v>
      </c>
      <c r="I94" s="109"/>
      <c r="L94" s="48">
        <v>1</v>
      </c>
      <c r="M94" s="50"/>
      <c r="N94" s="50"/>
      <c r="O94" s="50"/>
      <c r="P94" s="52">
        <v>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311</v>
      </c>
      <c r="F95" s="50"/>
      <c r="G95" s="106">
        <f>VLOOKUP($A95, Stat!$A$1:$C$501, 2,0)</f>
        <v>4</v>
      </c>
      <c r="H95" s="106">
        <f>VLOOKUP($A95, Stat!$A$1:$C$501, 3,0)</f>
        <v>0</v>
      </c>
      <c r="I95" s="109"/>
      <c r="L95" s="48">
        <v>1</v>
      </c>
      <c r="M95" s="49" t="s">
        <v>275</v>
      </c>
      <c r="N95" s="50"/>
      <c r="O95" s="50"/>
      <c r="P95" s="52">
        <v>40</v>
      </c>
      <c r="Q95" s="52">
        <v>0</v>
      </c>
      <c r="R95" s="52" t="s">
        <v>135</v>
      </c>
      <c r="T95" s="52">
        <v>1</v>
      </c>
    </row>
    <row r="96" spans="1:20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106">
        <f>VLOOKUP($A96, Stat!$A$1:$C$501, 2,0)</f>
        <v>22</v>
      </c>
      <c r="H96" s="106">
        <f>VLOOKUP($A96, Stat!$A$1:$C$501, 3,0)</f>
        <v>0</v>
      </c>
      <c r="I96" s="109"/>
      <c r="L96" s="48">
        <v>1</v>
      </c>
      <c r="M96" s="49" t="s">
        <v>274</v>
      </c>
      <c r="N96" s="50"/>
      <c r="O96" s="50"/>
      <c r="P96" s="52">
        <v>60</v>
      </c>
      <c r="Q96" s="52">
        <v>0</v>
      </c>
      <c r="R96" s="52" t="s">
        <v>135</v>
      </c>
      <c r="T96" s="52">
        <v>1</v>
      </c>
    </row>
    <row r="97" spans="1:20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106">
        <f>VLOOKUP($A97, Stat!$A$1:$C$501, 2,0)</f>
        <v>14</v>
      </c>
      <c r="H97" s="106">
        <f>VLOOKUP($A97, Stat!$A$1:$C$501, 3,0)</f>
        <v>0</v>
      </c>
      <c r="I97" s="109"/>
      <c r="M97" s="50"/>
      <c r="N97" s="50"/>
      <c r="O97" s="50"/>
      <c r="P97" s="52">
        <v>0</v>
      </c>
      <c r="Q97" s="52">
        <v>0</v>
      </c>
      <c r="R97" s="52" t="s">
        <v>80</v>
      </c>
      <c r="T97" s="52">
        <v>1</v>
      </c>
    </row>
    <row r="98" spans="1:20" ht="13.2" customHeight="1" x14ac:dyDescent="0.25">
      <c r="A98" s="52">
        <v>97</v>
      </c>
      <c r="B98" s="52" t="s">
        <v>41</v>
      </c>
      <c r="C98" s="52" t="s">
        <v>248</v>
      </c>
      <c r="D98" s="52" t="s">
        <v>316</v>
      </c>
      <c r="E98" s="52" t="s">
        <v>492</v>
      </c>
      <c r="G98" s="106">
        <f>VLOOKUP($A98, Stat!$A$1:$C$501, 2,0)</f>
        <v>4</v>
      </c>
      <c r="H98" s="106">
        <f>VLOOKUP($A98, Stat!$A$1:$C$501, 3,0)</f>
        <v>0</v>
      </c>
      <c r="I98" s="108"/>
      <c r="P98" s="52">
        <v>40</v>
      </c>
      <c r="Q98" s="52">
        <v>0</v>
      </c>
      <c r="S98" s="52" t="s">
        <v>493</v>
      </c>
      <c r="T98" s="52">
        <v>1</v>
      </c>
    </row>
    <row r="99" spans="1:20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505</v>
      </c>
      <c r="F99" s="50"/>
      <c r="G99" s="106">
        <f>VLOOKUP($A99, Stat!$A$1:$C$501, 2,0)</f>
        <v>21</v>
      </c>
      <c r="H99" s="106">
        <f>VLOOKUP($A99, Stat!$A$1:$C$501, 3,0)</f>
        <v>0</v>
      </c>
      <c r="I99" s="109"/>
      <c r="J99" s="48">
        <v>1</v>
      </c>
      <c r="M99" s="50"/>
      <c r="N99" s="50"/>
      <c r="O99" s="50"/>
      <c r="P99" s="52">
        <v>0</v>
      </c>
      <c r="Q99" s="52">
        <v>0</v>
      </c>
      <c r="S99" s="52" t="s">
        <v>232</v>
      </c>
      <c r="T99" s="52">
        <v>1</v>
      </c>
    </row>
    <row r="100" spans="1:20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269</v>
      </c>
      <c r="G100" s="106">
        <f>VLOOKUP($A100, Stat!$A$1:$C$501, 2,0)</f>
        <v>151</v>
      </c>
      <c r="H100" s="106">
        <f>VLOOKUP($A100, Stat!$A$1:$C$501, 3,0)</f>
        <v>4</v>
      </c>
      <c r="I100" s="109"/>
      <c r="M100" s="49"/>
      <c r="N100" s="50"/>
      <c r="O100" s="49" t="s">
        <v>267</v>
      </c>
      <c r="P100" s="52">
        <v>30</v>
      </c>
      <c r="Q100" s="52">
        <v>0</v>
      </c>
      <c r="T100" s="52">
        <v>1</v>
      </c>
    </row>
    <row r="101" spans="1:20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311</v>
      </c>
      <c r="G101" s="108">
        <f>VLOOKUP($A101, Stat!$A$1:$C$501, 2,0)</f>
        <v>0</v>
      </c>
      <c r="H101" s="108">
        <f>VLOOKUP($A101, Stat!$A$1:$C$501, 3,0)</f>
        <v>0</v>
      </c>
      <c r="I101" s="108"/>
      <c r="M101" s="50"/>
      <c r="N101" s="50"/>
      <c r="O101" s="50"/>
      <c r="P101" s="52">
        <v>0</v>
      </c>
      <c r="Q101" s="52">
        <v>0</v>
      </c>
      <c r="R101" s="52" t="s">
        <v>435</v>
      </c>
      <c r="T101" s="52">
        <v>1</v>
      </c>
    </row>
    <row r="102" spans="1:20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311</v>
      </c>
      <c r="G102" s="106">
        <f>VLOOKUP($A102, Stat!$A$1:$C$501, 2,0)</f>
        <v>85</v>
      </c>
      <c r="H102" s="106">
        <f>VLOOKUP($A102, Stat!$A$1:$C$501, 3,0)</f>
        <v>0</v>
      </c>
      <c r="I102" s="108"/>
      <c r="M102" s="50"/>
      <c r="N102" s="50"/>
      <c r="O102" s="50"/>
      <c r="P102" s="52">
        <v>0</v>
      </c>
      <c r="Q102" s="52">
        <v>-1</v>
      </c>
      <c r="R102" s="52" t="s">
        <v>435</v>
      </c>
      <c r="T102" s="52">
        <v>1</v>
      </c>
    </row>
    <row r="103" spans="1:20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311</v>
      </c>
      <c r="G103" s="106">
        <f>VLOOKUP($A103, Stat!$A$1:$C$501, 2,0)</f>
        <v>68</v>
      </c>
      <c r="H103" s="106">
        <f>VLOOKUP($A103, Stat!$A$1:$C$501, 3,0)</f>
        <v>0</v>
      </c>
      <c r="I103" s="108"/>
      <c r="M103" s="50"/>
      <c r="N103" s="50"/>
      <c r="O103" s="50"/>
      <c r="P103" s="52">
        <v>40</v>
      </c>
      <c r="Q103" s="52">
        <v>-1</v>
      </c>
      <c r="R103" s="52" t="s">
        <v>435</v>
      </c>
      <c r="T103" s="52">
        <v>1</v>
      </c>
    </row>
    <row r="104" spans="1:20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311</v>
      </c>
      <c r="G104" s="106">
        <f>VLOOKUP($A104, Stat!$A$1:$C$501, 2,0)</f>
        <v>39</v>
      </c>
      <c r="H104" s="106">
        <f>VLOOKUP($A104, Stat!$A$1:$C$501, 3,0)</f>
        <v>0</v>
      </c>
      <c r="I104" s="108"/>
      <c r="M104" s="50"/>
      <c r="N104" s="50"/>
      <c r="O104" s="50"/>
      <c r="P104" s="52">
        <v>60</v>
      </c>
      <c r="Q104" s="52">
        <v>-1</v>
      </c>
      <c r="R104" s="52" t="s">
        <v>435</v>
      </c>
      <c r="T104" s="52">
        <v>1</v>
      </c>
    </row>
    <row r="105" spans="1:20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311</v>
      </c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0</v>
      </c>
      <c r="Q105" s="52">
        <v>0</v>
      </c>
      <c r="T105" s="52">
        <v>1</v>
      </c>
    </row>
    <row r="106" spans="1:20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311</v>
      </c>
      <c r="G106" s="106">
        <f>VLOOKUP($A106, Stat!$A$1:$C$501, 2,0)</f>
        <v>0</v>
      </c>
      <c r="H106" s="106">
        <f>VLOOKUP($A106, Stat!$A$1:$C$501, 3,0)</f>
        <v>0</v>
      </c>
      <c r="I106" s="108"/>
      <c r="M106" s="50"/>
      <c r="N106" s="50"/>
      <c r="O106" s="50"/>
      <c r="P106" s="52">
        <v>10</v>
      </c>
      <c r="Q106" s="52">
        <v>0</v>
      </c>
      <c r="T106" s="52">
        <v>1</v>
      </c>
    </row>
    <row r="107" spans="1:20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311</v>
      </c>
      <c r="G107" s="108">
        <f>VLOOKUP($A107, Stat!$A$1:$C$501, 2,0)</f>
        <v>0</v>
      </c>
      <c r="H107" s="108">
        <f>VLOOKUP($A107, Stat!$A$1:$C$501, 3,0)</f>
        <v>0</v>
      </c>
      <c r="I107" s="108"/>
      <c r="M107" s="50"/>
      <c r="N107" s="50"/>
      <c r="O107" s="50"/>
      <c r="P107" s="52">
        <v>40</v>
      </c>
      <c r="Q107" s="52">
        <v>0</v>
      </c>
      <c r="T107" s="52">
        <v>1</v>
      </c>
    </row>
    <row r="108" spans="1:20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311</v>
      </c>
      <c r="G108" s="108">
        <f>VLOOKUP($A108, Stat!$A$1:$C$501, 2,0)</f>
        <v>0</v>
      </c>
      <c r="H108" s="108">
        <f>VLOOKUP($A108, Stat!$A$1:$C$501, 3,0)</f>
        <v>0</v>
      </c>
      <c r="I108" s="108"/>
      <c r="M108" s="50"/>
      <c r="N108" s="50"/>
      <c r="O108" s="50"/>
      <c r="P108" s="52">
        <v>60</v>
      </c>
      <c r="Q108" s="52">
        <v>0</v>
      </c>
      <c r="T108" s="52">
        <v>1</v>
      </c>
    </row>
    <row r="109" spans="1:20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311</v>
      </c>
      <c r="G109" s="106">
        <f>VLOOKUP($A109, Stat!$A$1:$C$501, 2,0)</f>
        <v>73</v>
      </c>
      <c r="H109" s="106">
        <f>VLOOKUP($A109, Stat!$A$1:$C$501, 3,0)</f>
        <v>0</v>
      </c>
      <c r="I109" s="109"/>
      <c r="M109" s="49" t="s">
        <v>261</v>
      </c>
      <c r="N109" s="50"/>
      <c r="O109" s="50"/>
      <c r="P109" s="52">
        <v>0</v>
      </c>
      <c r="Q109" s="52">
        <v>-1</v>
      </c>
      <c r="T109" s="52">
        <v>1</v>
      </c>
    </row>
    <row r="110" spans="1:20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311</v>
      </c>
      <c r="G110" s="106">
        <f>VLOOKUP($A110, Stat!$A$1:$C$501, 2,0)</f>
        <v>11</v>
      </c>
      <c r="H110" s="106">
        <f>VLOOKUP($A110, Stat!$A$1:$C$501, 3,0)</f>
        <v>5</v>
      </c>
      <c r="I110" s="48">
        <v>1</v>
      </c>
      <c r="M110" s="49" t="s">
        <v>262</v>
      </c>
      <c r="N110" s="50"/>
      <c r="O110" s="50"/>
      <c r="P110" s="52">
        <v>0</v>
      </c>
      <c r="Q110" s="52">
        <v>0</v>
      </c>
      <c r="T110" s="52">
        <v>1</v>
      </c>
    </row>
    <row r="111" spans="1:20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311</v>
      </c>
      <c r="G111" s="106">
        <f>VLOOKUP($A111, Stat!$A$1:$C$501, 2,0)</f>
        <v>9</v>
      </c>
      <c r="H111" s="106">
        <f>VLOOKUP($A111, Stat!$A$1:$C$501, 3,0)</f>
        <v>3</v>
      </c>
      <c r="I111" s="48">
        <v>1</v>
      </c>
      <c r="M111" s="49" t="s">
        <v>263</v>
      </c>
      <c r="N111" s="50"/>
      <c r="O111" s="50"/>
      <c r="P111" s="52">
        <v>60</v>
      </c>
      <c r="Q111" s="52">
        <v>0</v>
      </c>
      <c r="T111" s="52">
        <v>1</v>
      </c>
    </row>
    <row r="112" spans="1:20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311</v>
      </c>
      <c r="G112" s="106">
        <f>VLOOKUP($A112, Stat!$A$1:$C$501, 2,0)</f>
        <v>2</v>
      </c>
      <c r="H112" s="106">
        <f>VLOOKUP($A112, Stat!$A$1:$C$501, 3,0)</f>
        <v>1</v>
      </c>
      <c r="I112" s="48">
        <v>1</v>
      </c>
      <c r="M112" s="49" t="s">
        <v>264</v>
      </c>
      <c r="N112" s="50"/>
      <c r="O112" s="50"/>
      <c r="P112" s="52">
        <v>100</v>
      </c>
      <c r="Q112" s="52">
        <v>0</v>
      </c>
      <c r="T112" s="52">
        <v>1</v>
      </c>
    </row>
    <row r="113" spans="1:20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311</v>
      </c>
      <c r="G113" s="106">
        <f>VLOOKUP($A113, Stat!$A$1:$C$501, 2,0)</f>
        <v>149</v>
      </c>
      <c r="H113" s="106">
        <f>VLOOKUP($A113, Stat!$A$1:$C$501, 3,0)</f>
        <v>0</v>
      </c>
      <c r="I113" s="109"/>
      <c r="M113" s="49" t="s">
        <v>394</v>
      </c>
      <c r="N113" s="50"/>
      <c r="O113" s="49"/>
      <c r="P113" s="52">
        <v>0</v>
      </c>
      <c r="Q113" s="52">
        <v>-1</v>
      </c>
      <c r="T113" s="52">
        <v>1</v>
      </c>
    </row>
    <row r="114" spans="1:20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311</v>
      </c>
      <c r="G114" s="106">
        <f>VLOOKUP($A114, Stat!$A$1:$C$501, 2,0)</f>
        <v>22</v>
      </c>
      <c r="H114" s="106">
        <f>VLOOKUP($A114, Stat!$A$1:$C$501, 3,0)</f>
        <v>0</v>
      </c>
      <c r="I114" s="108"/>
      <c r="M114" s="49" t="s">
        <v>395</v>
      </c>
      <c r="N114" s="50"/>
      <c r="O114" s="49"/>
      <c r="P114" s="52">
        <v>0</v>
      </c>
      <c r="Q114" s="52">
        <v>-1</v>
      </c>
      <c r="T114" s="52">
        <v>1</v>
      </c>
    </row>
    <row r="115" spans="1:20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311</v>
      </c>
      <c r="G115" s="106">
        <f>VLOOKUP($A115, Stat!$A$1:$C$501, 2,0)</f>
        <v>16</v>
      </c>
      <c r="H115" s="106">
        <f>VLOOKUP($A115, Stat!$A$1:$C$501, 3,0)</f>
        <v>0</v>
      </c>
      <c r="I115" s="108"/>
      <c r="M115" s="49" t="s">
        <v>396</v>
      </c>
      <c r="N115" s="50"/>
      <c r="O115" s="49"/>
      <c r="P115" s="52">
        <v>60</v>
      </c>
      <c r="Q115" s="52">
        <v>0</v>
      </c>
      <c r="T115" s="52">
        <v>1</v>
      </c>
    </row>
    <row r="116" spans="1:20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311</v>
      </c>
      <c r="G116" s="106">
        <f>VLOOKUP($A116, Stat!$A$1:$C$501, 2,0)</f>
        <v>20</v>
      </c>
      <c r="H116" s="106">
        <f>VLOOKUP($A116, Stat!$A$1:$C$501, 3,0)</f>
        <v>0</v>
      </c>
      <c r="I116" s="108"/>
      <c r="M116" s="49" t="s">
        <v>397</v>
      </c>
      <c r="N116" s="50"/>
      <c r="O116" s="49"/>
      <c r="P116" s="52">
        <v>100</v>
      </c>
      <c r="Q116" s="52">
        <v>0</v>
      </c>
      <c r="T116" s="52">
        <v>1</v>
      </c>
    </row>
    <row r="117" spans="1:20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311</v>
      </c>
      <c r="G117" s="106">
        <f>VLOOKUP($A117, Stat!$A$1:$C$501, 2,0)</f>
        <v>43</v>
      </c>
      <c r="H117" s="106">
        <f>VLOOKUP($A117, Stat!$A$1:$C$501, 3,0)</f>
        <v>0</v>
      </c>
      <c r="I117" s="108"/>
      <c r="M117" s="49" t="s">
        <v>394</v>
      </c>
      <c r="N117" s="50"/>
      <c r="O117" s="50"/>
      <c r="P117" s="52">
        <v>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311</v>
      </c>
      <c r="G118" s="106">
        <f>VLOOKUP($A118, Stat!$A$1:$C$501, 2,0)</f>
        <v>57</v>
      </c>
      <c r="H118" s="106">
        <f>VLOOKUP($A118, Stat!$A$1:$C$501, 3,0)</f>
        <v>0</v>
      </c>
      <c r="I118" s="108"/>
      <c r="M118" s="49" t="s">
        <v>395</v>
      </c>
      <c r="N118" s="50"/>
      <c r="O118" s="50"/>
      <c r="P118" s="52">
        <v>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311</v>
      </c>
      <c r="G119" s="106">
        <f>VLOOKUP($A119, Stat!$A$1:$C$501, 2,0)</f>
        <v>31</v>
      </c>
      <c r="H119" s="106">
        <f>VLOOKUP($A119, Stat!$A$1:$C$501, 3,0)</f>
        <v>0</v>
      </c>
      <c r="I119" s="108"/>
      <c r="M119" s="49" t="s">
        <v>396</v>
      </c>
      <c r="N119" s="50"/>
      <c r="O119" s="50"/>
      <c r="P119" s="52">
        <v>60</v>
      </c>
      <c r="Q119" s="52">
        <v>-1</v>
      </c>
      <c r="R119" s="52" t="s">
        <v>170</v>
      </c>
      <c r="T119" s="52">
        <v>1</v>
      </c>
    </row>
    <row r="120" spans="1:20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311</v>
      </c>
      <c r="G120" s="106">
        <f>VLOOKUP($A120, Stat!$A$1:$C$501, 2,0)</f>
        <v>21</v>
      </c>
      <c r="H120" s="106">
        <f>VLOOKUP($A120, Stat!$A$1:$C$501, 3,0)</f>
        <v>0</v>
      </c>
      <c r="I120" s="109"/>
      <c r="M120" s="49" t="s">
        <v>397</v>
      </c>
      <c r="N120" s="50"/>
      <c r="O120" s="50"/>
      <c r="P120" s="52">
        <v>100</v>
      </c>
      <c r="Q120" s="52">
        <v>-1</v>
      </c>
      <c r="R120" s="52" t="s">
        <v>170</v>
      </c>
      <c r="T120" s="52">
        <v>1</v>
      </c>
    </row>
    <row r="121" spans="1:20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311</v>
      </c>
      <c r="G121" s="106">
        <f>VLOOKUP($A121, Stat!$A$1:$C$501, 2,0)</f>
        <v>85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0</v>
      </c>
      <c r="Q121" s="52">
        <v>-1</v>
      </c>
      <c r="T121" s="52">
        <v>1</v>
      </c>
    </row>
    <row r="122" spans="1:20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311</v>
      </c>
      <c r="G122" s="106">
        <f>VLOOKUP($A122, Stat!$A$1:$C$501, 2,0)</f>
        <v>52</v>
      </c>
      <c r="H122" s="106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0</v>
      </c>
      <c r="Q122" s="52">
        <v>-1</v>
      </c>
      <c r="T122" s="52">
        <v>1</v>
      </c>
    </row>
    <row r="123" spans="1:20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311</v>
      </c>
      <c r="G123" s="106">
        <f>VLOOKUP($A123, Stat!$A$1:$C$501, 2,0)</f>
        <v>13</v>
      </c>
      <c r="H123" s="106">
        <f>VLOOKUP($A123, Stat!$A$1:$C$501, 3,0)</f>
        <v>0</v>
      </c>
      <c r="I123" s="108"/>
      <c r="K123" s="48">
        <v>999</v>
      </c>
      <c r="M123" s="49"/>
      <c r="N123" s="50"/>
      <c r="O123" s="50"/>
      <c r="P123" s="52">
        <v>60</v>
      </c>
      <c r="Q123" s="52">
        <v>-1</v>
      </c>
      <c r="T123" s="52">
        <v>1</v>
      </c>
    </row>
    <row r="124" spans="1:20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311</v>
      </c>
      <c r="G124" s="108">
        <f>VLOOKUP($A124, Stat!$A$1:$C$501, 2,0)</f>
        <v>0</v>
      </c>
      <c r="H124" s="108">
        <f>VLOOKUP($A124, Stat!$A$1:$C$501, 3,0)</f>
        <v>0</v>
      </c>
      <c r="I124" s="108"/>
      <c r="K124" s="48">
        <v>999</v>
      </c>
      <c r="M124" s="49"/>
      <c r="N124" s="50"/>
      <c r="O124" s="50"/>
      <c r="P124" s="52">
        <v>60</v>
      </c>
      <c r="Q124" s="52">
        <v>0</v>
      </c>
      <c r="S124" s="52" t="s">
        <v>555</v>
      </c>
      <c r="T124" s="52">
        <v>1</v>
      </c>
    </row>
    <row r="125" spans="1:20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311</v>
      </c>
      <c r="G125" s="106">
        <f>VLOOKUP($A125, Stat!$A$1:$C$501, 2,0)</f>
        <v>34</v>
      </c>
      <c r="H125" s="106">
        <f>VLOOKUP($A125, Stat!$A$1:$C$501, 3,0)</f>
        <v>1</v>
      </c>
      <c r="M125" s="49" t="s">
        <v>394</v>
      </c>
      <c r="N125" s="50"/>
      <c r="O125" s="50"/>
      <c r="P125" s="52">
        <v>0</v>
      </c>
      <c r="Q125" s="52">
        <v>-1</v>
      </c>
      <c r="R125" s="52" t="s">
        <v>171</v>
      </c>
      <c r="T125" s="52">
        <v>1</v>
      </c>
    </row>
    <row r="126" spans="1:20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311</v>
      </c>
      <c r="G126" s="106">
        <f>VLOOKUP($A126, Stat!$A$1:$C$501, 2,0)</f>
        <v>55</v>
      </c>
      <c r="H126" s="106">
        <f>VLOOKUP($A126, Stat!$A$1:$C$501, 3,0)</f>
        <v>1</v>
      </c>
      <c r="M126" s="49" t="s">
        <v>395</v>
      </c>
      <c r="N126" s="50"/>
      <c r="O126" s="50"/>
      <c r="P126" s="52">
        <v>0</v>
      </c>
      <c r="Q126" s="52">
        <v>0</v>
      </c>
      <c r="R126" s="52" t="s">
        <v>171</v>
      </c>
      <c r="S126" s="52" t="s">
        <v>440</v>
      </c>
      <c r="T126" s="52">
        <v>1</v>
      </c>
    </row>
    <row r="127" spans="1:20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311</v>
      </c>
      <c r="G127" s="106">
        <f>VLOOKUP($A127, Stat!$A$1:$C$501, 2,0)</f>
        <v>97</v>
      </c>
      <c r="H127" s="106">
        <f>VLOOKUP($A127, Stat!$A$1:$C$501, 3,0)</f>
        <v>1</v>
      </c>
      <c r="M127" s="49" t="s">
        <v>396</v>
      </c>
      <c r="N127" s="50"/>
      <c r="O127" s="50"/>
      <c r="P127" s="52">
        <v>60</v>
      </c>
      <c r="Q127" s="52">
        <v>0</v>
      </c>
      <c r="R127" s="52" t="s">
        <v>171</v>
      </c>
      <c r="T127" s="52">
        <v>1</v>
      </c>
    </row>
    <row r="128" spans="1:20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311</v>
      </c>
      <c r="G128" s="106">
        <f>VLOOKUP($A128, Stat!$A$1:$C$501, 2,0)</f>
        <v>106</v>
      </c>
      <c r="H128" s="106">
        <f>VLOOKUP($A128, Stat!$A$1:$C$501, 3,0)</f>
        <v>1</v>
      </c>
      <c r="M128" s="49" t="s">
        <v>397</v>
      </c>
      <c r="N128" s="50"/>
      <c r="O128" s="50"/>
      <c r="P128" s="52">
        <v>100</v>
      </c>
      <c r="Q128" s="52">
        <v>0</v>
      </c>
      <c r="R128" s="52" t="s">
        <v>171</v>
      </c>
      <c r="T128" s="52">
        <v>1</v>
      </c>
    </row>
    <row r="129" spans="1:20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311</v>
      </c>
      <c r="G129" s="106">
        <f>VLOOKUP($A129, Stat!$A$1:$C$501, 2,0)</f>
        <v>147</v>
      </c>
      <c r="H129" s="106">
        <f>VLOOKUP($A129, Stat!$A$1:$C$501, 3,0)</f>
        <v>0</v>
      </c>
      <c r="I129" s="109"/>
      <c r="M129" s="50"/>
      <c r="N129" s="50"/>
      <c r="O129" s="50"/>
      <c r="P129" s="52">
        <v>0</v>
      </c>
      <c r="Q129" s="52">
        <v>-1</v>
      </c>
      <c r="T129" s="52">
        <v>1</v>
      </c>
    </row>
    <row r="130" spans="1:20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311</v>
      </c>
      <c r="G130" s="106">
        <f>VLOOKUP($A130, Stat!$A$1:$C$501, 2,0)</f>
        <v>64</v>
      </c>
      <c r="H130" s="106">
        <f>VLOOKUP($A130, Stat!$A$1:$C$501, 3,0)</f>
        <v>9</v>
      </c>
      <c r="I130" s="109"/>
      <c r="M130" s="50"/>
      <c r="N130" s="50"/>
      <c r="O130" s="50"/>
      <c r="P130" s="52">
        <v>0</v>
      </c>
      <c r="Q130" s="52">
        <v>-1</v>
      </c>
      <c r="T130" s="52">
        <v>1</v>
      </c>
    </row>
    <row r="131" spans="1:20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311</v>
      </c>
      <c r="G131" s="106">
        <f>VLOOKUP($A131, Stat!$A$1:$C$501, 2,0)</f>
        <v>43</v>
      </c>
      <c r="H131" s="106">
        <f>VLOOKUP($A131, Stat!$A$1:$C$501, 3,0)</f>
        <v>5</v>
      </c>
      <c r="I131" s="109"/>
      <c r="M131" s="50"/>
      <c r="N131" s="50"/>
      <c r="O131" s="50"/>
      <c r="P131" s="52">
        <v>40</v>
      </c>
      <c r="Q131" s="52">
        <v>-1</v>
      </c>
      <c r="T131" s="52">
        <v>1</v>
      </c>
    </row>
    <row r="132" spans="1:20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311</v>
      </c>
      <c r="G132" s="106">
        <f>VLOOKUP($A132, Stat!$A$1:$C$501, 2,0)</f>
        <v>29</v>
      </c>
      <c r="H132" s="106">
        <f>VLOOKUP($A132, Stat!$A$1:$C$501, 3,0)</f>
        <v>14</v>
      </c>
      <c r="I132" s="48">
        <v>1</v>
      </c>
      <c r="M132" s="50"/>
      <c r="N132" s="50"/>
      <c r="O132" s="50"/>
      <c r="P132" s="52">
        <v>100</v>
      </c>
      <c r="Q132" s="52">
        <v>0</v>
      </c>
      <c r="T132" s="52">
        <v>1</v>
      </c>
    </row>
    <row r="133" spans="1:20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311</v>
      </c>
      <c r="G133" s="106">
        <f>VLOOKUP($A133, Stat!$A$1:$C$501, 2,0)</f>
        <v>179</v>
      </c>
      <c r="H133" s="106">
        <f>VLOOKUP($A133, Stat!$A$1:$C$501, 3,0)</f>
        <v>0</v>
      </c>
      <c r="I133" s="109"/>
      <c r="M133" s="50"/>
      <c r="N133" s="50"/>
      <c r="O133" s="50"/>
      <c r="P133" s="52">
        <v>0</v>
      </c>
      <c r="Q133" s="52">
        <v>-1</v>
      </c>
      <c r="T133" s="52">
        <v>1</v>
      </c>
    </row>
    <row r="134" spans="1:20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311</v>
      </c>
      <c r="G134" s="106">
        <f>VLOOKUP($A134, Stat!$A$1:$C$501, 2,0)</f>
        <v>67</v>
      </c>
      <c r="H134" s="106">
        <f>VLOOKUP($A134, Stat!$A$1:$C$501, 3,0)</f>
        <v>7</v>
      </c>
      <c r="I134" s="109"/>
      <c r="M134" s="50"/>
      <c r="N134" s="50"/>
      <c r="O134" s="50"/>
      <c r="P134" s="52">
        <v>0</v>
      </c>
      <c r="Q134" s="52">
        <v>1</v>
      </c>
      <c r="T134" s="52">
        <v>1</v>
      </c>
    </row>
    <row r="135" spans="1:20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311</v>
      </c>
      <c r="G135" s="106">
        <f>VLOOKUP($A135, Stat!$A$1:$C$501, 2,0)</f>
        <v>36</v>
      </c>
      <c r="H135" s="106">
        <f>VLOOKUP($A135, Stat!$A$1:$C$501, 3,0)</f>
        <v>6</v>
      </c>
      <c r="I135" s="109"/>
      <c r="M135" s="49"/>
      <c r="N135" s="50"/>
      <c r="O135" s="50"/>
      <c r="P135" s="52">
        <v>40</v>
      </c>
      <c r="Q135" s="52">
        <v>1</v>
      </c>
      <c r="T135" s="52">
        <v>1</v>
      </c>
    </row>
    <row r="136" spans="1:20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311</v>
      </c>
      <c r="G136" s="106">
        <f>VLOOKUP($A136, Stat!$A$1:$C$501, 2,0)</f>
        <v>13</v>
      </c>
      <c r="H136" s="106">
        <f>VLOOKUP($A136, Stat!$A$1:$C$501, 3,0)</f>
        <v>4</v>
      </c>
      <c r="I136" s="48">
        <v>1</v>
      </c>
      <c r="M136" s="50"/>
      <c r="N136" s="50"/>
      <c r="O136" s="50"/>
      <c r="P136" s="52">
        <v>100</v>
      </c>
      <c r="Q136" s="52">
        <v>0</v>
      </c>
      <c r="T136" s="52">
        <v>1</v>
      </c>
    </row>
    <row r="137" spans="1:20" ht="13.2" customHeight="1" x14ac:dyDescent="0.25">
      <c r="A137" s="52">
        <v>136</v>
      </c>
      <c r="B137" s="52" t="s">
        <v>41</v>
      </c>
      <c r="C137" s="52" t="s">
        <v>64</v>
      </c>
      <c r="D137" s="52" t="s">
        <v>331</v>
      </c>
      <c r="E137" s="52" t="s">
        <v>524</v>
      </c>
      <c r="G137" s="106">
        <f>VLOOKUP($A137, Stat!$A$1:$C$501, 2,0)</f>
        <v>7</v>
      </c>
      <c r="H137" s="106">
        <f>VLOOKUP($A137, Stat!$A$1:$C$501, 3,0)</f>
        <v>2</v>
      </c>
      <c r="I137" s="48">
        <v>1</v>
      </c>
      <c r="P137" s="52">
        <v>0</v>
      </c>
      <c r="Q137" s="52">
        <v>1</v>
      </c>
      <c r="S137" s="52" t="s">
        <v>522</v>
      </c>
      <c r="T137" s="52">
        <v>1</v>
      </c>
    </row>
    <row r="138" spans="1:20" ht="13.2" customHeight="1" x14ac:dyDescent="0.25">
      <c r="A138" s="52">
        <v>137</v>
      </c>
      <c r="B138" s="52" t="s">
        <v>41</v>
      </c>
      <c r="C138" s="52" t="s">
        <v>64</v>
      </c>
      <c r="D138" s="52" t="s">
        <v>331</v>
      </c>
      <c r="E138" s="52" t="s">
        <v>349</v>
      </c>
      <c r="G138" s="106">
        <f>VLOOKUP($A138, Stat!$A$1:$C$501, 2,0)</f>
        <v>13</v>
      </c>
      <c r="H138" s="106">
        <f>VLOOKUP($A138, Stat!$A$1:$C$501, 3,0)</f>
        <v>3</v>
      </c>
      <c r="I138" s="48">
        <v>1</v>
      </c>
      <c r="P138" s="52">
        <v>0</v>
      </c>
      <c r="Q138" s="52">
        <v>1</v>
      </c>
      <c r="T138" s="52">
        <v>1</v>
      </c>
    </row>
    <row r="139" spans="1:20" ht="13.2" customHeight="1" x14ac:dyDescent="0.25">
      <c r="A139" s="52">
        <v>138</v>
      </c>
      <c r="B139" s="52" t="s">
        <v>41</v>
      </c>
      <c r="C139" s="52" t="s">
        <v>64</v>
      </c>
      <c r="D139" s="52" t="s">
        <v>331</v>
      </c>
      <c r="E139" s="52" t="s">
        <v>350</v>
      </c>
      <c r="G139" s="106">
        <f>VLOOKUP($A139, Stat!$A$1:$C$501, 2,0)</f>
        <v>9</v>
      </c>
      <c r="H139" s="106">
        <f>VLOOKUP($A139, Stat!$A$1:$C$501, 3,0)</f>
        <v>4</v>
      </c>
      <c r="I139" s="48">
        <v>1</v>
      </c>
      <c r="P139" s="52">
        <v>0</v>
      </c>
      <c r="Q139" s="52">
        <v>1</v>
      </c>
      <c r="T139" s="52">
        <v>1</v>
      </c>
    </row>
    <row r="140" spans="1:20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362</v>
      </c>
      <c r="G140" s="106">
        <f>VLOOKUP($A140, Stat!$A$1:$C$501, 2,0)</f>
        <v>11</v>
      </c>
      <c r="H140" s="106">
        <f>VLOOKUP($A140, Stat!$A$1:$C$501, 3,0)</f>
        <v>9</v>
      </c>
      <c r="I140" s="48">
        <v>1</v>
      </c>
      <c r="P140" s="52">
        <v>0</v>
      </c>
      <c r="Q140" s="52">
        <v>0</v>
      </c>
      <c r="S140" s="52" t="s">
        <v>467</v>
      </c>
      <c r="T140" s="52">
        <v>1</v>
      </c>
    </row>
    <row r="141" spans="1:20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311</v>
      </c>
      <c r="G141" s="106">
        <f>VLOOKUP($A141, Stat!$A$1:$C$501, 2,0)</f>
        <v>69</v>
      </c>
      <c r="H141" s="106">
        <f>VLOOKUP($A141, Stat!$A$1:$C$501, 3,0)</f>
        <v>1</v>
      </c>
      <c r="I141" s="109"/>
      <c r="M141" s="49" t="s">
        <v>257</v>
      </c>
      <c r="N141" s="50"/>
      <c r="O141" s="50"/>
      <c r="P141" s="52">
        <v>0</v>
      </c>
      <c r="Q141" s="52">
        <v>-1</v>
      </c>
      <c r="T141" s="52">
        <v>1</v>
      </c>
    </row>
    <row r="142" spans="1:20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311</v>
      </c>
      <c r="G142" s="106">
        <f>VLOOKUP($A142, Stat!$A$1:$C$501, 2,0)</f>
        <v>28</v>
      </c>
      <c r="H142" s="106">
        <f>VLOOKUP($A142, Stat!$A$1:$C$501, 3,0)</f>
        <v>1</v>
      </c>
      <c r="I142" s="109"/>
      <c r="M142" s="49" t="s">
        <v>258</v>
      </c>
      <c r="N142" s="50"/>
      <c r="O142" s="50"/>
      <c r="P142" s="52">
        <v>0</v>
      </c>
      <c r="Q142" s="52">
        <v>-1</v>
      </c>
      <c r="T142" s="52">
        <v>1</v>
      </c>
    </row>
    <row r="143" spans="1:20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311</v>
      </c>
      <c r="G143" s="106">
        <f>VLOOKUP($A143, Stat!$A$1:$C$501, 2,0)</f>
        <v>13</v>
      </c>
      <c r="H143" s="106">
        <f>VLOOKUP($A143, Stat!$A$1:$C$501, 3,0)</f>
        <v>3</v>
      </c>
      <c r="I143" s="48">
        <v>1</v>
      </c>
      <c r="M143" s="49" t="s">
        <v>259</v>
      </c>
      <c r="N143" s="50"/>
      <c r="O143" s="50"/>
      <c r="P143" s="52">
        <v>60</v>
      </c>
      <c r="Q143" s="52">
        <v>0</v>
      </c>
      <c r="T143" s="52">
        <v>1</v>
      </c>
    </row>
    <row r="144" spans="1:20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311</v>
      </c>
      <c r="G144" s="106">
        <f>VLOOKUP($A144, Stat!$A$1:$C$501, 2,0)</f>
        <v>5</v>
      </c>
      <c r="H144" s="106">
        <f>VLOOKUP($A144, Stat!$A$1:$C$501, 3,0)</f>
        <v>4</v>
      </c>
      <c r="I144" s="48">
        <v>1</v>
      </c>
      <c r="M144" s="49" t="s">
        <v>260</v>
      </c>
      <c r="N144" s="50"/>
      <c r="O144" s="50"/>
      <c r="P144" s="52">
        <v>100</v>
      </c>
      <c r="Q144" s="52">
        <v>0</v>
      </c>
      <c r="T144" s="52">
        <v>1</v>
      </c>
    </row>
    <row r="145" spans="1:20" ht="13.2" customHeight="1" x14ac:dyDescent="0.25">
      <c r="A145" s="52">
        <v>144</v>
      </c>
      <c r="B145" s="52" t="s">
        <v>39</v>
      </c>
      <c r="C145" s="52" t="s">
        <v>87</v>
      </c>
      <c r="D145" s="52" t="s">
        <v>393</v>
      </c>
      <c r="E145" s="56" t="s">
        <v>3</v>
      </c>
      <c r="F145" s="49" t="s">
        <v>311</v>
      </c>
      <c r="G145" s="106">
        <f>VLOOKUP($A145, Stat!$A$1:$C$501, 2,0)</f>
        <v>0</v>
      </c>
      <c r="H145" s="108">
        <f>VLOOKUP($A145, Stat!$A$1:$C$501, 3,0)</f>
        <v>0</v>
      </c>
      <c r="I145" s="108"/>
      <c r="M145" s="50"/>
      <c r="N145" s="50"/>
      <c r="O145" s="50"/>
      <c r="P145" s="52">
        <v>0</v>
      </c>
      <c r="Q145" s="52">
        <v>-1</v>
      </c>
      <c r="R145" s="52" t="s">
        <v>436</v>
      </c>
      <c r="T145" s="52">
        <v>1</v>
      </c>
    </row>
    <row r="146" spans="1:20" ht="13.2" customHeight="1" x14ac:dyDescent="0.25">
      <c r="A146" s="52">
        <v>145</v>
      </c>
      <c r="B146" s="52" t="s">
        <v>39</v>
      </c>
      <c r="C146" s="52" t="s">
        <v>87</v>
      </c>
      <c r="D146" s="52" t="s">
        <v>393</v>
      </c>
      <c r="E146" s="56" t="s">
        <v>4</v>
      </c>
      <c r="F146" s="49" t="s">
        <v>311</v>
      </c>
      <c r="G146" s="106">
        <f>VLOOKUP($A146, Stat!$A$1:$C$501, 2,0)</f>
        <v>48</v>
      </c>
      <c r="H146" s="106">
        <f>VLOOKUP($A146, Stat!$A$1:$C$501, 3,0)</f>
        <v>0</v>
      </c>
      <c r="I146" s="108"/>
      <c r="M146" s="50"/>
      <c r="N146" s="50"/>
      <c r="O146" s="50"/>
      <c r="P146" s="52">
        <v>0</v>
      </c>
      <c r="Q146" s="52">
        <v>-1</v>
      </c>
      <c r="R146" s="52" t="s">
        <v>436</v>
      </c>
      <c r="T146" s="52">
        <v>1</v>
      </c>
    </row>
    <row r="147" spans="1:20" ht="13.2" customHeight="1" x14ac:dyDescent="0.25">
      <c r="A147" s="52">
        <v>146</v>
      </c>
      <c r="B147" s="52" t="s">
        <v>39</v>
      </c>
      <c r="C147" s="52" t="s">
        <v>87</v>
      </c>
      <c r="D147" s="52" t="s">
        <v>393</v>
      </c>
      <c r="E147" s="56" t="s">
        <v>5</v>
      </c>
      <c r="F147" s="49" t="s">
        <v>311</v>
      </c>
      <c r="G147" s="106">
        <f>VLOOKUP($A147, Stat!$A$1:$C$501, 2,0)</f>
        <v>33</v>
      </c>
      <c r="H147" s="106">
        <f>VLOOKUP($A147, Stat!$A$1:$C$501, 3,0)</f>
        <v>0</v>
      </c>
      <c r="I147" s="108"/>
      <c r="M147" s="50"/>
      <c r="N147" s="50"/>
      <c r="O147" s="50"/>
      <c r="P147" s="52">
        <v>40</v>
      </c>
      <c r="Q147" s="52">
        <v>-1</v>
      </c>
      <c r="R147" s="52" t="s">
        <v>436</v>
      </c>
      <c r="T147" s="52">
        <v>1</v>
      </c>
    </row>
    <row r="148" spans="1:20" ht="13.2" customHeight="1" x14ac:dyDescent="0.25">
      <c r="A148" s="52">
        <v>147</v>
      </c>
      <c r="B148" s="52" t="s">
        <v>39</v>
      </c>
      <c r="C148" s="52" t="s">
        <v>87</v>
      </c>
      <c r="D148" s="52" t="s">
        <v>393</v>
      </c>
      <c r="E148" s="56" t="s">
        <v>51</v>
      </c>
      <c r="F148" s="49" t="s">
        <v>311</v>
      </c>
      <c r="G148" s="106">
        <f>VLOOKUP($A148, Stat!$A$1:$C$501, 2,0)</f>
        <v>14</v>
      </c>
      <c r="H148" s="106">
        <f>VLOOKUP($A148, Stat!$A$1:$C$501, 3,0)</f>
        <v>0</v>
      </c>
      <c r="I148" s="109"/>
      <c r="M148" s="50"/>
      <c r="N148" s="50"/>
      <c r="O148" s="50"/>
      <c r="P148" s="52">
        <v>100</v>
      </c>
      <c r="Q148" s="52">
        <v>-1</v>
      </c>
      <c r="R148" s="52" t="s">
        <v>436</v>
      </c>
      <c r="T148" s="52">
        <v>1</v>
      </c>
    </row>
    <row r="149" spans="1:20" ht="13.2" customHeight="1" x14ac:dyDescent="0.25">
      <c r="A149" s="52">
        <v>148</v>
      </c>
      <c r="B149" s="52" t="s">
        <v>39</v>
      </c>
      <c r="C149" s="52" t="s">
        <v>83</v>
      </c>
      <c r="D149" s="52" t="s">
        <v>276</v>
      </c>
      <c r="E149" s="56" t="s">
        <v>3</v>
      </c>
      <c r="F149" s="49" t="s">
        <v>311</v>
      </c>
      <c r="G149" s="106">
        <f>VLOOKUP($A149, Stat!$A$1:$C$501, 2,0)</f>
        <v>47</v>
      </c>
      <c r="H149" s="106">
        <f>VLOOKUP($A149, Stat!$A$1:$C$501, 3,0)</f>
        <v>4</v>
      </c>
      <c r="I149" s="109"/>
      <c r="M149" s="49" t="s">
        <v>282</v>
      </c>
      <c r="N149" s="50"/>
      <c r="O149" s="50"/>
      <c r="P149" s="52">
        <v>0</v>
      </c>
      <c r="Q149" s="52">
        <v>0</v>
      </c>
      <c r="R149" s="52" t="s">
        <v>277</v>
      </c>
      <c r="T149" s="52">
        <v>1</v>
      </c>
    </row>
    <row r="150" spans="1:20" ht="13.2" customHeight="1" x14ac:dyDescent="0.25">
      <c r="A150" s="52">
        <v>149</v>
      </c>
      <c r="B150" s="52" t="s">
        <v>39</v>
      </c>
      <c r="C150" s="52" t="s">
        <v>83</v>
      </c>
      <c r="D150" s="52" t="s">
        <v>276</v>
      </c>
      <c r="E150" s="56" t="s">
        <v>4</v>
      </c>
      <c r="F150" s="49" t="s">
        <v>311</v>
      </c>
      <c r="G150" s="106">
        <f>VLOOKUP($A150, Stat!$A$1:$C$501, 2,0)</f>
        <v>7</v>
      </c>
      <c r="H150" s="106">
        <f>VLOOKUP($A150, Stat!$A$1:$C$501, 3,0)</f>
        <v>3</v>
      </c>
      <c r="I150" s="48">
        <v>1</v>
      </c>
      <c r="M150" s="49" t="s">
        <v>283</v>
      </c>
      <c r="N150" s="50"/>
      <c r="O150" s="50"/>
      <c r="P150" s="52">
        <v>0</v>
      </c>
      <c r="Q150" s="52">
        <v>0</v>
      </c>
      <c r="R150" s="52" t="s">
        <v>277</v>
      </c>
      <c r="T150" s="52">
        <v>1</v>
      </c>
    </row>
    <row r="151" spans="1:20" ht="13.2" customHeight="1" x14ac:dyDescent="0.25">
      <c r="A151" s="52">
        <v>150</v>
      </c>
      <c r="B151" s="52" t="s">
        <v>39</v>
      </c>
      <c r="C151" s="52" t="s">
        <v>83</v>
      </c>
      <c r="D151" s="52" t="s">
        <v>276</v>
      </c>
      <c r="E151" s="56" t="s">
        <v>5</v>
      </c>
      <c r="F151" s="49" t="s">
        <v>311</v>
      </c>
      <c r="G151" s="106">
        <f>VLOOKUP($A151, Stat!$A$1:$C$501, 2,0)</f>
        <v>13</v>
      </c>
      <c r="H151" s="106">
        <f>VLOOKUP($A151, Stat!$A$1:$C$501, 3,0)</f>
        <v>7</v>
      </c>
      <c r="I151" s="48">
        <v>1</v>
      </c>
      <c r="M151" s="49" t="s">
        <v>284</v>
      </c>
      <c r="N151" s="50"/>
      <c r="O151" s="50"/>
      <c r="P151" s="52">
        <v>60</v>
      </c>
      <c r="Q151" s="52">
        <v>0</v>
      </c>
      <c r="R151" s="52" t="s">
        <v>277</v>
      </c>
      <c r="T151" s="52">
        <v>1</v>
      </c>
    </row>
    <row r="152" spans="1:20" ht="13.2" customHeight="1" x14ac:dyDescent="0.25">
      <c r="A152" s="52">
        <v>151</v>
      </c>
      <c r="B152" s="52" t="s">
        <v>39</v>
      </c>
      <c r="C152" s="52" t="s">
        <v>83</v>
      </c>
      <c r="D152" s="52" t="s">
        <v>276</v>
      </c>
      <c r="E152" s="56" t="s">
        <v>51</v>
      </c>
      <c r="F152" s="49" t="s">
        <v>311</v>
      </c>
      <c r="G152" s="106">
        <f>VLOOKUP($A152, Stat!$A$1:$C$501, 2,0)</f>
        <v>2</v>
      </c>
      <c r="H152" s="106">
        <f>VLOOKUP($A152, Stat!$A$1:$C$501, 3,0)</f>
        <v>1</v>
      </c>
      <c r="I152" s="48">
        <v>1</v>
      </c>
      <c r="M152" s="49" t="s">
        <v>285</v>
      </c>
      <c r="N152" s="50"/>
      <c r="O152" s="50"/>
      <c r="P152" s="52">
        <v>100</v>
      </c>
      <c r="Q152" s="52">
        <v>0</v>
      </c>
      <c r="R152" s="52" t="s">
        <v>277</v>
      </c>
      <c r="T152" s="52">
        <v>1</v>
      </c>
    </row>
    <row r="153" spans="1:20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106">
        <f>VLOOKUP($A153, Stat!$A$1:$C$501, 2,0)</f>
        <v>1</v>
      </c>
      <c r="H153" s="106">
        <f>VLOOKUP($A153, Stat!$A$1:$C$501, 3,0)</f>
        <v>1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235</v>
      </c>
      <c r="T153" s="52">
        <v>1</v>
      </c>
    </row>
    <row r="154" spans="1:20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106">
        <f>VLOOKUP($A154, Stat!$A$1:$C$501, 2,0)</f>
        <v>3</v>
      </c>
      <c r="H154" s="106">
        <f>VLOOKUP($A154, Stat!$A$1:$C$501, 3,0)</f>
        <v>2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235</v>
      </c>
      <c r="T154" s="52">
        <v>1</v>
      </c>
    </row>
    <row r="155" spans="1:20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106">
        <f>VLOOKUP($A155, Stat!$A$1:$C$501, 2,0)</f>
        <v>15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106">
        <f>VLOOKUP($A156, Stat!$A$1:$C$501, 2,0)</f>
        <v>2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106">
        <f>VLOOKUP($A157, Stat!$A$1:$C$501, 2,0)</f>
        <v>6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S157" s="52" t="s">
        <v>236</v>
      </c>
      <c r="T157" s="52">
        <v>1</v>
      </c>
    </row>
    <row r="158" spans="1:20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S158" s="52" t="s">
        <v>236</v>
      </c>
      <c r="T158" s="52">
        <v>1</v>
      </c>
    </row>
    <row r="159" spans="1:20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106">
        <f>VLOOKUP($A159, Stat!$A$1:$C$501, 2,0)</f>
        <v>7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30</v>
      </c>
      <c r="Q159" s="52">
        <v>0</v>
      </c>
      <c r="T159" s="52">
        <v>1</v>
      </c>
    </row>
    <row r="160" spans="1:20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106">
        <f>VLOOKUP($A160, Stat!$A$1:$C$501, 2,0)</f>
        <v>3</v>
      </c>
      <c r="H160" s="106">
        <f>VLOOKUP($A160, Stat!$A$1:$C$501, 3,0)</f>
        <v>1</v>
      </c>
      <c r="I160" s="48">
        <v>1</v>
      </c>
      <c r="M160" s="50"/>
      <c r="N160" s="50"/>
      <c r="O160" s="50"/>
      <c r="P160" s="52">
        <v>30</v>
      </c>
      <c r="Q160" s="52">
        <v>0</v>
      </c>
      <c r="T160" s="52">
        <v>1</v>
      </c>
    </row>
    <row r="161" spans="1:20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106">
        <f>VLOOKUP($A161, Stat!$A$1:$C$501, 2,0)</f>
        <v>16</v>
      </c>
      <c r="H161" s="106">
        <f>VLOOKUP($A161, Stat!$A$1:$C$501, 3,0)</f>
        <v>3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106">
        <f>VLOOKUP($A162, Stat!$A$1:$C$501, 2,0)</f>
        <v>24</v>
      </c>
      <c r="H162" s="106">
        <f>VLOOKUP($A162, Stat!$A$1:$C$501, 3,0)</f>
        <v>4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106">
        <f>VLOOKUP($A163, Stat!$A$1:$C$501, 2,0)</f>
        <v>8</v>
      </c>
      <c r="H163" s="106">
        <f>VLOOKUP($A163, Stat!$A$1:$C$501, 3,0)</f>
        <v>1</v>
      </c>
      <c r="I163" s="48">
        <v>1</v>
      </c>
      <c r="M163" s="50"/>
      <c r="N163" s="50"/>
      <c r="O163" s="50"/>
      <c r="P163" s="52">
        <v>0</v>
      </c>
      <c r="Q163" s="52">
        <v>-1</v>
      </c>
      <c r="T163" s="52">
        <v>1</v>
      </c>
    </row>
    <row r="164" spans="1:20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106">
        <f>VLOOKUP($A164, Stat!$A$1:$C$501, 2,0)</f>
        <v>19</v>
      </c>
      <c r="H164" s="106">
        <f>VLOOKUP($A164, Stat!$A$1:$C$501, 3,0)</f>
        <v>2</v>
      </c>
      <c r="I164" s="48">
        <v>1</v>
      </c>
      <c r="M164" s="50"/>
      <c r="N164" s="50"/>
      <c r="O164" s="50"/>
      <c r="P164" s="52">
        <v>0</v>
      </c>
      <c r="Q164" s="52">
        <v>-1</v>
      </c>
      <c r="T164" s="52">
        <v>1</v>
      </c>
    </row>
    <row r="165" spans="1:20" ht="13.2" customHeight="1" x14ac:dyDescent="0.25">
      <c r="A165" s="52">
        <v>164</v>
      </c>
      <c r="B165" s="52" t="s">
        <v>41</v>
      </c>
      <c r="C165" s="52" t="s">
        <v>60</v>
      </c>
      <c r="D165" s="52" t="s">
        <v>579</v>
      </c>
      <c r="E165" s="56" t="s">
        <v>105</v>
      </c>
      <c r="F165" s="50"/>
      <c r="G165" s="106">
        <f>VLOOKUP($A165, Stat!$A$1:$C$501, 2,0)</f>
        <v>10</v>
      </c>
      <c r="H165" s="106">
        <f>VLOOKUP($A165, Stat!$A$1:$C$501, 3,0)</f>
        <v>2</v>
      </c>
      <c r="I165" s="48">
        <v>1</v>
      </c>
      <c r="M165" s="50"/>
      <c r="N165" s="50"/>
      <c r="O165" s="50"/>
      <c r="P165" s="52">
        <v>30</v>
      </c>
      <c r="Q165" s="52">
        <v>0</v>
      </c>
      <c r="T165" s="52">
        <v>1</v>
      </c>
    </row>
    <row r="166" spans="1:20" ht="13.2" customHeight="1" x14ac:dyDescent="0.25">
      <c r="A166" s="52">
        <v>165</v>
      </c>
      <c r="B166" s="52" t="s">
        <v>41</v>
      </c>
      <c r="C166" s="52" t="s">
        <v>60</v>
      </c>
      <c r="D166" s="52" t="s">
        <v>579</v>
      </c>
      <c r="E166" s="56" t="s">
        <v>106</v>
      </c>
      <c r="F166" s="50"/>
      <c r="G166" s="106">
        <f>VLOOKUP($A166, Stat!$A$1:$C$501, 2,0)</f>
        <v>11</v>
      </c>
      <c r="H166" s="106">
        <f>VLOOKUP($A166, Stat!$A$1:$C$501, 3,0)</f>
        <v>4</v>
      </c>
      <c r="I166" s="48">
        <v>1</v>
      </c>
      <c r="M166" s="50"/>
      <c r="N166" s="50"/>
      <c r="O166" s="50"/>
      <c r="P166" s="52">
        <v>30</v>
      </c>
      <c r="Q166" s="52">
        <v>0</v>
      </c>
      <c r="T166" s="52">
        <v>1</v>
      </c>
    </row>
    <row r="167" spans="1:20" ht="13.2" customHeight="1" x14ac:dyDescent="0.25">
      <c r="A167" s="52">
        <v>166</v>
      </c>
      <c r="B167" s="52" t="s">
        <v>41</v>
      </c>
      <c r="C167" s="52" t="s">
        <v>60</v>
      </c>
      <c r="D167" s="52" t="s">
        <v>579</v>
      </c>
      <c r="E167" s="56" t="s">
        <v>107</v>
      </c>
      <c r="F167" s="50"/>
      <c r="G167" s="106">
        <f>VLOOKUP($A167, Stat!$A$1:$C$501, 2,0)</f>
        <v>30</v>
      </c>
      <c r="H167" s="106">
        <f>VLOOKUP($A167, Stat!$A$1:$C$501, 3,0)</f>
        <v>3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167</v>
      </c>
      <c r="B168" s="52" t="s">
        <v>41</v>
      </c>
      <c r="C168" s="52" t="s">
        <v>60</v>
      </c>
      <c r="D168" s="52" t="s">
        <v>579</v>
      </c>
      <c r="E168" s="56" t="s">
        <v>108</v>
      </c>
      <c r="F168" s="50"/>
      <c r="G168" s="106">
        <f>VLOOKUP($A168, Stat!$A$1:$C$501, 2,0)</f>
        <v>23</v>
      </c>
      <c r="H168" s="106">
        <f>VLOOKUP($A168, Stat!$A$1:$C$501, 3,0)</f>
        <v>3</v>
      </c>
      <c r="I168" s="48">
        <v>1</v>
      </c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168</v>
      </c>
      <c r="B169" s="52" t="s">
        <v>41</v>
      </c>
      <c r="C169" s="52" t="s">
        <v>60</v>
      </c>
      <c r="D169" s="52" t="s">
        <v>579</v>
      </c>
      <c r="E169" s="56" t="s">
        <v>113</v>
      </c>
      <c r="F169" s="50"/>
      <c r="G169" s="106">
        <f>VLOOKUP($A169, Stat!$A$1:$C$501, 2,0)</f>
        <v>61</v>
      </c>
      <c r="H169" s="106">
        <f>VLOOKUP($A169, Stat!$A$1:$C$501, 3,0)</f>
        <v>4</v>
      </c>
      <c r="I169" s="48">
        <v>1</v>
      </c>
      <c r="M169" s="50"/>
      <c r="N169" s="50"/>
      <c r="O169" s="50"/>
      <c r="P169" s="52">
        <v>0</v>
      </c>
      <c r="Q169" s="52">
        <v>-1</v>
      </c>
      <c r="T169" s="52">
        <v>1</v>
      </c>
    </row>
    <row r="170" spans="1:20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106">
        <f>VLOOKUP($A170, Stat!$A$1:$C$501, 2,0)</f>
        <v>767</v>
      </c>
      <c r="H170" s="106">
        <f>VLOOKUP($A170, Stat!$A$1:$C$501, 3,0)</f>
        <v>3</v>
      </c>
      <c r="I170" s="109"/>
      <c r="M170" s="50"/>
      <c r="N170" s="50"/>
      <c r="O170" s="50"/>
      <c r="P170" s="52">
        <v>0</v>
      </c>
      <c r="Q170" s="52">
        <v>-1</v>
      </c>
      <c r="T170" s="52">
        <v>1</v>
      </c>
    </row>
    <row r="171" spans="1:20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106">
        <f>VLOOKUP($A171, Stat!$A$1:$C$501, 2,0)</f>
        <v>4</v>
      </c>
      <c r="H171" s="106">
        <f>VLOOKUP($A171, Stat!$A$1:$C$501, 3,0)</f>
        <v>1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106">
        <f>VLOOKUP($A172, Stat!$A$1:$C$501, 2,0)</f>
        <v>6</v>
      </c>
      <c r="H172" s="106">
        <f>VLOOKUP($A172, Stat!$A$1:$C$501, 3,0)</f>
        <v>2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106">
        <f>VLOOKUP($A173, Stat!$A$1:$C$501, 2,0)</f>
        <v>10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106">
        <f>VLOOKUP($A174, Stat!$A$1:$C$501, 2,0)</f>
        <v>7</v>
      </c>
      <c r="H174" s="106">
        <f>VLOOKUP($A174, Stat!$A$1:$C$501, 3,0)</f>
        <v>3</v>
      </c>
      <c r="I174" s="48">
        <v>1</v>
      </c>
      <c r="M174" s="50"/>
      <c r="N174" s="50"/>
      <c r="O174" s="50"/>
      <c r="P174" s="52">
        <v>30</v>
      </c>
      <c r="Q174" s="52">
        <v>0</v>
      </c>
      <c r="R174" s="52" t="s">
        <v>112</v>
      </c>
      <c r="T174" s="52">
        <v>1</v>
      </c>
    </row>
    <row r="175" spans="1:20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106">
        <f>VLOOKUP($A175, Stat!$A$1:$C$501, 2,0)</f>
        <v>11</v>
      </c>
      <c r="H175" s="106">
        <f>VLOOKUP($A175, Stat!$A$1:$C$501, 3,0)</f>
        <v>2</v>
      </c>
      <c r="I175" s="48">
        <v>1</v>
      </c>
      <c r="M175" s="50"/>
      <c r="N175" s="50"/>
      <c r="O175" s="50"/>
      <c r="P175" s="52">
        <v>30</v>
      </c>
      <c r="Q175" s="52">
        <v>0</v>
      </c>
      <c r="R175" s="52" t="s">
        <v>112</v>
      </c>
      <c r="T175" s="52">
        <v>1</v>
      </c>
    </row>
    <row r="176" spans="1:20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311</v>
      </c>
      <c r="G176" s="106">
        <f>VLOOKUP($A176, Stat!$A$1:$C$501, 2,0)</f>
        <v>64</v>
      </c>
      <c r="H176" s="106">
        <f>VLOOKUP($A176, Stat!$A$1:$C$501, 3,0)</f>
        <v>7</v>
      </c>
      <c r="I176" s="48">
        <v>1</v>
      </c>
      <c r="M176" s="50"/>
      <c r="N176" s="50"/>
      <c r="O176" s="50"/>
      <c r="P176" s="52">
        <v>0</v>
      </c>
      <c r="Q176" s="52">
        <v>-1</v>
      </c>
      <c r="T176" s="52">
        <v>1</v>
      </c>
    </row>
    <row r="177" spans="1:20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311</v>
      </c>
      <c r="G177" s="106">
        <f>VLOOKUP($A177, Stat!$A$1:$C$501, 2,0)</f>
        <v>69</v>
      </c>
      <c r="H177" s="106">
        <f>VLOOKUP($A177, Stat!$A$1:$C$501, 3,0)</f>
        <v>5</v>
      </c>
      <c r="I177" s="48">
        <v>1</v>
      </c>
      <c r="M177" s="50"/>
      <c r="N177" s="50"/>
      <c r="O177" s="50"/>
      <c r="P177" s="52">
        <v>0</v>
      </c>
      <c r="Q177" s="52">
        <v>-1</v>
      </c>
      <c r="T177" s="52">
        <v>1</v>
      </c>
    </row>
    <row r="178" spans="1:20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311</v>
      </c>
      <c r="G178" s="106">
        <f>VLOOKUP($A178, Stat!$A$1:$C$501, 2,0)</f>
        <v>7</v>
      </c>
      <c r="H178" s="106">
        <f>VLOOKUP($A178, Stat!$A$1:$C$501, 3,0)</f>
        <v>4</v>
      </c>
      <c r="I178" s="48">
        <v>1</v>
      </c>
      <c r="M178" s="50"/>
      <c r="N178" s="50"/>
      <c r="O178" s="50"/>
      <c r="P178" s="52">
        <v>30</v>
      </c>
      <c r="Q178" s="52">
        <v>0</v>
      </c>
      <c r="T178" s="52">
        <v>1</v>
      </c>
    </row>
    <row r="179" spans="1:20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311</v>
      </c>
      <c r="G179" s="106">
        <f>VLOOKUP($A179, Stat!$A$1:$C$501, 2,0)</f>
        <v>6</v>
      </c>
      <c r="H179" s="106">
        <f>VLOOKUP($A179, Stat!$A$1:$C$501, 3,0)</f>
        <v>4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311</v>
      </c>
      <c r="G180" s="106">
        <f>VLOOKUP($A180, Stat!$A$1:$C$501, 2,0)</f>
        <v>33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311</v>
      </c>
      <c r="G181" s="106">
        <f>VLOOKUP($A181, Stat!$A$1:$C$501, 2,0)</f>
        <v>6</v>
      </c>
      <c r="H181" s="106">
        <f>VLOOKUP($A181, Stat!$A$1:$C$501, 3,0)</f>
        <v>6</v>
      </c>
      <c r="I181" s="48">
        <v>1</v>
      </c>
      <c r="M181" s="50"/>
      <c r="N181" s="50"/>
      <c r="O181" s="50"/>
      <c r="P181" s="52">
        <v>100</v>
      </c>
      <c r="Q181" s="52">
        <v>0</v>
      </c>
      <c r="T181" s="52">
        <v>1</v>
      </c>
    </row>
    <row r="182" spans="1:20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311</v>
      </c>
      <c r="G182" s="106">
        <f>VLOOKUP($A182, Stat!$A$1:$C$501, 2,0)</f>
        <v>54</v>
      </c>
      <c r="H182" s="106">
        <f>VLOOKUP($A182, Stat!$A$1:$C$501, 3,0)</f>
        <v>8</v>
      </c>
      <c r="I182" s="48">
        <v>1</v>
      </c>
      <c r="M182" s="50"/>
      <c r="N182" s="50"/>
      <c r="O182" s="50"/>
      <c r="P182" s="52">
        <v>0</v>
      </c>
      <c r="Q182" s="52">
        <v>-1</v>
      </c>
      <c r="T182" s="52">
        <v>1</v>
      </c>
    </row>
    <row r="183" spans="1:20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311</v>
      </c>
      <c r="G183" s="106">
        <f>VLOOKUP($A183, Stat!$A$1:$C$501, 2,0)</f>
        <v>34</v>
      </c>
      <c r="H183" s="106">
        <f>VLOOKUP($A183, Stat!$A$1:$C$501, 3,0)</f>
        <v>5</v>
      </c>
      <c r="I183" s="48">
        <v>1</v>
      </c>
      <c r="M183" s="50"/>
      <c r="N183" s="50"/>
      <c r="O183" s="50"/>
      <c r="P183" s="52">
        <v>0</v>
      </c>
      <c r="Q183" s="52">
        <v>-1</v>
      </c>
      <c r="T183" s="52">
        <v>1</v>
      </c>
    </row>
    <row r="184" spans="1:20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311</v>
      </c>
      <c r="G184" s="106">
        <f>VLOOKUP($A184, Stat!$A$1:$C$501, 2,0)</f>
        <v>6</v>
      </c>
      <c r="H184" s="106">
        <f>VLOOKUP($A184, Stat!$A$1:$C$501, 3,0)</f>
        <v>4</v>
      </c>
      <c r="I184" s="48">
        <v>1</v>
      </c>
      <c r="M184" s="50"/>
      <c r="N184" s="50"/>
      <c r="O184" s="50"/>
      <c r="P184" s="52">
        <v>30</v>
      </c>
      <c r="Q184" s="52">
        <v>0</v>
      </c>
      <c r="T184" s="52">
        <v>1</v>
      </c>
    </row>
    <row r="185" spans="1:20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311</v>
      </c>
      <c r="G185" s="106">
        <f>VLOOKUP($A185, Stat!$A$1:$C$501, 2,0)</f>
        <v>3</v>
      </c>
      <c r="H185" s="106">
        <f>VLOOKUP($A185, Stat!$A$1:$C$501, 3,0)</f>
        <v>1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311</v>
      </c>
      <c r="G186" s="106">
        <f>VLOOKUP($A186, Stat!$A$1:$C$501, 2,0)</f>
        <v>32</v>
      </c>
      <c r="H186" s="106">
        <f>VLOOKUP($A186, Stat!$A$1:$C$501, 3,0)</f>
        <v>6</v>
      </c>
      <c r="I186" s="48">
        <v>1</v>
      </c>
      <c r="M186" s="50"/>
      <c r="N186" s="50"/>
      <c r="O186" s="50"/>
      <c r="P186" s="52">
        <v>0</v>
      </c>
      <c r="Q186" s="52">
        <v>-1</v>
      </c>
      <c r="T186" s="52">
        <v>1</v>
      </c>
    </row>
    <row r="187" spans="1:20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311</v>
      </c>
      <c r="G187" s="106">
        <f>VLOOKUP($A187, Stat!$A$1:$C$501, 2,0)</f>
        <v>5</v>
      </c>
      <c r="H187" s="106">
        <f>VLOOKUP($A187, Stat!$A$1:$C$501, 3,0)</f>
        <v>4</v>
      </c>
      <c r="I187" s="48">
        <v>1</v>
      </c>
      <c r="M187" s="50"/>
      <c r="N187" s="50"/>
      <c r="O187" s="50"/>
      <c r="P187" s="52">
        <v>100</v>
      </c>
      <c r="Q187" s="52">
        <v>0</v>
      </c>
      <c r="T187" s="52">
        <v>1</v>
      </c>
    </row>
    <row r="188" spans="1:20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106">
        <f>VLOOKUP($A188, Stat!$A$1:$C$501, 2,0)</f>
        <v>133</v>
      </c>
      <c r="H188" s="106">
        <f>VLOOKUP($A188, Stat!$A$1:$C$501, 3,0)</f>
        <v>8</v>
      </c>
      <c r="I188" s="109"/>
      <c r="M188" s="49" t="s">
        <v>332</v>
      </c>
      <c r="N188" s="50"/>
      <c r="O188" s="50"/>
      <c r="P188" s="52">
        <v>60</v>
      </c>
      <c r="Q188" s="52">
        <v>0</v>
      </c>
      <c r="T188" s="52">
        <v>1</v>
      </c>
    </row>
    <row r="189" spans="1:20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269</v>
      </c>
      <c r="F189" s="50"/>
      <c r="G189" s="106">
        <f>VLOOKUP($A189, Stat!$A$1:$C$501, 2,0)</f>
        <v>20</v>
      </c>
      <c r="H189" s="106">
        <f>VLOOKUP($A189, Stat!$A$1:$C$501, 3,0)</f>
        <v>2</v>
      </c>
      <c r="I189" s="109"/>
      <c r="L189" s="48">
        <v>1</v>
      </c>
      <c r="M189" s="50"/>
      <c r="N189" s="50"/>
      <c r="O189" s="50"/>
      <c r="P189" s="52">
        <v>0</v>
      </c>
      <c r="Q189" s="52">
        <v>1</v>
      </c>
      <c r="R189" s="52" t="s">
        <v>136</v>
      </c>
      <c r="T189" s="52">
        <v>1</v>
      </c>
    </row>
    <row r="190" spans="1:20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311</v>
      </c>
      <c r="F190" s="50"/>
      <c r="G190" s="106">
        <f>VLOOKUP($A190, Stat!$A$1:$C$501, 2,0)</f>
        <v>15</v>
      </c>
      <c r="H190" s="106">
        <f>VLOOKUP($A190, Stat!$A$1:$C$501, 3,0)</f>
        <v>0</v>
      </c>
      <c r="I190" s="109"/>
      <c r="L190" s="48">
        <v>1</v>
      </c>
      <c r="M190" s="49" t="s">
        <v>273</v>
      </c>
      <c r="N190" s="50"/>
      <c r="O190" s="50"/>
      <c r="P190" s="52">
        <v>40</v>
      </c>
      <c r="Q190" s="52">
        <v>1</v>
      </c>
      <c r="R190" s="52" t="s">
        <v>136</v>
      </c>
      <c r="T190" s="52">
        <v>1</v>
      </c>
    </row>
    <row r="191" spans="1:20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106">
        <f>VLOOKUP($A191, Stat!$A$1:$C$501, 2,0)</f>
        <v>3</v>
      </c>
      <c r="H191" s="106">
        <f>VLOOKUP($A191, Stat!$A$1:$C$501, 3,0)</f>
        <v>0</v>
      </c>
      <c r="I191" s="109"/>
      <c r="L191" s="48">
        <v>1</v>
      </c>
      <c r="M191" s="49" t="s">
        <v>272</v>
      </c>
      <c r="N191" s="50"/>
      <c r="O191" s="50"/>
      <c r="P191" s="52">
        <v>60</v>
      </c>
      <c r="Q191" s="52">
        <v>0</v>
      </c>
      <c r="R191" s="52" t="s">
        <v>136</v>
      </c>
      <c r="T191" s="52">
        <v>1</v>
      </c>
    </row>
    <row r="192" spans="1:20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311</v>
      </c>
      <c r="G192" s="108">
        <f>VLOOKUP($A192, Stat!$A$1:$C$501, 2,0)</f>
        <v>0</v>
      </c>
      <c r="H192" s="108">
        <f>VLOOKUP($A192, Stat!$A$1:$C$501, 3,0)</f>
        <v>0</v>
      </c>
      <c r="I192" s="108"/>
      <c r="M192" s="50"/>
      <c r="N192" s="50"/>
      <c r="O192" s="50"/>
      <c r="P192" s="52">
        <v>60</v>
      </c>
      <c r="Q192" s="52">
        <v>0</v>
      </c>
      <c r="R192" s="52" t="s">
        <v>88</v>
      </c>
      <c r="S192" s="52" t="s">
        <v>226</v>
      </c>
      <c r="T192" s="52">
        <v>1</v>
      </c>
    </row>
    <row r="193" spans="1:20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311</v>
      </c>
      <c r="G193" s="108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60</v>
      </c>
      <c r="Q193" s="52">
        <v>0</v>
      </c>
      <c r="S193" s="52" t="s">
        <v>226</v>
      </c>
      <c r="T193" s="52">
        <v>1</v>
      </c>
    </row>
    <row r="194" spans="1:20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106">
        <f>VLOOKUP($A194, Stat!$A$1:$C$501, 2,0)</f>
        <v>181</v>
      </c>
      <c r="H194" s="106">
        <f>VLOOKUP($A194, Stat!$A$1:$C$501, 3,0)</f>
        <v>0</v>
      </c>
      <c r="I194" s="109"/>
      <c r="L194" s="48">
        <v>1</v>
      </c>
      <c r="M194" s="50"/>
      <c r="N194" s="50"/>
      <c r="O194" s="50"/>
      <c r="P194" s="52">
        <v>0</v>
      </c>
      <c r="Q194" s="52">
        <v>1</v>
      </c>
      <c r="S194" s="52" t="s">
        <v>382</v>
      </c>
      <c r="T194" s="52">
        <v>1</v>
      </c>
    </row>
    <row r="195" spans="1:20" ht="13.2" customHeight="1" x14ac:dyDescent="0.25">
      <c r="A195" s="52">
        <v>194</v>
      </c>
      <c r="B195" s="52" t="s">
        <v>41</v>
      </c>
      <c r="C195" s="52" t="s">
        <v>18</v>
      </c>
      <c r="D195" s="52" t="s">
        <v>445</v>
      </c>
      <c r="E195" s="56" t="s">
        <v>149</v>
      </c>
      <c r="F195" s="49" t="s">
        <v>269</v>
      </c>
      <c r="G195" s="106">
        <f>VLOOKUP($A195, Stat!$A$1:$C$501, 2,0)</f>
        <v>0</v>
      </c>
      <c r="H195" s="108">
        <f>VLOOKUP($A195, Stat!$A$1:$C$501, 3,0)</f>
        <v>0</v>
      </c>
      <c r="I195" s="108"/>
      <c r="M195" s="50"/>
      <c r="N195" s="50"/>
      <c r="O195" s="50"/>
      <c r="P195" s="52">
        <v>0</v>
      </c>
      <c r="Q195" s="52">
        <v>-1</v>
      </c>
      <c r="R195" s="52" t="s">
        <v>399</v>
      </c>
      <c r="T195" s="52">
        <v>1</v>
      </c>
    </row>
    <row r="196" spans="1:20" ht="13.2" customHeight="1" x14ac:dyDescent="0.25">
      <c r="A196" s="52">
        <v>195</v>
      </c>
      <c r="B196" s="52" t="s">
        <v>41</v>
      </c>
      <c r="C196" s="52" t="s">
        <v>18</v>
      </c>
      <c r="D196" s="52" t="s">
        <v>445</v>
      </c>
      <c r="E196" s="56" t="s">
        <v>66</v>
      </c>
      <c r="F196" s="49" t="s">
        <v>269</v>
      </c>
      <c r="G196" s="106">
        <f>VLOOKUP($A196, Stat!$A$1:$C$501, 2,0)</f>
        <v>0</v>
      </c>
      <c r="H196" s="108">
        <f>VLOOKUP($A196, Stat!$A$1:$C$501, 3,0)</f>
        <v>0</v>
      </c>
      <c r="I196" s="108"/>
      <c r="M196" s="50"/>
      <c r="N196" s="50"/>
      <c r="O196" s="50"/>
      <c r="P196" s="52">
        <v>0</v>
      </c>
      <c r="Q196" s="52">
        <v>-1</v>
      </c>
      <c r="R196" s="52" t="s">
        <v>399</v>
      </c>
      <c r="T196" s="52">
        <v>1</v>
      </c>
    </row>
    <row r="197" spans="1:20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370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M197" s="50"/>
      <c r="N197" s="50"/>
      <c r="O197" s="50"/>
      <c r="P197" s="52">
        <v>20</v>
      </c>
      <c r="Q197" s="52">
        <v>0</v>
      </c>
      <c r="S197" s="52" t="s">
        <v>443</v>
      </c>
      <c r="T197" s="52">
        <v>1</v>
      </c>
    </row>
    <row r="198" spans="1:20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106">
        <f>VLOOKUP($A198, Stat!$A$1:$C$501, 2,0)</f>
        <v>4</v>
      </c>
      <c r="H198" s="106">
        <f>VLOOKUP($A198, Stat!$A$1:$C$501, 3,0)</f>
        <v>3</v>
      </c>
      <c r="I198" s="48">
        <v>1</v>
      </c>
      <c r="M198" s="50"/>
      <c r="N198" s="50"/>
      <c r="O198" s="50"/>
      <c r="P198" s="52">
        <v>60</v>
      </c>
      <c r="Q198" s="52">
        <v>0</v>
      </c>
      <c r="S198" s="52" t="s">
        <v>243</v>
      </c>
      <c r="T198" s="52">
        <v>1</v>
      </c>
    </row>
    <row r="199" spans="1:20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386</v>
      </c>
      <c r="F199" s="50"/>
      <c r="G199" s="106">
        <f>VLOOKUP($A199, Stat!$A$1:$C$501, 2,0)</f>
        <v>8</v>
      </c>
      <c r="H199" s="106">
        <f>VLOOKUP($A199, Stat!$A$1:$C$501, 3,0)</f>
        <v>0</v>
      </c>
      <c r="I199" s="109"/>
      <c r="J199" s="48">
        <v>1</v>
      </c>
      <c r="M199" s="50"/>
      <c r="N199" s="50"/>
      <c r="O199" s="50"/>
      <c r="P199" s="52">
        <v>0</v>
      </c>
      <c r="Q199" s="52">
        <v>0</v>
      </c>
      <c r="S199" s="52" t="s">
        <v>232</v>
      </c>
      <c r="T199" s="52">
        <v>1</v>
      </c>
    </row>
    <row r="200" spans="1:20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510</v>
      </c>
      <c r="F200" s="50"/>
      <c r="G200" s="106">
        <f>VLOOKUP($A200, Stat!$A$1:$C$501, 2,0)</f>
        <v>56</v>
      </c>
      <c r="H200" s="106">
        <f>VLOOKUP($A200, Stat!$A$1:$C$501, 3,0)</f>
        <v>2</v>
      </c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106">
        <f>VLOOKUP($A201, Stat!$A$1:$C$501, 2,0)</f>
        <v>27</v>
      </c>
      <c r="H201" s="106">
        <f>VLOOKUP($A201, Stat!$A$1:$C$501, 3,0)</f>
        <v>7</v>
      </c>
      <c r="M201" s="50"/>
      <c r="N201" s="50"/>
      <c r="O201" s="50"/>
      <c r="P201" s="52">
        <v>60</v>
      </c>
      <c r="Q201" s="52">
        <v>0</v>
      </c>
      <c r="S201" s="52" t="s">
        <v>234</v>
      </c>
      <c r="T201" s="52">
        <v>1</v>
      </c>
    </row>
    <row r="202" spans="1:20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311</v>
      </c>
      <c r="G202" s="106">
        <f>VLOOKUP($A202, Stat!$A$1:$C$501, 2,0)</f>
        <v>7</v>
      </c>
      <c r="H202" s="106">
        <f>VLOOKUP($A202, Stat!$A$1:$C$501, 3,0)</f>
        <v>2</v>
      </c>
      <c r="I202" s="109"/>
      <c r="M202" s="50"/>
      <c r="N202" s="50"/>
      <c r="O202" s="50"/>
      <c r="P202" s="52">
        <v>60</v>
      </c>
      <c r="Q202" s="52">
        <v>0</v>
      </c>
      <c r="T202" s="52">
        <v>1</v>
      </c>
    </row>
    <row r="203" spans="1:20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408</v>
      </c>
      <c r="F203" s="50"/>
      <c r="G203" s="106">
        <f>VLOOKUP($A203, Stat!$A$1:$C$501, 2,0)</f>
        <v>6</v>
      </c>
      <c r="H203" s="106">
        <f>VLOOKUP($A203, Stat!$A$1:$C$501, 3,0)</f>
        <v>0</v>
      </c>
      <c r="I203" s="109"/>
      <c r="L203" s="48">
        <v>1</v>
      </c>
      <c r="M203" s="49" t="s">
        <v>413</v>
      </c>
      <c r="N203" s="50"/>
      <c r="O203" s="50"/>
      <c r="P203" s="52">
        <v>60</v>
      </c>
      <c r="Q203" s="52">
        <v>0</v>
      </c>
      <c r="T203" s="52">
        <v>1</v>
      </c>
    </row>
    <row r="204" spans="1:20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410</v>
      </c>
      <c r="F204" s="50"/>
      <c r="G204" s="106">
        <f>VLOOKUP($A204, Stat!$A$1:$C$501, 2,0)</f>
        <v>9</v>
      </c>
      <c r="H204" s="106">
        <f>VLOOKUP($A204, Stat!$A$1:$C$501, 3,0)</f>
        <v>0</v>
      </c>
      <c r="I204" s="109"/>
      <c r="L204" s="48">
        <v>1</v>
      </c>
      <c r="M204" s="49" t="s">
        <v>414</v>
      </c>
      <c r="N204" s="50"/>
      <c r="O204" s="50"/>
      <c r="P204" s="52">
        <v>60</v>
      </c>
      <c r="Q204" s="52">
        <v>0</v>
      </c>
      <c r="S204" s="52" t="s">
        <v>227</v>
      </c>
      <c r="T204" s="52">
        <v>1</v>
      </c>
    </row>
    <row r="205" spans="1:20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311</v>
      </c>
      <c r="G205" s="106">
        <f>VLOOKUP($A205, Stat!$A$1:$C$501, 2,0)</f>
        <v>75</v>
      </c>
      <c r="H205" s="106">
        <f>VLOOKUP($A205, Stat!$A$1:$C$501, 3,0)</f>
        <v>0</v>
      </c>
      <c r="I205" s="108"/>
      <c r="M205" s="50"/>
      <c r="N205" s="50"/>
      <c r="O205" s="50"/>
      <c r="P205" s="52">
        <v>0</v>
      </c>
      <c r="Q205" s="52">
        <v>-1</v>
      </c>
      <c r="T205" s="52">
        <v>1</v>
      </c>
    </row>
    <row r="206" spans="1:20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311</v>
      </c>
      <c r="G206" s="106">
        <f>VLOOKUP($A206, Stat!$A$1:$C$501, 2,0)</f>
        <v>14</v>
      </c>
      <c r="H206" s="106">
        <f>VLOOKUP($A206, Stat!$A$1:$C$501, 3,0)</f>
        <v>0</v>
      </c>
      <c r="I206" s="108"/>
      <c r="M206" s="50"/>
      <c r="N206" s="50"/>
      <c r="O206" s="50"/>
      <c r="P206" s="52">
        <v>0</v>
      </c>
      <c r="Q206" s="52">
        <v>-1</v>
      </c>
      <c r="T206" s="52">
        <v>1</v>
      </c>
    </row>
    <row r="207" spans="1:20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311</v>
      </c>
      <c r="G207" s="106">
        <f>VLOOKUP($A207, Stat!$A$1:$C$501, 2,0)</f>
        <v>35</v>
      </c>
      <c r="H207" s="106">
        <f>VLOOKUP($A207, Stat!$A$1:$C$501, 3,0)</f>
        <v>0</v>
      </c>
      <c r="I207" s="108"/>
      <c r="M207" s="50"/>
      <c r="N207" s="50"/>
      <c r="O207" s="50"/>
      <c r="P207" s="52">
        <v>40</v>
      </c>
      <c r="Q207" s="52">
        <v>-1</v>
      </c>
      <c r="T207" s="52">
        <v>1</v>
      </c>
    </row>
    <row r="208" spans="1:20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311</v>
      </c>
      <c r="G208" s="106">
        <f>VLOOKUP($A208, Stat!$A$1:$C$501, 2,0)</f>
        <v>17</v>
      </c>
      <c r="H208" s="106">
        <f>VLOOKUP($A208, Stat!$A$1:$C$501, 3,0)</f>
        <v>0</v>
      </c>
      <c r="I208" s="108"/>
      <c r="M208" s="50"/>
      <c r="N208" s="50"/>
      <c r="O208" s="50"/>
      <c r="P208" s="52">
        <v>100</v>
      </c>
      <c r="Q208" s="52">
        <v>-1</v>
      </c>
      <c r="T208" s="52">
        <v>1</v>
      </c>
    </row>
    <row r="209" spans="1:20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308</v>
      </c>
      <c r="G209" s="106">
        <f>VLOOKUP($A209, Stat!$A$1:$C$501, 2,0)</f>
        <v>1</v>
      </c>
      <c r="H209" s="106">
        <f>VLOOKUP($A209, Stat!$A$1:$C$501, 3,0)</f>
        <v>1</v>
      </c>
      <c r="I209" s="48">
        <v>1</v>
      </c>
      <c r="M209" s="50"/>
      <c r="N209" s="50"/>
      <c r="O209" s="50"/>
      <c r="P209" s="52">
        <v>0</v>
      </c>
      <c r="Q209" s="52">
        <v>1</v>
      </c>
      <c r="R209" s="52" t="s">
        <v>177</v>
      </c>
      <c r="T209" s="52">
        <v>1</v>
      </c>
    </row>
    <row r="210" spans="1:20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308</v>
      </c>
      <c r="G210" s="106">
        <f>VLOOKUP($A210, Stat!$A$1:$C$501, 2,0)</f>
        <v>27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40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309</v>
      </c>
      <c r="F211" s="49" t="s">
        <v>308</v>
      </c>
      <c r="G211" s="106">
        <f>VLOOKUP($A211, Stat!$A$1:$C$501, 2,0)</f>
        <v>19</v>
      </c>
      <c r="H211" s="106">
        <f>VLOOKUP($A211, Stat!$A$1:$C$501, 3,0)</f>
        <v>9</v>
      </c>
      <c r="I211" s="48">
        <v>1</v>
      </c>
      <c r="M211" s="50"/>
      <c r="N211" s="50"/>
      <c r="O211" s="50"/>
      <c r="P211" s="52">
        <v>40</v>
      </c>
      <c r="Q211" s="52">
        <v>0</v>
      </c>
      <c r="R211" s="52" t="s">
        <v>177</v>
      </c>
      <c r="T211" s="52">
        <v>1</v>
      </c>
    </row>
    <row r="212" spans="1:20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310</v>
      </c>
      <c r="F212" s="49" t="s">
        <v>308</v>
      </c>
      <c r="G212" s="106">
        <f>VLOOKUP($A212, Stat!$A$1:$C$501, 2,0)</f>
        <v>8</v>
      </c>
      <c r="H212" s="106">
        <f>VLOOKUP($A212, Stat!$A$1:$C$501, 3,0)</f>
        <v>4</v>
      </c>
      <c r="I212" s="48">
        <v>1</v>
      </c>
      <c r="M212" s="50"/>
      <c r="N212" s="50"/>
      <c r="O212" s="50"/>
      <c r="P212" s="52">
        <v>60</v>
      </c>
      <c r="Q212" s="52">
        <v>0</v>
      </c>
      <c r="R212" s="52" t="s">
        <v>177</v>
      </c>
      <c r="T212" s="52">
        <v>1</v>
      </c>
    </row>
    <row r="213" spans="1:20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308</v>
      </c>
      <c r="G213" s="106">
        <f>VLOOKUP($A213, Stat!$A$1:$C$501, 2,0)</f>
        <v>4</v>
      </c>
      <c r="H213" s="106">
        <f>VLOOKUP($A213, Stat!$A$1:$C$501, 3,0)</f>
        <v>1</v>
      </c>
      <c r="I213" s="48">
        <v>1</v>
      </c>
      <c r="M213" s="50"/>
      <c r="N213" s="50"/>
      <c r="O213" s="50"/>
      <c r="P213" s="52">
        <v>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308</v>
      </c>
      <c r="G214" s="106">
        <f>VLOOKUP($A214, Stat!$A$1:$C$501, 2,0)</f>
        <v>22</v>
      </c>
      <c r="H214" s="106">
        <f>VLOOKUP($A214, Stat!$A$1:$C$501, 3,0)</f>
        <v>7</v>
      </c>
      <c r="I214" s="48">
        <v>1</v>
      </c>
      <c r="M214" s="50"/>
      <c r="N214" s="50"/>
      <c r="O214" s="50"/>
      <c r="P214" s="52">
        <v>40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309</v>
      </c>
      <c r="F215" s="49" t="s">
        <v>308</v>
      </c>
      <c r="G215" s="106">
        <f>VLOOKUP($A215, Stat!$A$1:$C$501, 2,0)</f>
        <v>17</v>
      </c>
      <c r="H215" s="106">
        <f>VLOOKUP($A215, Stat!$A$1:$C$501, 3,0)</f>
        <v>6</v>
      </c>
      <c r="I215" s="48">
        <v>1</v>
      </c>
      <c r="M215" s="50"/>
      <c r="N215" s="50"/>
      <c r="O215" s="50"/>
      <c r="P215" s="52">
        <v>40</v>
      </c>
      <c r="Q215" s="52">
        <v>0</v>
      </c>
      <c r="R215" s="52" t="s">
        <v>178</v>
      </c>
      <c r="T215" s="52">
        <v>1</v>
      </c>
    </row>
    <row r="216" spans="1:20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310</v>
      </c>
      <c r="F216" s="49" t="s">
        <v>308</v>
      </c>
      <c r="G216" s="106">
        <f>VLOOKUP($A216, Stat!$A$1:$C$501, 2,0)</f>
        <v>8</v>
      </c>
      <c r="H216" s="106">
        <f>VLOOKUP($A216, Stat!$A$1:$C$501, 3,0)</f>
        <v>8</v>
      </c>
      <c r="I216" s="48">
        <v>1</v>
      </c>
      <c r="M216" s="50"/>
      <c r="N216" s="50"/>
      <c r="O216" s="50"/>
      <c r="P216" s="52">
        <v>60</v>
      </c>
      <c r="Q216" s="52">
        <v>0</v>
      </c>
      <c r="R216" s="52" t="s">
        <v>178</v>
      </c>
      <c r="T216" s="52">
        <v>1</v>
      </c>
    </row>
    <row r="217" spans="1:20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506</v>
      </c>
      <c r="T217" s="52">
        <v>1</v>
      </c>
    </row>
    <row r="218" spans="1:20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106">
        <f>VLOOKUP($A218, Stat!$A$1:$C$501, 2,0)</f>
        <v>5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0</v>
      </c>
      <c r="Q218" s="52">
        <v>0</v>
      </c>
      <c r="S218" s="52" t="s">
        <v>507</v>
      </c>
      <c r="T218" s="52">
        <v>1</v>
      </c>
    </row>
    <row r="219" spans="1:20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106">
        <f>VLOOKUP($A219, Stat!$A$1:$C$501, 2,0)</f>
        <v>1</v>
      </c>
      <c r="H219" s="106">
        <f>VLOOKUP($A219, Stat!$A$1:$C$501, 3,0)</f>
        <v>1</v>
      </c>
      <c r="I219" s="48">
        <v>1</v>
      </c>
      <c r="M219" s="50"/>
      <c r="N219" s="50"/>
      <c r="O219" s="50"/>
      <c r="P219" s="52">
        <v>60</v>
      </c>
      <c r="Q219" s="52">
        <v>0</v>
      </c>
      <c r="S219" s="52" t="s">
        <v>239</v>
      </c>
      <c r="T219" s="52">
        <v>1</v>
      </c>
    </row>
    <row r="220" spans="1:20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106">
        <f>VLOOKUP($A220, Stat!$A$1:$C$501, 2,0)</f>
        <v>25</v>
      </c>
      <c r="H220" s="106">
        <f>VLOOKUP($A220, Stat!$A$1:$C$501, 3,0)</f>
        <v>5</v>
      </c>
      <c r="I220" s="48">
        <v>1</v>
      </c>
      <c r="M220" s="50"/>
      <c r="N220" s="50"/>
      <c r="O220" s="50"/>
      <c r="P220" s="52">
        <v>60</v>
      </c>
      <c r="Q220" s="52">
        <v>0</v>
      </c>
      <c r="S220" s="52" t="s">
        <v>238</v>
      </c>
      <c r="T220" s="52">
        <v>1</v>
      </c>
    </row>
    <row r="221" spans="1:20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106">
        <f>VLOOKUP($A221, Stat!$A$1:$C$501, 2,0)</f>
        <v>15</v>
      </c>
      <c r="H221" s="106">
        <f>VLOOKUP($A221, Stat!$A$1:$C$501, 3,0)</f>
        <v>11</v>
      </c>
      <c r="I221" s="48">
        <v>1</v>
      </c>
      <c r="M221" s="50"/>
      <c r="N221" s="50"/>
      <c r="O221" s="50"/>
      <c r="P221" s="52">
        <v>100</v>
      </c>
      <c r="Q221" s="52">
        <v>0</v>
      </c>
      <c r="T221" s="52">
        <v>1</v>
      </c>
    </row>
    <row r="222" spans="1:20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106">
        <f>VLOOKUP($A222, Stat!$A$1:$C$501, 2,0)</f>
        <v>15</v>
      </c>
      <c r="H222" s="106">
        <f>VLOOKUP($A222, Stat!$A$1:$C$501, 3,0)</f>
        <v>7</v>
      </c>
      <c r="I222" s="48">
        <v>1</v>
      </c>
      <c r="M222" s="50"/>
      <c r="N222" s="50"/>
      <c r="O222" s="50"/>
      <c r="P222" s="52">
        <v>100</v>
      </c>
      <c r="Q222" s="52">
        <v>0</v>
      </c>
      <c r="T222" s="52">
        <v>1</v>
      </c>
    </row>
    <row r="223" spans="1:20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0</v>
      </c>
      <c r="Q223" s="52">
        <v>1</v>
      </c>
      <c r="S223" s="52" t="s">
        <v>299</v>
      </c>
      <c r="T223" s="52">
        <v>1</v>
      </c>
    </row>
    <row r="224" spans="1:20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592</v>
      </c>
      <c r="F224" s="50"/>
      <c r="G224" s="106">
        <f>VLOOKUP($A224, Stat!$A$1:$C$501, 2,0)</f>
        <v>13</v>
      </c>
      <c r="H224" s="106">
        <f>VLOOKUP($A224, Stat!$A$1:$C$501, 3,0)</f>
        <v>6</v>
      </c>
      <c r="I224" s="48">
        <v>1</v>
      </c>
      <c r="M224" s="50"/>
      <c r="N224" s="50"/>
      <c r="O224" s="50"/>
      <c r="P224" s="52">
        <v>60</v>
      </c>
      <c r="Q224" s="52">
        <v>0</v>
      </c>
      <c r="S224" s="52" t="s">
        <v>593</v>
      </c>
      <c r="T224" s="52">
        <v>1</v>
      </c>
    </row>
    <row r="225" spans="1:20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338</v>
      </c>
      <c r="F225" s="50"/>
      <c r="G225" s="106">
        <f>VLOOKUP($A225, Stat!$A$1:$C$501, 2,0)</f>
        <v>8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100</v>
      </c>
      <c r="Q225" s="52">
        <v>0</v>
      </c>
      <c r="S225" s="52" t="s">
        <v>339</v>
      </c>
      <c r="T225" s="52">
        <v>1</v>
      </c>
    </row>
    <row r="226" spans="1:20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106">
        <f>VLOOKUP($A226, Stat!$A$1:$C$501, 2,0)</f>
        <v>409</v>
      </c>
      <c r="H226" s="106">
        <f>VLOOKUP($A226, Stat!$A$1:$C$501, 3,0)</f>
        <v>2</v>
      </c>
      <c r="I226" s="109"/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106">
        <f>VLOOKUP($A227, Stat!$A$1:$C$501, 2,0)</f>
        <v>11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106">
        <f>VLOOKUP($A228, Stat!$A$1:$C$501, 2,0)</f>
        <v>44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106">
        <f>VLOOKUP($A229, Stat!$A$1:$C$501, 2,0)</f>
        <v>17</v>
      </c>
      <c r="H229" s="106">
        <f>VLOOKUP($A229, Stat!$A$1:$C$501, 3,0)</f>
        <v>8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106">
        <f>VLOOKUP($A230, Stat!$A$1:$C$501, 2,0)</f>
        <v>44</v>
      </c>
      <c r="H230" s="106">
        <f>VLOOKUP($A230, Stat!$A$1:$C$501, 3,0)</f>
        <v>9</v>
      </c>
      <c r="I230" s="48">
        <v>1</v>
      </c>
      <c r="M230" s="50"/>
      <c r="N230" s="50"/>
      <c r="O230" s="50"/>
      <c r="P230" s="52">
        <v>0</v>
      </c>
      <c r="Q230" s="52">
        <v>1</v>
      </c>
      <c r="T230" s="52">
        <v>1</v>
      </c>
    </row>
    <row r="231" spans="1:20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106">
        <f>VLOOKUP($A231, Stat!$A$1:$C$501, 2,0)</f>
        <v>11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106">
        <f>VLOOKUP($A232, Stat!$A$1:$C$501, 2,0)</f>
        <v>4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60</v>
      </c>
      <c r="Q232" s="52">
        <v>0</v>
      </c>
      <c r="S232" s="52" t="s">
        <v>245</v>
      </c>
      <c r="T232" s="52">
        <v>1</v>
      </c>
    </row>
    <row r="233" spans="1:20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106">
        <f>VLOOKUP($A233, Stat!$A$1:$C$501, 2,0)</f>
        <v>3</v>
      </c>
      <c r="H233" s="106">
        <f>VLOOKUP($A233, Stat!$A$1:$C$501, 3,0)</f>
        <v>3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106">
        <f>VLOOKUP($A234, Stat!$A$1:$C$501, 2,0)</f>
        <v>21</v>
      </c>
      <c r="H234" s="106">
        <f>VLOOKUP($A234, Stat!$A$1:$C$501, 3,0)</f>
        <v>4</v>
      </c>
      <c r="I234" s="48">
        <v>1</v>
      </c>
      <c r="M234" s="50"/>
      <c r="N234" s="50"/>
      <c r="O234" s="50"/>
      <c r="P234" s="52">
        <v>0</v>
      </c>
      <c r="Q234" s="52">
        <v>1</v>
      </c>
      <c r="T234" s="52">
        <v>1</v>
      </c>
    </row>
    <row r="235" spans="1:20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106">
        <f>VLOOKUP($A235, Stat!$A$1:$C$501, 2,0)</f>
        <v>8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106">
        <f>VLOOKUP($A236, Stat!$A$1:$C$501, 2,0)</f>
        <v>22</v>
      </c>
      <c r="H236" s="106">
        <f>VLOOKUP($A236, Stat!$A$1:$C$501, 3,0)</f>
        <v>19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240</v>
      </c>
      <c r="T236" s="52">
        <v>1</v>
      </c>
    </row>
    <row r="237" spans="1:20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106">
        <f>VLOOKUP($A237, Stat!$A$1:$C$501, 2,0)</f>
        <v>27</v>
      </c>
      <c r="H237" s="106">
        <f>VLOOKUP($A237, Stat!$A$1:$C$501, 3,0)</f>
        <v>12</v>
      </c>
      <c r="I237" s="48">
        <v>1</v>
      </c>
      <c r="M237" s="50"/>
      <c r="N237" s="50"/>
      <c r="O237" s="50"/>
      <c r="P237" s="52">
        <v>60</v>
      </c>
      <c r="Q237" s="52">
        <v>0</v>
      </c>
      <c r="T237" s="52">
        <v>1</v>
      </c>
    </row>
    <row r="238" spans="1:20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106">
        <f>VLOOKUP($A238, Stat!$A$1:$C$501, 2,0)</f>
        <v>21</v>
      </c>
      <c r="H238" s="106">
        <f>VLOOKUP($A238, Stat!$A$1:$C$501, 3,0)</f>
        <v>18</v>
      </c>
      <c r="I238" s="48">
        <v>1</v>
      </c>
      <c r="M238" s="50"/>
      <c r="N238" s="50"/>
      <c r="O238" s="50"/>
      <c r="P238" s="52">
        <v>60</v>
      </c>
      <c r="Q238" s="52">
        <v>0</v>
      </c>
      <c r="S238" s="52" t="s">
        <v>241</v>
      </c>
      <c r="T238" s="52">
        <v>1</v>
      </c>
    </row>
    <row r="239" spans="1:20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106">
        <f>VLOOKUP($A239, Stat!$A$1:$C$501, 2,0)</f>
        <v>19</v>
      </c>
      <c r="H239" s="106">
        <f>VLOOKUP($A239, Stat!$A$1:$C$501, 3,0)</f>
        <v>6</v>
      </c>
      <c r="I239" s="48">
        <v>1</v>
      </c>
      <c r="M239" s="50"/>
      <c r="N239" s="50"/>
      <c r="O239" s="50"/>
      <c r="P239" s="52">
        <v>0</v>
      </c>
      <c r="Q239" s="52">
        <v>1</v>
      </c>
      <c r="S239" s="52" t="s">
        <v>247</v>
      </c>
      <c r="T239" s="52">
        <v>1</v>
      </c>
    </row>
    <row r="240" spans="1:20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306</v>
      </c>
      <c r="F240" s="50"/>
      <c r="G240" s="106">
        <f>VLOOKUP($A240, Stat!$A$1:$C$501, 2,0)</f>
        <v>65</v>
      </c>
      <c r="H240" s="106">
        <f>VLOOKUP($A240, Stat!$A$1:$C$501, 3,0)</f>
        <v>18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106">
        <f>VLOOKUP($A241, Stat!$A$1:$C$501, 2,0)</f>
        <v>10</v>
      </c>
      <c r="H241" s="106">
        <f>VLOOKUP($A241, Stat!$A$1:$C$501, 3,0)</f>
        <v>9</v>
      </c>
      <c r="I241" s="48">
        <v>1</v>
      </c>
      <c r="M241" s="49" t="s">
        <v>292</v>
      </c>
      <c r="N241" s="50"/>
      <c r="O241" s="50"/>
      <c r="P241" s="52">
        <v>60</v>
      </c>
      <c r="Q241" s="52">
        <v>0</v>
      </c>
      <c r="T241" s="52">
        <v>1</v>
      </c>
    </row>
    <row r="242" spans="1:20" ht="13.2" customHeight="1" x14ac:dyDescent="0.25">
      <c r="A242" s="52">
        <v>241</v>
      </c>
      <c r="B242" s="52" t="s">
        <v>41</v>
      </c>
      <c r="C242" s="52" t="s">
        <v>206</v>
      </c>
      <c r="D242" s="52" t="s">
        <v>371</v>
      </c>
      <c r="E242" s="56" t="s">
        <v>196</v>
      </c>
      <c r="F242" s="50"/>
      <c r="G242" s="106">
        <f>VLOOKUP($A242, Stat!$A$1:$C$501, 2,0)</f>
        <v>71</v>
      </c>
      <c r="H242" s="106">
        <f>VLOOKUP($A242, Stat!$A$1:$C$501, 3,0)</f>
        <v>16</v>
      </c>
      <c r="I242" s="48">
        <v>1</v>
      </c>
      <c r="M242" s="50"/>
      <c r="N242" s="50"/>
      <c r="O242" s="50"/>
      <c r="P242" s="52">
        <v>0</v>
      </c>
      <c r="Q242" s="52">
        <v>1</v>
      </c>
      <c r="T242" s="52">
        <v>1</v>
      </c>
    </row>
    <row r="243" spans="1:20" ht="13.2" customHeight="1" x14ac:dyDescent="0.25">
      <c r="A243" s="52">
        <v>242</v>
      </c>
      <c r="B243" s="52" t="s">
        <v>41</v>
      </c>
      <c r="C243" s="52" t="s">
        <v>206</v>
      </c>
      <c r="D243" s="52" t="s">
        <v>371</v>
      </c>
      <c r="E243" s="56" t="s">
        <v>201</v>
      </c>
      <c r="F243" s="50"/>
      <c r="G243" s="106">
        <f>VLOOKUP($A243, Stat!$A$1:$C$501, 2,0)</f>
        <v>31</v>
      </c>
      <c r="H243" s="106">
        <f>VLOOKUP($A243, Stat!$A$1:$C$501, 3,0)</f>
        <v>10</v>
      </c>
      <c r="I243" s="48">
        <v>1</v>
      </c>
      <c r="M243" s="50"/>
      <c r="N243" s="50"/>
      <c r="O243" s="50"/>
      <c r="P243" s="52">
        <v>0</v>
      </c>
      <c r="Q243" s="52">
        <v>1</v>
      </c>
      <c r="T243" s="52">
        <v>1</v>
      </c>
    </row>
    <row r="244" spans="1:20" ht="13.2" customHeight="1" x14ac:dyDescent="0.25">
      <c r="A244" s="52">
        <v>243</v>
      </c>
      <c r="B244" s="52" t="s">
        <v>41</v>
      </c>
      <c r="C244" s="52" t="s">
        <v>206</v>
      </c>
      <c r="D244" s="52" t="s">
        <v>371</v>
      </c>
      <c r="E244" s="56" t="s">
        <v>203</v>
      </c>
      <c r="F244" s="50"/>
      <c r="G244" s="106">
        <f>VLOOKUP($A244, Stat!$A$1:$C$501, 2,0)</f>
        <v>15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60</v>
      </c>
      <c r="Q244" s="52">
        <v>1</v>
      </c>
      <c r="T244" s="52">
        <v>1</v>
      </c>
    </row>
    <row r="245" spans="1:20" ht="13.2" customHeight="1" x14ac:dyDescent="0.25">
      <c r="A245" s="52">
        <v>244</v>
      </c>
      <c r="B245" s="52" t="s">
        <v>41</v>
      </c>
      <c r="C245" s="53" t="s">
        <v>206</v>
      </c>
      <c r="D245" s="52" t="s">
        <v>371</v>
      </c>
      <c r="E245" s="56" t="s">
        <v>202</v>
      </c>
      <c r="F245" s="50"/>
      <c r="G245" s="106">
        <f>VLOOKUP($A245, Stat!$A$1:$C$501, 2,0)</f>
        <v>3</v>
      </c>
      <c r="H245" s="106">
        <f>VLOOKUP($A245, Stat!$A$1:$C$501, 3,0)</f>
        <v>3</v>
      </c>
      <c r="I245" s="48">
        <v>1</v>
      </c>
      <c r="M245" s="50"/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309</v>
      </c>
      <c r="F246" s="50"/>
      <c r="G246" s="106">
        <f>VLOOKUP($A246, Stat!$A$1:$C$501, 2,0)</f>
        <v>31</v>
      </c>
      <c r="H246" s="106">
        <f>VLOOKUP($A246, Stat!$A$1:$C$501, 3,0)</f>
        <v>10</v>
      </c>
      <c r="I246" s="48">
        <v>1</v>
      </c>
      <c r="M246" s="50"/>
      <c r="N246" s="50"/>
      <c r="O246" s="50"/>
      <c r="P246" s="52">
        <v>0</v>
      </c>
      <c r="Q246" s="52">
        <v>0</v>
      </c>
      <c r="T246" s="52">
        <v>1</v>
      </c>
    </row>
    <row r="247" spans="1:20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106">
        <f>VLOOKUP($A247, Stat!$A$1:$C$501, 2,0)</f>
        <v>7</v>
      </c>
      <c r="H247" s="106">
        <f>VLOOKUP($A247, Stat!$A$1:$C$501, 3,0)</f>
        <v>2</v>
      </c>
      <c r="I247" s="48">
        <v>1</v>
      </c>
      <c r="M247" s="49" t="s">
        <v>496</v>
      </c>
      <c r="N247" s="50"/>
      <c r="O247" s="50"/>
      <c r="P247" s="52">
        <v>60</v>
      </c>
      <c r="Q247" s="52">
        <v>0</v>
      </c>
      <c r="T247" s="52">
        <v>1</v>
      </c>
    </row>
    <row r="248" spans="1:20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106">
        <f>VLOOKUP($A248, Stat!$A$1:$C$501, 2,0)</f>
        <v>37</v>
      </c>
      <c r="H248" s="106">
        <f>VLOOKUP($A248, Stat!$A$1:$C$501, 3,0)</f>
        <v>16</v>
      </c>
      <c r="I248" s="48">
        <v>1</v>
      </c>
      <c r="M248" s="50"/>
      <c r="N248" s="50"/>
      <c r="O248" s="50"/>
      <c r="P248" s="52">
        <v>60</v>
      </c>
      <c r="Q248" s="52">
        <v>0</v>
      </c>
      <c r="S248" s="52" t="s">
        <v>244</v>
      </c>
      <c r="T248" s="52">
        <v>1</v>
      </c>
    </row>
    <row r="249" spans="1:20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106">
        <f>VLOOKUP($A249, Stat!$A$1:$C$501, 2,0)</f>
        <v>25</v>
      </c>
      <c r="H249" s="106">
        <f>VLOOKUP($A249, Stat!$A$1:$C$501, 3,0)</f>
        <v>4</v>
      </c>
      <c r="I249" s="48">
        <v>1</v>
      </c>
      <c r="M249" s="50"/>
      <c r="N249" s="50"/>
      <c r="O249" s="50"/>
      <c r="P249" s="52">
        <v>0</v>
      </c>
      <c r="Q249" s="52">
        <v>1</v>
      </c>
      <c r="R249" s="52" t="s">
        <v>450</v>
      </c>
      <c r="T249" s="52">
        <v>1</v>
      </c>
    </row>
    <row r="250" spans="1:20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106">
        <f>VLOOKUP($A250, Stat!$A$1:$C$501, 2,0)</f>
        <v>135</v>
      </c>
      <c r="H250" s="106">
        <f>VLOOKUP($A250, Stat!$A$1:$C$501, 3,0)</f>
        <v>29</v>
      </c>
      <c r="I250" s="48">
        <v>1</v>
      </c>
      <c r="M250" s="54"/>
      <c r="N250" s="50"/>
      <c r="O250" s="50"/>
      <c r="P250" s="52">
        <v>0</v>
      </c>
      <c r="Q250" s="52">
        <v>1</v>
      </c>
      <c r="R250" s="52" t="s">
        <v>450</v>
      </c>
      <c r="T250" s="52">
        <v>1</v>
      </c>
    </row>
    <row r="251" spans="1:20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106">
        <f>VLOOKUP($A251, Stat!$A$1:$C$501, 2,0)</f>
        <v>67</v>
      </c>
      <c r="H251" s="106">
        <f>VLOOKUP($A251, Stat!$A$1:$C$501, 3,0)</f>
        <v>17</v>
      </c>
      <c r="I251" s="48">
        <v>1</v>
      </c>
      <c r="M251" s="49" t="s">
        <v>271</v>
      </c>
      <c r="N251" s="50"/>
      <c r="O251" s="50"/>
      <c r="P251" s="52">
        <v>60</v>
      </c>
      <c r="Q251" s="52">
        <v>0</v>
      </c>
      <c r="R251" s="52" t="s">
        <v>450</v>
      </c>
      <c r="S251" s="52" t="s">
        <v>237</v>
      </c>
      <c r="T251" s="52">
        <v>1</v>
      </c>
    </row>
    <row r="252" spans="1:20" x14ac:dyDescent="0.25">
      <c r="A252" s="52">
        <v>251</v>
      </c>
      <c r="B252" s="52" t="s">
        <v>41</v>
      </c>
      <c r="C252" s="52" t="s">
        <v>206</v>
      </c>
      <c r="D252" s="52" t="s">
        <v>371</v>
      </c>
      <c r="E252" s="56" t="s">
        <v>218</v>
      </c>
      <c r="F252" s="50"/>
      <c r="G252" s="106">
        <f>VLOOKUP($A252, Stat!$A$1:$C$501, 2,0)</f>
        <v>4</v>
      </c>
      <c r="H252" s="106">
        <f>VLOOKUP($A252, Stat!$A$1:$C$501, 3,0)</f>
        <v>4</v>
      </c>
      <c r="I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106">
        <f>VLOOKUP($A253, Stat!$A$1:$C$501, 2,0)</f>
        <v>25</v>
      </c>
      <c r="H253" s="106">
        <f>VLOOKUP($A253, Stat!$A$1:$C$501, 3,0)</f>
        <v>8</v>
      </c>
      <c r="I253" s="48">
        <v>1</v>
      </c>
      <c r="J253" s="51"/>
      <c r="K253" s="51"/>
      <c r="L253" s="48">
        <v>1</v>
      </c>
      <c r="M253" s="50"/>
      <c r="N253" s="50"/>
      <c r="O253" s="50"/>
      <c r="P253" s="52">
        <v>60</v>
      </c>
      <c r="Q253" s="52">
        <v>0</v>
      </c>
      <c r="T253" s="52">
        <v>1</v>
      </c>
    </row>
    <row r="254" spans="1:20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106">
        <f>VLOOKUP($A254, Stat!$A$1:$C$501, 2,0)</f>
        <v>1</v>
      </c>
      <c r="H254" s="106">
        <f>VLOOKUP($A254, Stat!$A$1:$C$501, 3,0)</f>
        <v>1</v>
      </c>
      <c r="I254" s="48">
        <v>1</v>
      </c>
      <c r="J254" s="51"/>
      <c r="K254" s="51"/>
      <c r="L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106">
        <f>VLOOKUP($A255, Stat!$A$1:$C$501, 2,0)</f>
        <v>19</v>
      </c>
      <c r="H255" s="106">
        <f>VLOOKUP($A255, Stat!$A$1:$C$501, 3,0)</f>
        <v>16</v>
      </c>
      <c r="I255" s="48">
        <v>1</v>
      </c>
      <c r="M255" s="50"/>
      <c r="N255" s="50"/>
      <c r="O255" s="50"/>
      <c r="P255" s="52">
        <v>60</v>
      </c>
      <c r="Q255" s="52">
        <v>0</v>
      </c>
      <c r="S255" s="52" t="s">
        <v>242</v>
      </c>
      <c r="T255" s="52">
        <v>1</v>
      </c>
    </row>
    <row r="256" spans="1:20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106">
        <f>VLOOKUP($A256, Stat!$A$1:$C$501, 2,0)</f>
        <v>11</v>
      </c>
      <c r="H256" s="106">
        <f>VLOOKUP($A256, Stat!$A$1:$C$501, 3,0)</f>
        <v>6</v>
      </c>
      <c r="I256" s="48">
        <v>1</v>
      </c>
      <c r="M256" s="50"/>
      <c r="N256" s="50"/>
      <c r="O256" s="50"/>
      <c r="P256" s="52">
        <v>60</v>
      </c>
      <c r="Q256" s="52">
        <v>0</v>
      </c>
      <c r="T256" s="52">
        <v>1</v>
      </c>
    </row>
    <row r="257" spans="1:20" x14ac:dyDescent="0.25">
      <c r="A257" s="52">
        <v>256</v>
      </c>
      <c r="B257" s="52" t="s">
        <v>41</v>
      </c>
      <c r="C257" s="52" t="s">
        <v>248</v>
      </c>
      <c r="D257" s="52" t="s">
        <v>249</v>
      </c>
      <c r="E257" s="52" t="s">
        <v>318</v>
      </c>
      <c r="G257" s="106">
        <f>VLOOKUP($A257, Stat!$A$1:$C$501, 2,0)</f>
        <v>29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319</v>
      </c>
      <c r="T257" s="52">
        <v>1</v>
      </c>
    </row>
    <row r="258" spans="1:20" x14ac:dyDescent="0.25">
      <c r="A258" s="52">
        <v>257</v>
      </c>
      <c r="B258" s="52" t="s">
        <v>41</v>
      </c>
      <c r="C258" s="52" t="s">
        <v>248</v>
      </c>
      <c r="D258" s="52" t="s">
        <v>249</v>
      </c>
      <c r="E258" s="56" t="s">
        <v>250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269</v>
      </c>
      <c r="O258" s="50"/>
      <c r="P258" s="52">
        <v>60</v>
      </c>
      <c r="Q258" s="52">
        <v>1</v>
      </c>
      <c r="S258" s="52" t="s">
        <v>317</v>
      </c>
      <c r="T258" s="52">
        <v>1</v>
      </c>
    </row>
    <row r="259" spans="1:20" x14ac:dyDescent="0.25">
      <c r="A259" s="52">
        <v>258</v>
      </c>
      <c r="B259" s="52" t="s">
        <v>41</v>
      </c>
      <c r="C259" s="52" t="s">
        <v>248</v>
      </c>
      <c r="D259" s="52" t="s">
        <v>316</v>
      </c>
      <c r="E259" s="52" t="s">
        <v>318</v>
      </c>
      <c r="G259" s="106">
        <f>VLOOKUP($A259, Stat!$A$1:$C$501, 2,0)</f>
        <v>33</v>
      </c>
      <c r="H259" s="106">
        <f>VLOOKUP($A259, Stat!$A$1:$C$501, 3,0)</f>
        <v>0</v>
      </c>
      <c r="I259" s="108"/>
      <c r="N259" s="48">
        <v>1</v>
      </c>
      <c r="P259" s="52">
        <v>0</v>
      </c>
      <c r="Q259" s="52">
        <v>1</v>
      </c>
      <c r="S259" s="52" t="s">
        <v>325</v>
      </c>
      <c r="T259" s="52">
        <v>1</v>
      </c>
    </row>
    <row r="260" spans="1:20" x14ac:dyDescent="0.25">
      <c r="A260" s="52">
        <v>259</v>
      </c>
      <c r="B260" s="52" t="s">
        <v>41</v>
      </c>
      <c r="C260" s="52" t="s">
        <v>248</v>
      </c>
      <c r="D260" s="52" t="s">
        <v>249</v>
      </c>
      <c r="E260" s="56" t="s">
        <v>251</v>
      </c>
      <c r="F260" s="50"/>
      <c r="G260" s="106">
        <f>VLOOKUP($A260, Stat!$A$1:$C$501, 2,0)</f>
        <v>7</v>
      </c>
      <c r="H260" s="106">
        <f>VLOOKUP($A260, Stat!$A$1:$C$501, 3,0)</f>
        <v>0</v>
      </c>
      <c r="I260" s="108"/>
      <c r="M260" s="50"/>
      <c r="N260" s="49" t="s">
        <v>269</v>
      </c>
      <c r="O260" s="50"/>
      <c r="P260" s="52">
        <v>60</v>
      </c>
      <c r="Q260" s="52">
        <v>0</v>
      </c>
      <c r="T260" s="52">
        <v>1</v>
      </c>
    </row>
    <row r="261" spans="1:20" x14ac:dyDescent="0.25">
      <c r="A261" s="52">
        <v>260</v>
      </c>
      <c r="B261" s="52" t="s">
        <v>41</v>
      </c>
      <c r="C261" s="52" t="s">
        <v>248</v>
      </c>
      <c r="D261" s="52" t="s">
        <v>316</v>
      </c>
      <c r="E261" s="56" t="s">
        <v>320</v>
      </c>
      <c r="F261" s="50"/>
      <c r="G261" s="106">
        <f>VLOOKUP($A261, Stat!$A$1:$C$501, 2,0)</f>
        <v>2</v>
      </c>
      <c r="H261" s="106">
        <f>VLOOKUP($A261, Stat!$A$1:$C$501, 3,0)</f>
        <v>0</v>
      </c>
      <c r="I261" s="109"/>
      <c r="M261" s="50"/>
      <c r="N261" s="49" t="s">
        <v>269</v>
      </c>
      <c r="O261" s="50"/>
      <c r="P261" s="52">
        <v>60</v>
      </c>
      <c r="Q261" s="52">
        <v>0</v>
      </c>
      <c r="S261" s="52" t="s">
        <v>356</v>
      </c>
      <c r="T261" s="52">
        <v>1</v>
      </c>
    </row>
    <row r="262" spans="1:20" x14ac:dyDescent="0.25">
      <c r="A262" s="52">
        <v>261</v>
      </c>
      <c r="B262" s="52" t="s">
        <v>41</v>
      </c>
      <c r="C262" s="52" t="s">
        <v>248</v>
      </c>
      <c r="D262" s="52" t="s">
        <v>249</v>
      </c>
      <c r="E262" s="56" t="s">
        <v>252</v>
      </c>
      <c r="F262" s="50"/>
      <c r="G262" s="106">
        <f>VLOOKUP($A262, Stat!$A$1:$C$501, 2,0)</f>
        <v>15</v>
      </c>
      <c r="H262" s="106">
        <f>VLOOKUP($A262, Stat!$A$1:$C$501, 3,0)</f>
        <v>0</v>
      </c>
      <c r="I262" s="108"/>
      <c r="M262" s="50"/>
      <c r="N262" s="49" t="s">
        <v>269</v>
      </c>
      <c r="O262" s="50"/>
      <c r="P262" s="52">
        <v>40</v>
      </c>
      <c r="Q262" s="52">
        <v>1</v>
      </c>
      <c r="T262" s="52">
        <v>1</v>
      </c>
    </row>
    <row r="263" spans="1:20" ht="13.2" customHeight="1" x14ac:dyDescent="0.25">
      <c r="A263" s="52">
        <v>262</v>
      </c>
      <c r="B263" s="52" t="s">
        <v>41</v>
      </c>
      <c r="C263" s="52" t="s">
        <v>248</v>
      </c>
      <c r="D263" s="52" t="s">
        <v>321</v>
      </c>
      <c r="E263" s="56" t="s">
        <v>318</v>
      </c>
      <c r="F263" s="50"/>
      <c r="G263" s="107">
        <f>VLOOKUP($A263, Stat!$A$1:$C$501, 2,0)</f>
        <v>0</v>
      </c>
      <c r="H263" s="106">
        <f>VLOOKUP($A263, Stat!$A$1:$C$501, 3,0)</f>
        <v>0</v>
      </c>
      <c r="M263" s="50"/>
      <c r="N263" s="50"/>
      <c r="O263" s="50"/>
      <c r="P263" s="52">
        <v>0</v>
      </c>
      <c r="Q263" s="52">
        <v>1</v>
      </c>
      <c r="S263" s="52" t="s">
        <v>324</v>
      </c>
      <c r="T263" s="52">
        <v>1</v>
      </c>
    </row>
    <row r="264" spans="1:20" ht="13.2" customHeight="1" x14ac:dyDescent="0.25">
      <c r="A264" s="52">
        <v>263</v>
      </c>
      <c r="B264" s="52" t="s">
        <v>41</v>
      </c>
      <c r="C264" s="52" t="s">
        <v>248</v>
      </c>
      <c r="D264" s="52" t="s">
        <v>249</v>
      </c>
      <c r="E264" s="56" t="s">
        <v>253</v>
      </c>
      <c r="F264" s="50"/>
      <c r="G264" s="106">
        <f>VLOOKUP($A264, Stat!$A$1:$C$501, 2,0)</f>
        <v>3</v>
      </c>
      <c r="H264" s="106">
        <f>VLOOKUP($A264, Stat!$A$1:$C$501, 3,0)</f>
        <v>0</v>
      </c>
      <c r="I264" s="108"/>
      <c r="M264" s="50"/>
      <c r="N264" s="49" t="s">
        <v>269</v>
      </c>
      <c r="O264" s="50"/>
      <c r="P264" s="52">
        <v>60</v>
      </c>
      <c r="Q264" s="52">
        <v>0</v>
      </c>
      <c r="S264" s="52" t="s">
        <v>438</v>
      </c>
      <c r="T264" s="52">
        <v>1</v>
      </c>
    </row>
    <row r="265" spans="1:20" ht="13.2" customHeight="1" x14ac:dyDescent="0.25">
      <c r="A265" s="52">
        <v>264</v>
      </c>
      <c r="B265" s="52" t="s">
        <v>41</v>
      </c>
      <c r="C265" s="52" t="s">
        <v>248</v>
      </c>
      <c r="D265" s="52" t="s">
        <v>249</v>
      </c>
      <c r="E265" s="56" t="s">
        <v>254</v>
      </c>
      <c r="F265" s="50"/>
      <c r="G265" s="106">
        <f>VLOOKUP($A265, Stat!$A$1:$C$501, 2,0)</f>
        <v>1</v>
      </c>
      <c r="H265" s="108">
        <f>VLOOKUP($A265, Stat!$A$1:$C$501, 3,0)</f>
        <v>0</v>
      </c>
      <c r="I265" s="108"/>
      <c r="M265" s="50"/>
      <c r="N265" s="49" t="s">
        <v>269</v>
      </c>
      <c r="O265" s="50"/>
      <c r="P265" s="52">
        <v>60</v>
      </c>
      <c r="Q265" s="52">
        <v>1</v>
      </c>
      <c r="S265" s="52" t="s">
        <v>314</v>
      </c>
      <c r="T265" s="52">
        <v>1</v>
      </c>
    </row>
    <row r="266" spans="1:20" ht="13.2" customHeight="1" x14ac:dyDescent="0.25">
      <c r="A266" s="52">
        <v>265</v>
      </c>
      <c r="B266" s="52" t="s">
        <v>41</v>
      </c>
      <c r="C266" s="52" t="s">
        <v>248</v>
      </c>
      <c r="D266" s="52" t="s">
        <v>249</v>
      </c>
      <c r="E266" s="56" t="s">
        <v>255</v>
      </c>
      <c r="F266" s="50"/>
      <c r="G266" s="106">
        <f>VLOOKUP($A266, Stat!$A$1:$C$501, 2,0)</f>
        <v>11</v>
      </c>
      <c r="H266" s="106">
        <f>VLOOKUP($A266, Stat!$A$1:$C$501, 3,0)</f>
        <v>0</v>
      </c>
      <c r="I266" s="108"/>
      <c r="M266" s="50"/>
      <c r="N266" s="49" t="s">
        <v>269</v>
      </c>
      <c r="O266" s="50"/>
      <c r="P266" s="52">
        <v>40</v>
      </c>
      <c r="Q266" s="52">
        <v>1</v>
      </c>
      <c r="S266" s="52" t="s">
        <v>315</v>
      </c>
      <c r="T266" s="52">
        <v>1</v>
      </c>
    </row>
    <row r="267" spans="1:20" ht="13.2" customHeight="1" x14ac:dyDescent="0.25">
      <c r="A267" s="52">
        <v>266</v>
      </c>
      <c r="B267" s="52" t="s">
        <v>41</v>
      </c>
      <c r="C267" s="52" t="s">
        <v>248</v>
      </c>
      <c r="D267" s="52" t="s">
        <v>249</v>
      </c>
      <c r="E267" s="56" t="s">
        <v>313</v>
      </c>
      <c r="F267" s="50"/>
      <c r="G267" s="106">
        <f>VLOOKUP($A267, Stat!$A$1:$C$501, 2,0)</f>
        <v>5</v>
      </c>
      <c r="H267" s="106">
        <f>VLOOKUP($A267, Stat!$A$1:$C$501, 3,0)</f>
        <v>0</v>
      </c>
      <c r="I267" s="108"/>
      <c r="M267" s="50"/>
      <c r="N267" s="49" t="s">
        <v>269</v>
      </c>
      <c r="O267" s="50"/>
      <c r="P267" s="52">
        <v>40</v>
      </c>
      <c r="Q267" s="52">
        <v>1</v>
      </c>
      <c r="T267" s="52">
        <v>1</v>
      </c>
    </row>
    <row r="268" spans="1:20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293</v>
      </c>
      <c r="G268" s="106">
        <f>VLOOKUP($A268, Stat!$A$1:$C$501, 2,0)</f>
        <v>47</v>
      </c>
      <c r="H268" s="106">
        <f>VLOOKUP($A268, Stat!$A$1:$C$501, 3,0)</f>
        <v>21</v>
      </c>
      <c r="I268" s="48">
        <v>1</v>
      </c>
      <c r="L268" s="48">
        <v>1</v>
      </c>
      <c r="P268" s="52">
        <v>0</v>
      </c>
      <c r="Q268" s="52">
        <v>0</v>
      </c>
      <c r="T268" s="52">
        <v>1</v>
      </c>
    </row>
    <row r="269" spans="1:20" ht="13.2" customHeight="1" x14ac:dyDescent="0.25">
      <c r="A269" s="52">
        <v>268</v>
      </c>
      <c r="B269" s="52" t="s">
        <v>41</v>
      </c>
      <c r="C269" s="52" t="s">
        <v>64</v>
      </c>
      <c r="D269" s="52" t="s">
        <v>519</v>
      </c>
      <c r="E269" s="56" t="s">
        <v>534</v>
      </c>
      <c r="G269" s="106">
        <f>VLOOKUP($A269, Stat!$A$1:$C$501, 2,0)</f>
        <v>313</v>
      </c>
      <c r="H269" s="106">
        <f>VLOOKUP($A269, Stat!$A$1:$C$501, 3,0)</f>
        <v>3</v>
      </c>
      <c r="I269" s="109"/>
      <c r="P269" s="52">
        <v>0</v>
      </c>
      <c r="Q269" s="52">
        <v>-1</v>
      </c>
      <c r="T269" s="52">
        <v>1</v>
      </c>
    </row>
    <row r="270" spans="1:20" ht="13.2" customHeight="1" x14ac:dyDescent="0.25">
      <c r="A270" s="52">
        <v>269</v>
      </c>
      <c r="B270" s="52" t="s">
        <v>41</v>
      </c>
      <c r="C270" s="52" t="s">
        <v>64</v>
      </c>
      <c r="D270" s="52" t="s">
        <v>519</v>
      </c>
      <c r="E270" s="56" t="s">
        <v>535</v>
      </c>
      <c r="G270" s="106">
        <f>VLOOKUP($A270, Stat!$A$1:$C$501, 2,0)</f>
        <v>48</v>
      </c>
      <c r="H270" s="106">
        <f>VLOOKUP($A270, Stat!$A$1:$C$501, 3,0)</f>
        <v>6</v>
      </c>
      <c r="I270" s="48">
        <v>1</v>
      </c>
      <c r="P270" s="52">
        <v>0</v>
      </c>
      <c r="Q270" s="52">
        <v>-1</v>
      </c>
      <c r="T270" s="52">
        <v>1</v>
      </c>
    </row>
    <row r="271" spans="1:20" ht="13.2" customHeight="1" x14ac:dyDescent="0.25">
      <c r="A271" s="52">
        <v>270</v>
      </c>
      <c r="B271" s="52" t="s">
        <v>41</v>
      </c>
      <c r="C271" s="52" t="s">
        <v>64</v>
      </c>
      <c r="D271" s="52" t="s">
        <v>519</v>
      </c>
      <c r="E271" s="56" t="s">
        <v>536</v>
      </c>
      <c r="G271" s="106">
        <f>VLOOKUP($A271, Stat!$A$1:$C$501, 2,0)</f>
        <v>25</v>
      </c>
      <c r="H271" s="106">
        <f>VLOOKUP($A271, Stat!$A$1:$C$501, 3,0)</f>
        <v>5</v>
      </c>
      <c r="I271" s="48">
        <v>1</v>
      </c>
      <c r="P271" s="52">
        <v>30</v>
      </c>
      <c r="Q271" s="52">
        <v>0</v>
      </c>
      <c r="T271" s="52">
        <v>1</v>
      </c>
    </row>
    <row r="272" spans="1:20" ht="13.2" customHeight="1" x14ac:dyDescent="0.25">
      <c r="A272" s="52">
        <v>271</v>
      </c>
      <c r="B272" s="52" t="s">
        <v>41</v>
      </c>
      <c r="C272" s="52" t="s">
        <v>64</v>
      </c>
      <c r="D272" s="52" t="s">
        <v>519</v>
      </c>
      <c r="E272" s="56" t="s">
        <v>537</v>
      </c>
      <c r="G272" s="106">
        <f>VLOOKUP($A272, Stat!$A$1:$C$501, 2,0)</f>
        <v>11</v>
      </c>
      <c r="H272" s="106">
        <f>VLOOKUP($A272, Stat!$A$1:$C$501, 3,0)</f>
        <v>2</v>
      </c>
      <c r="I272" s="48">
        <v>1</v>
      </c>
      <c r="P272" s="52">
        <v>40</v>
      </c>
      <c r="Q272" s="52">
        <v>0</v>
      </c>
      <c r="T272" s="52">
        <v>1</v>
      </c>
    </row>
    <row r="273" spans="1:20" ht="13.2" customHeight="1" x14ac:dyDescent="0.25">
      <c r="A273" s="52">
        <v>272</v>
      </c>
      <c r="B273" s="52" t="s">
        <v>41</v>
      </c>
      <c r="C273" s="52" t="s">
        <v>64</v>
      </c>
      <c r="D273" s="52" t="s">
        <v>519</v>
      </c>
      <c r="E273" s="56" t="s">
        <v>294</v>
      </c>
      <c r="G273" s="106">
        <f>VLOOKUP($A273, Stat!$A$1:$C$501, 2,0)</f>
        <v>42</v>
      </c>
      <c r="H273" s="106">
        <f>VLOOKUP($A273, Stat!$A$1:$C$501, 3,0)</f>
        <v>14</v>
      </c>
      <c r="I273" s="48">
        <v>1</v>
      </c>
      <c r="P273" s="52">
        <v>100</v>
      </c>
      <c r="Q273" s="52">
        <v>0</v>
      </c>
      <c r="T273" s="52">
        <v>1</v>
      </c>
    </row>
    <row r="274" spans="1:20" ht="13.2" customHeight="1" x14ac:dyDescent="0.25">
      <c r="A274" s="52">
        <v>273</v>
      </c>
      <c r="B274" s="52" t="s">
        <v>41</v>
      </c>
      <c r="C274" s="52" t="s">
        <v>64</v>
      </c>
      <c r="D274" s="52" t="s">
        <v>295</v>
      </c>
      <c r="E274" s="56" t="s">
        <v>297</v>
      </c>
      <c r="G274" s="106">
        <f>VLOOKUP($A274, Stat!$A$1:$C$501, 2,0)</f>
        <v>44</v>
      </c>
      <c r="H274" s="106">
        <f>VLOOKUP($A274, Stat!$A$1:$C$501, 3,0)</f>
        <v>8</v>
      </c>
      <c r="I274" s="48">
        <v>1</v>
      </c>
      <c r="P274" s="52">
        <v>0</v>
      </c>
      <c r="Q274" s="52">
        <v>0</v>
      </c>
      <c r="S274" s="52" t="s">
        <v>296</v>
      </c>
      <c r="T274" s="52">
        <v>1</v>
      </c>
    </row>
    <row r="275" spans="1:20" x14ac:dyDescent="0.25">
      <c r="A275" s="52">
        <v>274</v>
      </c>
      <c r="B275" s="52" t="s">
        <v>41</v>
      </c>
      <c r="C275" s="52" t="s">
        <v>206</v>
      </c>
      <c r="D275" s="52" t="s">
        <v>371</v>
      </c>
      <c r="E275" s="56" t="s">
        <v>470</v>
      </c>
      <c r="G275" s="106">
        <f>VLOOKUP($A275, Stat!$A$1:$C$501, 2,0)</f>
        <v>6</v>
      </c>
      <c r="H275" s="106">
        <f>VLOOKUP($A275, Stat!$A$1:$C$501, 3,0)</f>
        <v>6</v>
      </c>
      <c r="I275" s="48">
        <v>1</v>
      </c>
      <c r="P275" s="52">
        <v>60</v>
      </c>
      <c r="Q275" s="52">
        <v>0</v>
      </c>
      <c r="S275" s="52" t="s">
        <v>471</v>
      </c>
      <c r="T275" s="52">
        <v>1</v>
      </c>
    </row>
    <row r="276" spans="1:20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302</v>
      </c>
      <c r="G276" s="106">
        <f>VLOOKUP($A276, Stat!$A$1:$C$501, 2,0)</f>
        <v>10</v>
      </c>
      <c r="H276" s="106">
        <f>VLOOKUP($A276, Stat!$A$1:$C$501, 3,0)</f>
        <v>2</v>
      </c>
      <c r="I276" s="48">
        <v>1</v>
      </c>
      <c r="P276" s="52">
        <v>60</v>
      </c>
      <c r="Q276" s="52">
        <v>0</v>
      </c>
      <c r="S276" s="52" t="s">
        <v>301</v>
      </c>
      <c r="T276" s="52">
        <v>1</v>
      </c>
    </row>
    <row r="277" spans="1:20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298</v>
      </c>
      <c r="G277" s="106">
        <f>VLOOKUP($A277, Stat!$A$1:$C$501, 2,0)</f>
        <v>5</v>
      </c>
      <c r="H277" s="106">
        <f>VLOOKUP($A277, Stat!$A$1:$C$501, 3,0)</f>
        <v>3</v>
      </c>
      <c r="I277" s="48">
        <v>1</v>
      </c>
      <c r="P277" s="52">
        <v>60</v>
      </c>
      <c r="Q277" s="52">
        <v>0</v>
      </c>
      <c r="S277" s="52" t="s">
        <v>300</v>
      </c>
      <c r="T277" s="52">
        <v>1</v>
      </c>
    </row>
    <row r="278" spans="1:20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303</v>
      </c>
      <c r="G278" s="106">
        <f>VLOOKUP($A278, Stat!$A$1:$C$501, 2,0)</f>
        <v>1</v>
      </c>
      <c r="H278" s="106">
        <f>VLOOKUP($A278, Stat!$A$1:$C$501, 3,0)</f>
        <v>1</v>
      </c>
      <c r="I278" s="48">
        <v>1</v>
      </c>
      <c r="P278" s="52">
        <v>60</v>
      </c>
      <c r="Q278" s="52">
        <v>0</v>
      </c>
      <c r="S278" s="52" t="s">
        <v>369</v>
      </c>
      <c r="T278" s="52">
        <v>1</v>
      </c>
    </row>
    <row r="279" spans="1:20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307</v>
      </c>
      <c r="G279" s="106">
        <f>VLOOKUP($A279, Stat!$A$1:$C$501, 2,0)</f>
        <v>6</v>
      </c>
      <c r="H279" s="106">
        <f>VLOOKUP($A279, Stat!$A$1:$C$501, 3,0)</f>
        <v>1</v>
      </c>
      <c r="I279" s="48">
        <v>1</v>
      </c>
      <c r="P279" s="52">
        <v>0</v>
      </c>
      <c r="Q279" s="52">
        <v>1</v>
      </c>
      <c r="T279" s="52">
        <v>1</v>
      </c>
    </row>
    <row r="280" spans="1:20" x14ac:dyDescent="0.25">
      <c r="A280" s="52">
        <v>279</v>
      </c>
      <c r="B280" s="52" t="s">
        <v>41</v>
      </c>
      <c r="C280" s="52" t="s">
        <v>248</v>
      </c>
      <c r="D280" s="52" t="s">
        <v>249</v>
      </c>
      <c r="E280" s="52" t="s">
        <v>312</v>
      </c>
      <c r="G280" s="106">
        <f>VLOOKUP($A280, Stat!$A$1:$C$501, 2,0)</f>
        <v>18</v>
      </c>
      <c r="H280" s="106">
        <f>VLOOKUP($A280, Stat!$A$1:$C$501, 3,0)</f>
        <v>0</v>
      </c>
      <c r="I280" s="108"/>
      <c r="N280" s="48">
        <v>1</v>
      </c>
      <c r="P280" s="52">
        <v>40</v>
      </c>
      <c r="Q280" s="52">
        <v>1</v>
      </c>
      <c r="T280" s="52">
        <v>1</v>
      </c>
    </row>
    <row r="281" spans="1:20" x14ac:dyDescent="0.25">
      <c r="A281" s="52">
        <v>280</v>
      </c>
      <c r="B281" s="52" t="s">
        <v>41</v>
      </c>
      <c r="C281" s="52" t="s">
        <v>248</v>
      </c>
      <c r="D281" s="52" t="s">
        <v>316</v>
      </c>
      <c r="E281" s="52" t="s">
        <v>250</v>
      </c>
      <c r="G281" s="106">
        <f>VLOOKUP($A281, Stat!$A$1:$C$501, 2,0)</f>
        <v>4</v>
      </c>
      <c r="H281" s="106">
        <f>VLOOKUP($A281, Stat!$A$1:$C$501, 3,0)</f>
        <v>0</v>
      </c>
      <c r="I281" s="108"/>
      <c r="N281" s="48">
        <v>1</v>
      </c>
      <c r="P281" s="52">
        <v>60</v>
      </c>
      <c r="Q281" s="52">
        <v>1</v>
      </c>
      <c r="T281" s="52">
        <v>1</v>
      </c>
    </row>
    <row r="282" spans="1:20" ht="13.2" customHeight="1" x14ac:dyDescent="0.25">
      <c r="A282" s="52">
        <v>281</v>
      </c>
      <c r="B282" s="52" t="s">
        <v>41</v>
      </c>
      <c r="C282" s="52" t="s">
        <v>248</v>
      </c>
      <c r="D282" s="52" t="s">
        <v>316</v>
      </c>
      <c r="E282" s="52" t="s">
        <v>251</v>
      </c>
      <c r="G282" s="106">
        <f>VLOOKUP($A282, Stat!$A$1:$C$501, 2,0)</f>
        <v>1</v>
      </c>
      <c r="H282" s="108">
        <f>VLOOKUP($A282, Stat!$A$1:$C$501, 3,0)</f>
        <v>0</v>
      </c>
      <c r="I282" s="108"/>
      <c r="N282" s="48">
        <v>1</v>
      </c>
      <c r="P282" s="52">
        <v>60</v>
      </c>
      <c r="Q282" s="52">
        <v>0</v>
      </c>
      <c r="T282" s="52">
        <v>1</v>
      </c>
    </row>
    <row r="283" spans="1:20" x14ac:dyDescent="0.25">
      <c r="A283" s="52">
        <v>282</v>
      </c>
      <c r="B283" s="52" t="s">
        <v>41</v>
      </c>
      <c r="C283" s="52" t="s">
        <v>248</v>
      </c>
      <c r="D283" s="52" t="s">
        <v>329</v>
      </c>
      <c r="E283" s="52" t="s">
        <v>330</v>
      </c>
      <c r="G283" s="106">
        <f>VLOOKUP($A283, Stat!$A$1:$C$501, 2,0)</f>
        <v>48</v>
      </c>
      <c r="H283" s="106">
        <f>VLOOKUP($A283, Stat!$A$1:$C$501, 3,0)</f>
        <v>1</v>
      </c>
      <c r="N283" s="48">
        <v>1</v>
      </c>
      <c r="P283" s="52">
        <v>0</v>
      </c>
      <c r="Q283" s="52">
        <v>1</v>
      </c>
      <c r="R283" s="52" t="s">
        <v>368</v>
      </c>
      <c r="S283" s="52" t="s">
        <v>353</v>
      </c>
      <c r="T283" s="52">
        <v>1</v>
      </c>
    </row>
    <row r="284" spans="1:20" x14ac:dyDescent="0.25">
      <c r="A284" s="52">
        <v>283</v>
      </c>
      <c r="B284" s="52" t="s">
        <v>41</v>
      </c>
      <c r="C284" s="52" t="s">
        <v>248</v>
      </c>
      <c r="D284" s="52" t="s">
        <v>321</v>
      </c>
      <c r="E284" s="52" t="s">
        <v>130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326</v>
      </c>
      <c r="T284" s="52">
        <v>1</v>
      </c>
    </row>
    <row r="285" spans="1:20" x14ac:dyDescent="0.25">
      <c r="A285" s="52">
        <v>284</v>
      </c>
      <c r="B285" s="52" t="s">
        <v>41</v>
      </c>
      <c r="C285" s="52" t="s">
        <v>248</v>
      </c>
      <c r="D285" s="52" t="s">
        <v>321</v>
      </c>
      <c r="E285" s="52" t="s">
        <v>323</v>
      </c>
      <c r="G285" s="107">
        <f>VLOOKUP($A285, Stat!$A$1:$C$501, 2,0)</f>
        <v>0</v>
      </c>
      <c r="H285" s="106">
        <f>VLOOKUP($A285, Stat!$A$1:$C$501, 3,0)</f>
        <v>0</v>
      </c>
      <c r="P285" s="52">
        <v>60</v>
      </c>
      <c r="Q285" s="52">
        <v>1</v>
      </c>
      <c r="S285" s="52" t="s">
        <v>327</v>
      </c>
      <c r="T285" s="52">
        <v>1</v>
      </c>
    </row>
    <row r="286" spans="1:20" x14ac:dyDescent="0.25">
      <c r="A286" s="52">
        <v>285</v>
      </c>
      <c r="B286" s="52" t="s">
        <v>41</v>
      </c>
      <c r="C286" s="52" t="s">
        <v>248</v>
      </c>
      <c r="D286" s="52" t="s">
        <v>321</v>
      </c>
      <c r="E286" s="52" t="s">
        <v>322</v>
      </c>
      <c r="G286" s="107">
        <f>VLOOKUP($A286, Stat!$A$1:$C$501, 2,0)</f>
        <v>0</v>
      </c>
      <c r="H286" s="106">
        <f>VLOOKUP($A286, Stat!$A$1:$C$501, 3,0)</f>
        <v>0</v>
      </c>
      <c r="P286" s="52">
        <v>60</v>
      </c>
      <c r="Q286" s="52">
        <v>1</v>
      </c>
      <c r="S286" s="52" t="s">
        <v>328</v>
      </c>
      <c r="T286" s="52">
        <v>1</v>
      </c>
    </row>
    <row r="287" spans="1:20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334</v>
      </c>
      <c r="G287" s="106">
        <f>VLOOKUP($A287, Stat!$A$1:$C$501, 2,0)</f>
        <v>15</v>
      </c>
      <c r="H287" s="106">
        <f>VLOOKUP($A287, Stat!$A$1:$C$501, 3,0)</f>
        <v>14</v>
      </c>
      <c r="I287" s="48">
        <v>1</v>
      </c>
      <c r="P287" s="52">
        <v>60</v>
      </c>
      <c r="Q287" s="52">
        <v>0</v>
      </c>
      <c r="S287" s="52" t="s">
        <v>335</v>
      </c>
      <c r="T287" s="52">
        <v>1</v>
      </c>
    </row>
    <row r="288" spans="1:20" ht="13.2" customHeight="1" x14ac:dyDescent="0.25">
      <c r="A288" s="52">
        <v>287</v>
      </c>
      <c r="B288" s="52" t="s">
        <v>41</v>
      </c>
      <c r="C288" s="52" t="s">
        <v>248</v>
      </c>
      <c r="D288" s="52" t="s">
        <v>337</v>
      </c>
      <c r="E288" s="52" t="s">
        <v>318</v>
      </c>
      <c r="G288" s="106">
        <f>VLOOKUP($A288, Stat!$A$1:$C$501, 2,0)</f>
        <v>60</v>
      </c>
      <c r="H288" s="106">
        <f>VLOOKUP($A288, Stat!$A$1:$C$501, 3,0)</f>
        <v>21</v>
      </c>
      <c r="M288" s="48">
        <v>225</v>
      </c>
      <c r="P288" s="52">
        <v>0</v>
      </c>
      <c r="Q288" s="52">
        <v>0</v>
      </c>
      <c r="S288" s="52" t="s">
        <v>357</v>
      </c>
      <c r="T288" s="52">
        <v>1</v>
      </c>
    </row>
    <row r="289" spans="1:20" x14ac:dyDescent="0.25">
      <c r="A289" s="52">
        <v>288</v>
      </c>
      <c r="B289" s="52" t="s">
        <v>41</v>
      </c>
      <c r="C289" s="52" t="s">
        <v>248</v>
      </c>
      <c r="D289" s="52" t="s">
        <v>337</v>
      </c>
      <c r="E289" s="52" t="s">
        <v>345</v>
      </c>
      <c r="G289" s="106">
        <f>VLOOKUP($A289, Stat!$A$1:$C$501, 2,0)</f>
        <v>3</v>
      </c>
      <c r="H289" s="106">
        <f>VLOOKUP($A289, Stat!$A$1:$C$501, 3,0)</f>
        <v>3</v>
      </c>
      <c r="I289" s="48">
        <v>1</v>
      </c>
      <c r="P289" s="52">
        <v>40</v>
      </c>
      <c r="Q289" s="52">
        <v>0</v>
      </c>
      <c r="S289" s="52" t="s">
        <v>358</v>
      </c>
      <c r="T289" s="52">
        <v>1</v>
      </c>
    </row>
    <row r="290" spans="1:20" x14ac:dyDescent="0.25">
      <c r="A290" s="52">
        <v>289</v>
      </c>
      <c r="B290" s="52" t="s">
        <v>41</v>
      </c>
      <c r="C290" s="52" t="s">
        <v>248</v>
      </c>
      <c r="D290" s="52" t="s">
        <v>337</v>
      </c>
      <c r="E290" s="52" t="s">
        <v>180</v>
      </c>
      <c r="G290" s="106">
        <f>VLOOKUP($A290, Stat!$A$1:$C$501, 2,0)</f>
        <v>15</v>
      </c>
      <c r="H290" s="106">
        <f>VLOOKUP($A290, Stat!$A$1:$C$501, 3,0)</f>
        <v>5</v>
      </c>
      <c r="I290" s="108"/>
      <c r="P290" s="52">
        <v>40</v>
      </c>
      <c r="Q290" s="52">
        <v>1</v>
      </c>
      <c r="S290" s="52" t="s">
        <v>340</v>
      </c>
      <c r="T290" s="52">
        <v>1</v>
      </c>
    </row>
    <row r="291" spans="1:20" ht="13.2" customHeight="1" x14ac:dyDescent="0.25">
      <c r="A291" s="52">
        <v>290</v>
      </c>
      <c r="B291" s="52" t="s">
        <v>41</v>
      </c>
      <c r="C291" s="52" t="s">
        <v>248</v>
      </c>
      <c r="D291" s="52" t="s">
        <v>337</v>
      </c>
      <c r="E291" s="52" t="s">
        <v>77</v>
      </c>
      <c r="G291" s="106">
        <f>VLOOKUP($A291, Stat!$A$1:$C$501, 2,0)</f>
        <v>35</v>
      </c>
      <c r="H291" s="106">
        <f>VLOOKUP($A291, Stat!$A$1:$C$501, 3,0)</f>
        <v>17</v>
      </c>
      <c r="P291" s="52">
        <v>60</v>
      </c>
      <c r="Q291" s="52">
        <v>0</v>
      </c>
      <c r="S291" s="52" t="s">
        <v>341</v>
      </c>
      <c r="T291" s="52">
        <v>1</v>
      </c>
    </row>
    <row r="292" spans="1:20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336</v>
      </c>
      <c r="G292" s="106">
        <f>VLOOKUP($A292, Stat!$A$1:$C$501, 2,0)</f>
        <v>4</v>
      </c>
      <c r="H292" s="106">
        <f>VLOOKUP($A292, Stat!$A$1:$C$501, 3,0)</f>
        <v>2</v>
      </c>
      <c r="I292" s="48">
        <v>1</v>
      </c>
      <c r="P292" s="52">
        <v>100</v>
      </c>
      <c r="Q292" s="52">
        <v>0</v>
      </c>
      <c r="S292" s="52" t="s">
        <v>342</v>
      </c>
      <c r="T292" s="52">
        <v>1</v>
      </c>
    </row>
    <row r="293" spans="1:20" x14ac:dyDescent="0.25">
      <c r="A293" s="52">
        <v>292</v>
      </c>
      <c r="B293" s="52" t="s">
        <v>41</v>
      </c>
      <c r="C293" s="52" t="s">
        <v>64</v>
      </c>
      <c r="D293" s="52" t="s">
        <v>331</v>
      </c>
      <c r="E293" s="52" t="s">
        <v>348</v>
      </c>
      <c r="G293" s="106">
        <f>VLOOKUP($A293, Stat!$A$1:$C$501, 2,0)</f>
        <v>1</v>
      </c>
      <c r="H293" s="106">
        <f>VLOOKUP($A293, Stat!$A$1:$C$501, 3,0)</f>
        <v>1</v>
      </c>
      <c r="I293" s="48">
        <v>1</v>
      </c>
      <c r="P293" s="52">
        <v>60</v>
      </c>
      <c r="Q293" s="52">
        <v>0</v>
      </c>
      <c r="S293" s="52" t="s">
        <v>343</v>
      </c>
      <c r="T293" s="52">
        <v>1</v>
      </c>
    </row>
    <row r="294" spans="1:20" x14ac:dyDescent="0.25">
      <c r="A294" s="52">
        <v>293</v>
      </c>
      <c r="B294" s="52" t="s">
        <v>41</v>
      </c>
      <c r="C294" s="52" t="s">
        <v>248</v>
      </c>
      <c r="D294" s="52" t="s">
        <v>337</v>
      </c>
      <c r="E294" s="52" t="s">
        <v>344</v>
      </c>
      <c r="G294" s="106">
        <f>VLOOKUP($A294, Stat!$A$1:$C$501, 2,0)</f>
        <v>14</v>
      </c>
      <c r="H294" s="106">
        <f>VLOOKUP($A294, Stat!$A$1:$C$501, 3,0)</f>
        <v>11</v>
      </c>
      <c r="I294" s="48">
        <v>1</v>
      </c>
      <c r="P294" s="52">
        <v>40</v>
      </c>
      <c r="Q294" s="52">
        <v>1</v>
      </c>
      <c r="S294" s="52" t="s">
        <v>359</v>
      </c>
      <c r="T294" s="52">
        <v>1</v>
      </c>
    </row>
    <row r="295" spans="1:20" ht="13.2" customHeight="1" x14ac:dyDescent="0.25">
      <c r="A295" s="52">
        <v>294</v>
      </c>
      <c r="B295" s="52" t="s">
        <v>41</v>
      </c>
      <c r="C295" s="52" t="s">
        <v>248</v>
      </c>
      <c r="D295" s="52" t="s">
        <v>337</v>
      </c>
      <c r="E295" s="52" t="s">
        <v>346</v>
      </c>
      <c r="G295" s="106">
        <f>VLOOKUP($A295, Stat!$A$1:$C$501, 2,0)</f>
        <v>3</v>
      </c>
      <c r="H295" s="106">
        <f>VLOOKUP($A295, Stat!$A$1:$C$501, 3,0)</f>
        <v>3</v>
      </c>
      <c r="I295" s="48">
        <v>1</v>
      </c>
      <c r="P295" s="52">
        <v>40</v>
      </c>
      <c r="Q295" s="52">
        <v>0</v>
      </c>
      <c r="S295" s="52" t="s">
        <v>360</v>
      </c>
      <c r="T295" s="52">
        <v>1</v>
      </c>
    </row>
    <row r="296" spans="1:20" ht="13.2" customHeight="1" x14ac:dyDescent="0.25">
      <c r="A296" s="52">
        <v>295</v>
      </c>
      <c r="B296" s="52" t="s">
        <v>41</v>
      </c>
      <c r="C296" s="52" t="s">
        <v>64</v>
      </c>
      <c r="D296" s="52" t="s">
        <v>331</v>
      </c>
      <c r="E296" s="52" t="s">
        <v>347</v>
      </c>
      <c r="G296" s="106">
        <f>VLOOKUP($A296, Stat!$A$1:$C$501, 2,0)</f>
        <v>2</v>
      </c>
      <c r="H296" s="106">
        <f>VLOOKUP($A296, Stat!$A$1:$C$501, 3,0)</f>
        <v>2</v>
      </c>
      <c r="I296" s="48">
        <v>1</v>
      </c>
      <c r="P296" s="52">
        <v>100</v>
      </c>
      <c r="Q296" s="52">
        <v>0</v>
      </c>
      <c r="S296" s="52" t="s">
        <v>351</v>
      </c>
      <c r="T296" s="52">
        <v>1</v>
      </c>
    </row>
    <row r="297" spans="1:20" ht="13.2" customHeight="1" x14ac:dyDescent="0.25">
      <c r="A297" s="52">
        <v>296</v>
      </c>
      <c r="B297" s="52" t="s">
        <v>41</v>
      </c>
      <c r="C297" s="52" t="s">
        <v>64</v>
      </c>
      <c r="D297" s="52" t="s">
        <v>331</v>
      </c>
      <c r="E297" s="52" t="s">
        <v>523</v>
      </c>
      <c r="G297" s="106">
        <f>VLOOKUP($A297, Stat!$A$1:$C$501, 2,0)</f>
        <v>13</v>
      </c>
      <c r="H297" s="106">
        <f>VLOOKUP($A297, Stat!$A$1:$C$501, 3,0)</f>
        <v>7</v>
      </c>
      <c r="I297" s="48">
        <v>1</v>
      </c>
      <c r="P297" s="52">
        <v>0</v>
      </c>
      <c r="Q297" s="52">
        <v>1</v>
      </c>
      <c r="S297" s="52" t="s">
        <v>521</v>
      </c>
      <c r="T297" s="52">
        <v>1</v>
      </c>
    </row>
    <row r="298" spans="1:20" ht="13.2" customHeight="1" x14ac:dyDescent="0.25">
      <c r="A298" s="52">
        <v>297</v>
      </c>
      <c r="B298" s="52" t="s">
        <v>41</v>
      </c>
      <c r="C298" s="52" t="s">
        <v>248</v>
      </c>
      <c r="D298" s="52" t="s">
        <v>329</v>
      </c>
      <c r="E298" s="52" t="s">
        <v>352</v>
      </c>
      <c r="G298" s="106">
        <f>VLOOKUP($A298, Stat!$A$1:$C$501, 2,0)</f>
        <v>6</v>
      </c>
      <c r="H298" s="106">
        <f>VLOOKUP($A298, Stat!$A$1:$C$501, 3,0)</f>
        <v>0</v>
      </c>
      <c r="I298" s="108"/>
      <c r="N298" s="48">
        <v>1</v>
      </c>
      <c r="P298" s="52">
        <v>40</v>
      </c>
      <c r="Q298" s="52">
        <v>0</v>
      </c>
      <c r="R298" s="52" t="s">
        <v>368</v>
      </c>
      <c r="S298" s="52" t="s">
        <v>354</v>
      </c>
      <c r="T298" s="52">
        <v>1</v>
      </c>
    </row>
    <row r="299" spans="1:20" ht="13.2" customHeight="1" x14ac:dyDescent="0.25">
      <c r="A299" s="52">
        <v>298</v>
      </c>
      <c r="B299" s="52" t="s">
        <v>41</v>
      </c>
      <c r="C299" s="52" t="s">
        <v>248</v>
      </c>
      <c r="D299" s="52" t="s">
        <v>329</v>
      </c>
      <c r="E299" s="52" t="s">
        <v>69</v>
      </c>
      <c r="G299" s="106">
        <f>VLOOKUP($A299, Stat!$A$1:$C$501, 2,0)</f>
        <v>16</v>
      </c>
      <c r="H299" s="106">
        <f>VLOOKUP($A299, Stat!$A$1:$C$501, 3,0)</f>
        <v>1</v>
      </c>
      <c r="I299" s="108"/>
      <c r="N299" s="48">
        <v>1</v>
      </c>
      <c r="P299" s="52">
        <v>40</v>
      </c>
      <c r="Q299" s="52">
        <v>0</v>
      </c>
      <c r="R299" s="52" t="s">
        <v>368</v>
      </c>
      <c r="S299" s="52" t="s">
        <v>355</v>
      </c>
      <c r="T299" s="52">
        <v>1</v>
      </c>
    </row>
    <row r="300" spans="1:20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372</v>
      </c>
      <c r="G300" s="106">
        <f>VLOOKUP($A300, Stat!$A$1:$C$501, 2,0)</f>
        <v>8</v>
      </c>
      <c r="H300" s="106">
        <f>VLOOKUP($A300, Stat!$A$1:$C$501, 3,0)</f>
        <v>6</v>
      </c>
      <c r="I300" s="48">
        <v>1</v>
      </c>
      <c r="P300" s="52">
        <v>0</v>
      </c>
      <c r="Q300" s="52">
        <v>0</v>
      </c>
      <c r="S300" s="52" t="s">
        <v>406</v>
      </c>
      <c r="T300" s="52">
        <v>1</v>
      </c>
    </row>
    <row r="301" spans="1:20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375</v>
      </c>
      <c r="G301" s="106">
        <f>VLOOKUP($A301, Stat!$A$1:$C$501, 2,0)</f>
        <v>8</v>
      </c>
      <c r="H301" s="106">
        <f>VLOOKUP($A301, Stat!$A$1:$C$501, 3,0)</f>
        <v>0</v>
      </c>
      <c r="I301" s="109"/>
      <c r="P301" s="52">
        <v>0</v>
      </c>
      <c r="Q301" s="52">
        <v>0</v>
      </c>
      <c r="S301" s="52" t="s">
        <v>232</v>
      </c>
      <c r="T301" s="52">
        <v>1</v>
      </c>
    </row>
    <row r="302" spans="1:20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376</v>
      </c>
      <c r="G302" s="106">
        <f>VLOOKUP($A302, Stat!$A$1:$C$501, 2,0)</f>
        <v>22</v>
      </c>
      <c r="H302" s="106">
        <f>VLOOKUP($A302, Stat!$A$1:$C$501, 3,0)</f>
        <v>3</v>
      </c>
      <c r="I302" s="48">
        <v>1</v>
      </c>
      <c r="P302" s="52">
        <v>0</v>
      </c>
      <c r="Q302" s="52">
        <v>1</v>
      </c>
      <c r="S302" s="52" t="s">
        <v>377</v>
      </c>
      <c r="T302" s="52">
        <v>1</v>
      </c>
    </row>
    <row r="303" spans="1:20" ht="13.2" customHeight="1" x14ac:dyDescent="0.25">
      <c r="A303" s="52">
        <v>302</v>
      </c>
      <c r="B303" s="52" t="s">
        <v>39</v>
      </c>
      <c r="C303" s="52" t="s">
        <v>14</v>
      </c>
      <c r="D303" s="52" t="s">
        <v>405</v>
      </c>
      <c r="E303" s="52" t="s">
        <v>384</v>
      </c>
      <c r="G303" s="106">
        <f>VLOOKUP($A303, Stat!$A$1:$C$501, 2,0)</f>
        <v>14</v>
      </c>
      <c r="H303" s="106">
        <f>VLOOKUP($A303, Stat!$A$1:$C$501, 3,0)</f>
        <v>0</v>
      </c>
      <c r="I303" s="109"/>
      <c r="P303" s="52">
        <v>60</v>
      </c>
      <c r="Q303" s="52">
        <v>0</v>
      </c>
      <c r="S303" s="52" t="s">
        <v>363</v>
      </c>
      <c r="T303" s="52">
        <v>1</v>
      </c>
    </row>
    <row r="304" spans="1:20" ht="13.2" customHeight="1" x14ac:dyDescent="0.25">
      <c r="A304" s="52">
        <v>303</v>
      </c>
      <c r="B304" s="52" t="s">
        <v>39</v>
      </c>
      <c r="C304" s="52" t="s">
        <v>14</v>
      </c>
      <c r="D304" s="52" t="s">
        <v>405</v>
      </c>
      <c r="E304" s="52" t="s">
        <v>387</v>
      </c>
      <c r="G304" s="106">
        <f>VLOOKUP($A304, Stat!$A$1:$C$501, 2,0)</f>
        <v>6</v>
      </c>
      <c r="H304" s="106">
        <f>VLOOKUP($A304, Stat!$A$1:$C$501, 3,0)</f>
        <v>0</v>
      </c>
      <c r="I304" s="109"/>
      <c r="P304" s="52">
        <v>60</v>
      </c>
      <c r="Q304" s="52">
        <v>0</v>
      </c>
      <c r="S304" s="52" t="s">
        <v>364</v>
      </c>
      <c r="T304" s="52">
        <v>1</v>
      </c>
    </row>
    <row r="305" spans="1:20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590</v>
      </c>
      <c r="G305" s="106">
        <f>VLOOKUP($A305, Stat!$A$1:$C$501, 2,0)</f>
        <v>4</v>
      </c>
      <c r="H305" s="106">
        <f>VLOOKUP($A305, Stat!$A$1:$C$501, 3,0)</f>
        <v>1</v>
      </c>
      <c r="I305" s="109"/>
      <c r="P305" s="52">
        <v>70</v>
      </c>
      <c r="Q305" s="52">
        <v>0</v>
      </c>
      <c r="T305" s="52">
        <v>1</v>
      </c>
    </row>
    <row r="306" spans="1:20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389</v>
      </c>
      <c r="G306" s="106">
        <f>VLOOKUP($A306, Stat!$A$1:$C$501, 2,0)</f>
        <v>49</v>
      </c>
      <c r="H306" s="106">
        <f>VLOOKUP($A306, Stat!$A$1:$C$501, 3,0)</f>
        <v>13</v>
      </c>
      <c r="I306" s="48">
        <v>1</v>
      </c>
      <c r="P306" s="52">
        <v>0</v>
      </c>
      <c r="Q306" s="52">
        <v>0</v>
      </c>
      <c r="S306" s="52" t="s">
        <v>391</v>
      </c>
      <c r="T306" s="52">
        <v>1</v>
      </c>
    </row>
    <row r="307" spans="1:20" ht="13.2" customHeight="1" x14ac:dyDescent="0.25">
      <c r="A307" s="52">
        <v>306</v>
      </c>
      <c r="B307" s="52" t="s">
        <v>41</v>
      </c>
      <c r="C307" s="52" t="s">
        <v>18</v>
      </c>
      <c r="D307" s="52" t="s">
        <v>398</v>
      </c>
      <c r="E307" s="52" t="s">
        <v>543</v>
      </c>
      <c r="F307" s="48">
        <v>1</v>
      </c>
      <c r="G307" s="106">
        <f>VLOOKUP($A307, Stat!$A$1:$C$501, 2,0)</f>
        <v>86</v>
      </c>
      <c r="H307" s="106">
        <f>VLOOKUP($A307, Stat!$A$1:$C$501, 3,0)</f>
        <v>11</v>
      </c>
      <c r="P307" s="52">
        <v>0</v>
      </c>
      <c r="Q307" s="52">
        <v>1</v>
      </c>
      <c r="S307" s="52" t="s">
        <v>401</v>
      </c>
      <c r="T307" s="52">
        <v>1</v>
      </c>
    </row>
    <row r="308" spans="1:20" ht="13.2" customHeight="1" x14ac:dyDescent="0.25">
      <c r="A308" s="52">
        <v>307</v>
      </c>
      <c r="B308" s="52" t="s">
        <v>41</v>
      </c>
      <c r="C308" s="52" t="s">
        <v>18</v>
      </c>
      <c r="D308" s="52" t="s">
        <v>398</v>
      </c>
      <c r="E308" s="52" t="s">
        <v>77</v>
      </c>
      <c r="F308" s="48">
        <v>1</v>
      </c>
      <c r="G308" s="106">
        <f>VLOOKUP($A308, Stat!$A$1:$C$501, 2,0)</f>
        <v>134</v>
      </c>
      <c r="H308" s="106">
        <f>VLOOKUP($A308, Stat!$A$1:$C$501, 3,0)</f>
        <v>9</v>
      </c>
      <c r="I308" s="109"/>
      <c r="P308" s="52">
        <v>30</v>
      </c>
      <c r="Q308" s="52">
        <v>0</v>
      </c>
      <c r="S308" s="52" t="s">
        <v>402</v>
      </c>
      <c r="T308" s="52">
        <v>1</v>
      </c>
    </row>
    <row r="309" spans="1:20" ht="13.2" customHeight="1" x14ac:dyDescent="0.25">
      <c r="A309" s="52">
        <v>308</v>
      </c>
      <c r="B309" s="52" t="s">
        <v>41</v>
      </c>
      <c r="C309" s="52" t="s">
        <v>18</v>
      </c>
      <c r="D309" s="52" t="s">
        <v>400</v>
      </c>
      <c r="E309" s="52" t="s">
        <v>463</v>
      </c>
      <c r="F309" s="48">
        <v>1</v>
      </c>
      <c r="G309" s="106">
        <f>VLOOKUP($A309, Stat!$A$1:$C$501, 2,0)</f>
        <v>3</v>
      </c>
      <c r="H309" s="108">
        <f>VLOOKUP($A309, Stat!$A$1:$C$501, 3,0)</f>
        <v>2</v>
      </c>
      <c r="I309" s="48">
        <v>1</v>
      </c>
      <c r="P309" s="52">
        <v>30</v>
      </c>
      <c r="Q309" s="52">
        <v>0</v>
      </c>
      <c r="S309" s="52" t="s">
        <v>465</v>
      </c>
      <c r="T309" s="52">
        <v>1</v>
      </c>
    </row>
    <row r="310" spans="1:20" ht="13.2" customHeight="1" x14ac:dyDescent="0.25">
      <c r="A310" s="52">
        <v>309</v>
      </c>
      <c r="B310" s="52" t="s">
        <v>41</v>
      </c>
      <c r="C310" s="52" t="s">
        <v>18</v>
      </c>
      <c r="D310" s="52" t="s">
        <v>400</v>
      </c>
      <c r="E310" s="52" t="s">
        <v>464</v>
      </c>
      <c r="F310" s="48">
        <v>1</v>
      </c>
      <c r="G310" s="106">
        <f>VLOOKUP($A310, Stat!$A$1:$C$501, 2,0)</f>
        <v>2</v>
      </c>
      <c r="H310" s="106">
        <f>VLOOKUP($A310, Stat!$A$1:$C$501, 3,0)</f>
        <v>1</v>
      </c>
      <c r="I310" s="48">
        <v>1</v>
      </c>
      <c r="P310" s="52">
        <v>30</v>
      </c>
      <c r="Q310" s="52">
        <v>0</v>
      </c>
      <c r="S310" s="52" t="s">
        <v>466</v>
      </c>
      <c r="T310" s="52">
        <v>1</v>
      </c>
    </row>
    <row r="311" spans="1:20" ht="13.2" customHeight="1" x14ac:dyDescent="0.25">
      <c r="A311" s="52">
        <v>310</v>
      </c>
      <c r="B311" s="52" t="s">
        <v>41</v>
      </c>
      <c r="C311" s="52" t="s">
        <v>18</v>
      </c>
      <c r="D311" s="52" t="s">
        <v>403</v>
      </c>
      <c r="E311" s="52" t="s">
        <v>442</v>
      </c>
      <c r="F311" s="48">
        <v>1</v>
      </c>
      <c r="G311" s="106">
        <f>VLOOKUP($A311, Stat!$A$1:$C$501, 2,0)</f>
        <v>15</v>
      </c>
      <c r="H311" s="106">
        <f>VLOOKUP($A311, Stat!$A$1:$C$501, 3,0)</f>
        <v>0</v>
      </c>
      <c r="I311" s="109"/>
      <c r="P311" s="52">
        <v>20</v>
      </c>
      <c r="Q311" s="52">
        <v>0</v>
      </c>
      <c r="S311" s="52" t="s">
        <v>404</v>
      </c>
      <c r="T311" s="52">
        <v>1</v>
      </c>
    </row>
    <row r="312" spans="1:20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392</v>
      </c>
      <c r="G312" s="106">
        <f>VLOOKUP($A312, Stat!$A$1:$C$501, 2,0)</f>
        <v>6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411</v>
      </c>
      <c r="T312" s="52">
        <v>1</v>
      </c>
    </row>
    <row r="313" spans="1:20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366</v>
      </c>
      <c r="G313" s="106">
        <f>VLOOKUP($A313, Stat!$A$1:$C$501, 2,0)</f>
        <v>16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412</v>
      </c>
      <c r="T313" s="52">
        <v>1</v>
      </c>
    </row>
    <row r="314" spans="1:20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365</v>
      </c>
      <c r="G314" s="106">
        <f>VLOOKUP($A314, Stat!$A$1:$C$501, 2,0)</f>
        <v>3</v>
      </c>
      <c r="H314" s="106">
        <f>VLOOKUP($A314, Stat!$A$1:$C$501, 3,0)</f>
        <v>0</v>
      </c>
      <c r="I314" s="109"/>
      <c r="L314" s="48">
        <v>1</v>
      </c>
      <c r="P314" s="52">
        <v>0</v>
      </c>
      <c r="Q314" s="52">
        <v>0</v>
      </c>
      <c r="S314" s="52" t="s">
        <v>411</v>
      </c>
      <c r="T314" s="52">
        <v>1</v>
      </c>
    </row>
    <row r="315" spans="1:20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367</v>
      </c>
      <c r="G315" s="106">
        <f>VLOOKUP($A315, Stat!$A$1:$C$501, 2,0)</f>
        <v>13</v>
      </c>
      <c r="H315" s="106">
        <f>VLOOKUP($A315, Stat!$A$1:$C$501, 3,0)</f>
        <v>0</v>
      </c>
      <c r="I315" s="109"/>
      <c r="L315" s="48">
        <v>1</v>
      </c>
      <c r="P315" s="52">
        <v>0</v>
      </c>
      <c r="Q315" s="52">
        <v>0</v>
      </c>
      <c r="S315" s="52" t="s">
        <v>412</v>
      </c>
      <c r="T315" s="52">
        <v>1</v>
      </c>
    </row>
    <row r="316" spans="1:20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419</v>
      </c>
      <c r="G316" s="106">
        <f>VLOOKUP($A316, Stat!$A$1:$C$501, 2,0)</f>
        <v>14</v>
      </c>
      <c r="H316" s="106">
        <f>VLOOKUP($A316, Stat!$A$1:$C$501, 3,0)</f>
        <v>12</v>
      </c>
      <c r="I316" s="48">
        <v>1</v>
      </c>
      <c r="P316" s="52">
        <v>60</v>
      </c>
      <c r="Q316" s="52">
        <v>0</v>
      </c>
      <c r="R316" s="52" t="s">
        <v>450</v>
      </c>
      <c r="S316" s="52" t="s">
        <v>420</v>
      </c>
      <c r="T316" s="52">
        <v>1</v>
      </c>
    </row>
    <row r="317" spans="1:20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106">
        <f>VLOOKUP($A317, Stat!$A$1:$C$501, 2,0)</f>
        <v>52</v>
      </c>
      <c r="H317" s="106">
        <f>VLOOKUP($A317, Stat!$A$1:$C$501, 3,0)</f>
        <v>16</v>
      </c>
      <c r="I317" s="48">
        <v>1</v>
      </c>
      <c r="P317" s="52">
        <v>60</v>
      </c>
      <c r="Q317" s="52">
        <v>0</v>
      </c>
      <c r="R317" s="52" t="s">
        <v>450</v>
      </c>
      <c r="S317" s="52" t="s">
        <v>421</v>
      </c>
      <c r="T317" s="52">
        <v>1</v>
      </c>
    </row>
    <row r="318" spans="1:20" ht="13.2" customHeight="1" x14ac:dyDescent="0.25">
      <c r="A318" s="52">
        <v>317</v>
      </c>
      <c r="B318" s="52" t="s">
        <v>41</v>
      </c>
      <c r="C318" s="52" t="s">
        <v>64</v>
      </c>
      <c r="D318" s="52" t="s">
        <v>424</v>
      </c>
      <c r="E318" s="52" t="s">
        <v>423</v>
      </c>
      <c r="G318" s="106">
        <f>VLOOKUP($A318, Stat!$A$1:$C$501, 2,0)</f>
        <v>19</v>
      </c>
      <c r="H318" s="106">
        <f>VLOOKUP($A318, Stat!$A$1:$C$501, 3,0)</f>
        <v>4</v>
      </c>
      <c r="I318" s="48">
        <v>1</v>
      </c>
      <c r="P318" s="52">
        <v>30</v>
      </c>
      <c r="Q318" s="52">
        <v>0</v>
      </c>
      <c r="S318" s="52" t="s">
        <v>448</v>
      </c>
      <c r="T318" s="52">
        <v>1</v>
      </c>
    </row>
    <row r="319" spans="1:20" x14ac:dyDescent="0.25">
      <c r="A319" s="52">
        <v>318</v>
      </c>
      <c r="B319" s="52" t="s">
        <v>41</v>
      </c>
      <c r="C319" s="52" t="s">
        <v>64</v>
      </c>
      <c r="D319" s="52" t="s">
        <v>424</v>
      </c>
      <c r="E319" s="52" t="s">
        <v>518</v>
      </c>
      <c r="F319" s="48">
        <v>1</v>
      </c>
      <c r="G319" s="106">
        <f>VLOOKUP($A319, Stat!$A$1:$C$501, 2,0)</f>
        <v>24</v>
      </c>
      <c r="H319" s="106">
        <f>VLOOKUP($A319, Stat!$A$1:$C$501, 3,0)</f>
        <v>11</v>
      </c>
      <c r="I319" s="48">
        <v>1</v>
      </c>
      <c r="P319" s="52">
        <v>30</v>
      </c>
      <c r="Q319" s="52">
        <v>0</v>
      </c>
      <c r="S319" s="52" t="s">
        <v>449</v>
      </c>
      <c r="T319" s="52">
        <v>1</v>
      </c>
    </row>
    <row r="320" spans="1:20" ht="13.2" customHeight="1" x14ac:dyDescent="0.25">
      <c r="A320" s="52">
        <v>319</v>
      </c>
      <c r="B320" s="52" t="s">
        <v>39</v>
      </c>
      <c r="C320" s="52" t="s">
        <v>15</v>
      </c>
      <c r="D320" s="52" t="s">
        <v>425</v>
      </c>
      <c r="E320" s="52" t="s">
        <v>427</v>
      </c>
      <c r="G320" s="106">
        <f>VLOOKUP($A320, Stat!$A$1:$C$501, 2,0)</f>
        <v>32</v>
      </c>
      <c r="H320" s="106">
        <f>VLOOKUP($A320, Stat!$A$1:$C$501, 3,0)</f>
        <v>13</v>
      </c>
      <c r="I320" s="48">
        <v>1</v>
      </c>
      <c r="P320" s="52">
        <v>0</v>
      </c>
      <c r="Q320" s="52">
        <v>1</v>
      </c>
      <c r="T320" s="52">
        <v>1</v>
      </c>
    </row>
    <row r="321" spans="1:20" ht="13.2" customHeight="1" x14ac:dyDescent="0.25">
      <c r="A321" s="52">
        <v>320</v>
      </c>
      <c r="B321" s="52" t="s">
        <v>39</v>
      </c>
      <c r="C321" s="52" t="s">
        <v>15</v>
      </c>
      <c r="D321" s="52" t="s">
        <v>425</v>
      </c>
      <c r="E321" s="52" t="s">
        <v>426</v>
      </c>
      <c r="G321" s="106">
        <f>VLOOKUP($A321, Stat!$A$1:$C$501, 2,0)</f>
        <v>10</v>
      </c>
      <c r="H321" s="106">
        <f>VLOOKUP($A321, Stat!$A$1:$C$501, 3,0)</f>
        <v>4</v>
      </c>
      <c r="I321" s="48">
        <v>1</v>
      </c>
      <c r="P321" s="52">
        <v>0</v>
      </c>
      <c r="Q321" s="52">
        <v>0</v>
      </c>
      <c r="S321" s="52" t="s">
        <v>429</v>
      </c>
      <c r="T321" s="52">
        <v>1</v>
      </c>
    </row>
    <row r="322" spans="1:20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431</v>
      </c>
      <c r="F322" s="48">
        <v>1</v>
      </c>
      <c r="G322" s="106">
        <f>VLOOKUP($A322, Stat!$A$1:$C$501, 2,0)</f>
        <v>5</v>
      </c>
      <c r="H322" s="106">
        <f>VLOOKUP($A322, Stat!$A$1:$C$501, 3,0)</f>
        <v>1</v>
      </c>
      <c r="I322" s="48">
        <v>1</v>
      </c>
      <c r="P322" s="52">
        <v>70</v>
      </c>
      <c r="Q322" s="52">
        <v>0</v>
      </c>
      <c r="T322" s="52">
        <v>1</v>
      </c>
    </row>
    <row r="323" spans="1:20" x14ac:dyDescent="0.25">
      <c r="A323" s="52">
        <v>322</v>
      </c>
      <c r="B323" s="52" t="s">
        <v>41</v>
      </c>
      <c r="C323" s="52" t="s">
        <v>64</v>
      </c>
      <c r="D323" s="52" t="s">
        <v>424</v>
      </c>
      <c r="E323" s="52" t="s">
        <v>446</v>
      </c>
      <c r="G323" s="106">
        <f>VLOOKUP($A323, Stat!$A$1:$C$501, 2,0)</f>
        <v>11</v>
      </c>
      <c r="H323" s="106">
        <f>VLOOKUP($A323, Stat!$A$1:$C$501, 3,0)</f>
        <v>4</v>
      </c>
      <c r="I323" s="48">
        <v>1</v>
      </c>
      <c r="P323" s="52">
        <v>30</v>
      </c>
      <c r="Q323" s="52">
        <v>0</v>
      </c>
      <c r="S323" s="52" t="s">
        <v>432</v>
      </c>
      <c r="T323" s="52">
        <v>1</v>
      </c>
    </row>
    <row r="324" spans="1:20" x14ac:dyDescent="0.25">
      <c r="A324" s="52">
        <v>323</v>
      </c>
      <c r="B324" s="52" t="s">
        <v>41</v>
      </c>
      <c r="C324" s="52" t="s">
        <v>248</v>
      </c>
      <c r="D324" s="52" t="s">
        <v>249</v>
      </c>
      <c r="E324" s="52" t="s">
        <v>437</v>
      </c>
      <c r="G324" s="108">
        <f>VLOOKUP($A324, Stat!$A$1:$C$501, 2,0)</f>
        <v>0</v>
      </c>
      <c r="H324" s="108">
        <f>VLOOKUP($A324, Stat!$A$1:$C$501, 3,0)</f>
        <v>0</v>
      </c>
      <c r="I324" s="48">
        <v>1</v>
      </c>
      <c r="P324" s="52">
        <v>40</v>
      </c>
      <c r="Q324" s="52">
        <v>1</v>
      </c>
      <c r="S324" s="52" t="s">
        <v>439</v>
      </c>
      <c r="T324" s="52">
        <v>1</v>
      </c>
    </row>
    <row r="325" spans="1:20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451</v>
      </c>
      <c r="G325" s="106">
        <f>VLOOKUP($A325, Stat!$A$1:$C$501, 2,0)</f>
        <v>20</v>
      </c>
      <c r="H325" s="106">
        <f>VLOOKUP($A325, Stat!$A$1:$C$501, 3,0)</f>
        <v>9</v>
      </c>
      <c r="I325" s="48">
        <v>1</v>
      </c>
      <c r="P325" s="52">
        <v>60</v>
      </c>
      <c r="Q325" s="52">
        <v>0</v>
      </c>
      <c r="S325" s="52" t="s">
        <v>589</v>
      </c>
      <c r="T325" s="52">
        <v>1</v>
      </c>
    </row>
    <row r="326" spans="1:20" ht="13.2" customHeight="1" x14ac:dyDescent="0.25">
      <c r="A326" s="52">
        <v>325</v>
      </c>
      <c r="B326" s="52" t="s">
        <v>41</v>
      </c>
      <c r="C326" s="52" t="s">
        <v>64</v>
      </c>
      <c r="D326" s="52" t="s">
        <v>582</v>
      </c>
      <c r="E326" s="52" t="s">
        <v>453</v>
      </c>
      <c r="G326" s="106">
        <f>VLOOKUP($A326, Stat!$A$1:$C$501, 2,0)</f>
        <v>0</v>
      </c>
      <c r="H326" s="106">
        <f>VLOOKUP($A326, Stat!$A$1:$C$501, 3,0)</f>
        <v>0</v>
      </c>
      <c r="I326" s="48">
        <v>1</v>
      </c>
      <c r="P326" s="52">
        <v>0</v>
      </c>
      <c r="Q326" s="52">
        <v>0</v>
      </c>
      <c r="R326" s="52" t="s">
        <v>585</v>
      </c>
      <c r="S326" s="52" t="s">
        <v>583</v>
      </c>
      <c r="T326" s="52">
        <v>1</v>
      </c>
    </row>
    <row r="327" spans="1:20" ht="13.2" customHeight="1" x14ac:dyDescent="0.25">
      <c r="A327" s="52">
        <v>326</v>
      </c>
      <c r="B327" s="52" t="s">
        <v>41</v>
      </c>
      <c r="C327" s="52" t="s">
        <v>64</v>
      </c>
      <c r="D327" s="52" t="s">
        <v>582</v>
      </c>
      <c r="E327" s="52" t="s">
        <v>452</v>
      </c>
      <c r="G327" s="106">
        <f>VLOOKUP($A327, Stat!$A$1:$C$501, 2,0)</f>
        <v>2</v>
      </c>
      <c r="H327" s="106">
        <f>VLOOKUP($A327, Stat!$A$1:$C$501, 3,0)</f>
        <v>0</v>
      </c>
      <c r="I327" s="48">
        <v>1</v>
      </c>
      <c r="P327" s="52">
        <v>0</v>
      </c>
      <c r="Q327" s="52">
        <v>0</v>
      </c>
      <c r="R327" s="52" t="s">
        <v>585</v>
      </c>
      <c r="S327" s="52" t="s">
        <v>584</v>
      </c>
      <c r="T327" s="52">
        <v>1</v>
      </c>
    </row>
    <row r="328" spans="1:20" x14ac:dyDescent="0.25">
      <c r="A328" s="52">
        <v>327</v>
      </c>
      <c r="B328" s="52" t="s">
        <v>41</v>
      </c>
      <c r="C328" s="52" t="s">
        <v>248</v>
      </c>
      <c r="D328" s="52" t="s">
        <v>249</v>
      </c>
      <c r="E328" s="52" t="s">
        <v>454</v>
      </c>
      <c r="G328" s="106">
        <f>VLOOKUP($A328, Stat!$A$1:$C$501, 2,0)</f>
        <v>2</v>
      </c>
      <c r="H328" s="106">
        <f>VLOOKUP($A328, Stat!$A$1:$C$501, 3,0)</f>
        <v>0</v>
      </c>
      <c r="I328" s="108"/>
      <c r="N328" s="48">
        <v>1</v>
      </c>
      <c r="P328" s="52">
        <v>60</v>
      </c>
      <c r="Q328" s="52">
        <v>0</v>
      </c>
      <c r="T328" s="52">
        <v>1</v>
      </c>
    </row>
    <row r="329" spans="1:20" x14ac:dyDescent="0.25">
      <c r="A329" s="52">
        <v>328</v>
      </c>
      <c r="B329" s="52" t="s">
        <v>41</v>
      </c>
      <c r="C329" s="52" t="s">
        <v>248</v>
      </c>
      <c r="D329" s="52" t="s">
        <v>316</v>
      </c>
      <c r="E329" s="52" t="s">
        <v>454</v>
      </c>
      <c r="G329" s="106">
        <f>VLOOKUP($A329, Stat!$A$1:$C$501, 2,0)</f>
        <v>5</v>
      </c>
      <c r="H329" s="106">
        <f>VLOOKUP($A329, Stat!$A$1:$C$501, 3,0)</f>
        <v>0</v>
      </c>
      <c r="I329" s="108"/>
      <c r="N329" s="48">
        <v>1</v>
      </c>
      <c r="P329" s="52">
        <v>60</v>
      </c>
      <c r="Q329" s="52">
        <v>0</v>
      </c>
      <c r="T329" s="52">
        <v>1</v>
      </c>
    </row>
    <row r="330" spans="1:20" ht="13.2" customHeight="1" x14ac:dyDescent="0.25">
      <c r="A330" s="52">
        <v>329</v>
      </c>
      <c r="B330" s="52" t="s">
        <v>41</v>
      </c>
      <c r="C330" s="52" t="s">
        <v>18</v>
      </c>
      <c r="D330" s="52" t="s">
        <v>398</v>
      </c>
      <c r="E330" s="52" t="s">
        <v>462</v>
      </c>
      <c r="F330" s="48">
        <v>1</v>
      </c>
      <c r="G330" s="106">
        <f>VLOOKUP($A330, Stat!$A$1:$C$501, 2,0)</f>
        <v>34</v>
      </c>
      <c r="H330" s="106">
        <f>VLOOKUP($A330, Stat!$A$1:$C$501, 3,0)</f>
        <v>1</v>
      </c>
      <c r="P330" s="52">
        <v>30</v>
      </c>
      <c r="Q330" s="52">
        <v>1</v>
      </c>
      <c r="S330" s="52" t="s">
        <v>457</v>
      </c>
      <c r="T330" s="52">
        <v>1</v>
      </c>
    </row>
    <row r="331" spans="1:20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455</v>
      </c>
      <c r="F331" s="48">
        <v>3</v>
      </c>
      <c r="G331" s="106">
        <f>VLOOKUP($A331, Stat!$A$1:$C$501, 2,0)</f>
        <v>4</v>
      </c>
      <c r="H331" s="106">
        <f>VLOOKUP($A331, Stat!$A$1:$C$501, 3,0)</f>
        <v>3</v>
      </c>
      <c r="I331" s="48">
        <v>1</v>
      </c>
      <c r="M331" s="48">
        <v>249</v>
      </c>
      <c r="P331" s="52">
        <v>0</v>
      </c>
      <c r="Q331" s="52">
        <v>1</v>
      </c>
      <c r="S331" s="52" t="s">
        <v>456</v>
      </c>
      <c r="T331" s="52">
        <v>1</v>
      </c>
    </row>
    <row r="332" spans="1:20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458</v>
      </c>
      <c r="G332" s="108">
        <f>VLOOKUP($A332, Stat!$A$1:$C$501, 2,0)</f>
        <v>0</v>
      </c>
      <c r="H332" s="108">
        <f>VLOOKUP($A332, Stat!$A$1:$C$501, 3,0)</f>
        <v>0</v>
      </c>
      <c r="I332" s="48">
        <v>1</v>
      </c>
      <c r="P332" s="52">
        <v>0</v>
      </c>
      <c r="Q332" s="52">
        <v>1</v>
      </c>
      <c r="S332" s="52" t="s">
        <v>459</v>
      </c>
      <c r="T332" s="52">
        <v>1</v>
      </c>
    </row>
    <row r="333" spans="1:20" ht="13.2" customHeight="1" x14ac:dyDescent="0.25">
      <c r="A333" s="52">
        <v>332</v>
      </c>
      <c r="B333" s="52" t="s">
        <v>41</v>
      </c>
      <c r="C333" s="52" t="s">
        <v>206</v>
      </c>
      <c r="D333" s="52" t="s">
        <v>371</v>
      </c>
      <c r="E333" s="52" t="s">
        <v>474</v>
      </c>
      <c r="G333" s="106">
        <f>VLOOKUP($A333, Stat!$A$1:$C$501, 2,0)</f>
        <v>14</v>
      </c>
      <c r="H333" s="106">
        <f>VLOOKUP($A333, Stat!$A$1:$C$501, 3,0)</f>
        <v>13</v>
      </c>
      <c r="I333" s="48">
        <v>1</v>
      </c>
      <c r="P333" s="52">
        <v>60</v>
      </c>
      <c r="Q333" s="52">
        <v>0</v>
      </c>
      <c r="S333" s="52" t="s">
        <v>472</v>
      </c>
      <c r="T333" s="52">
        <v>1</v>
      </c>
    </row>
    <row r="334" spans="1:20" ht="13.2" customHeight="1" x14ac:dyDescent="0.25">
      <c r="A334" s="52">
        <v>333</v>
      </c>
      <c r="B334" s="52" t="s">
        <v>41</v>
      </c>
      <c r="C334" s="52" t="s">
        <v>248</v>
      </c>
      <c r="D334" s="52" t="s">
        <v>337</v>
      </c>
      <c r="E334" s="52" t="s">
        <v>470</v>
      </c>
      <c r="G334" s="106">
        <f>VLOOKUP($A334, Stat!$A$1:$C$501, 2,0)</f>
        <v>7</v>
      </c>
      <c r="H334" s="106">
        <f>VLOOKUP($A334, Stat!$A$1:$C$501, 3,0)</f>
        <v>5</v>
      </c>
      <c r="I334" s="48">
        <v>1</v>
      </c>
      <c r="P334" s="52">
        <v>60</v>
      </c>
      <c r="Q334" s="52">
        <v>0</v>
      </c>
      <c r="S334" s="52" t="s">
        <v>475</v>
      </c>
      <c r="T334" s="52">
        <v>1</v>
      </c>
    </row>
    <row r="335" spans="1:20" ht="13.2" customHeight="1" x14ac:dyDescent="0.25">
      <c r="A335" s="52">
        <v>334</v>
      </c>
      <c r="B335" s="52" t="s">
        <v>41</v>
      </c>
      <c r="C335" s="52" t="s">
        <v>248</v>
      </c>
      <c r="D335" s="52" t="s">
        <v>337</v>
      </c>
      <c r="E335" s="52" t="s">
        <v>473</v>
      </c>
      <c r="G335" s="106">
        <f>VLOOKUP($A335, Stat!$A$1:$C$501, 2,0)</f>
        <v>6</v>
      </c>
      <c r="H335" s="106">
        <f>VLOOKUP($A335, Stat!$A$1:$C$501, 3,0)</f>
        <v>4</v>
      </c>
      <c r="I335" s="48">
        <v>1</v>
      </c>
      <c r="P335" s="52">
        <v>60</v>
      </c>
      <c r="Q335" s="52">
        <v>0</v>
      </c>
      <c r="S335" s="52" t="s">
        <v>476</v>
      </c>
      <c r="T335" s="52">
        <v>1</v>
      </c>
    </row>
    <row r="336" spans="1:20" ht="13.2" customHeight="1" x14ac:dyDescent="0.25">
      <c r="A336" s="52">
        <v>335</v>
      </c>
      <c r="B336" s="52" t="s">
        <v>41</v>
      </c>
      <c r="C336" s="52" t="s">
        <v>64</v>
      </c>
      <c r="D336" s="52" t="s">
        <v>424</v>
      </c>
      <c r="E336" s="52" t="s">
        <v>477</v>
      </c>
      <c r="F336" s="48">
        <v>1</v>
      </c>
      <c r="G336" s="106">
        <f>VLOOKUP($A336, Stat!$A$1:$C$501, 2,0)</f>
        <v>138</v>
      </c>
      <c r="H336" s="106">
        <f>VLOOKUP($A336, Stat!$A$1:$C$501, 3,0)</f>
        <v>1</v>
      </c>
      <c r="I336" s="109"/>
      <c r="P336" s="52">
        <v>30</v>
      </c>
      <c r="Q336" s="52">
        <v>0</v>
      </c>
      <c r="S336" s="52" t="s">
        <v>478</v>
      </c>
      <c r="T336" s="52">
        <v>1</v>
      </c>
    </row>
    <row r="337" spans="1:20" x14ac:dyDescent="0.25">
      <c r="A337" s="52">
        <v>336</v>
      </c>
      <c r="B337" s="52" t="s">
        <v>41</v>
      </c>
      <c r="C337" s="52" t="s">
        <v>206</v>
      </c>
      <c r="D337" s="52" t="s">
        <v>479</v>
      </c>
      <c r="E337" s="52" t="s">
        <v>482</v>
      </c>
      <c r="G337" s="106">
        <f>VLOOKUP($A337, Stat!$A$1:$C$501, 2,0)</f>
        <v>3</v>
      </c>
      <c r="H337" s="106">
        <f>VLOOKUP($A337, Stat!$A$1:$C$501, 3,0)</f>
        <v>2</v>
      </c>
      <c r="I337" s="109"/>
      <c r="P337" s="52">
        <v>60</v>
      </c>
      <c r="Q337" s="52">
        <v>0</v>
      </c>
      <c r="R337" s="52" t="s">
        <v>484</v>
      </c>
      <c r="S337" s="52" t="s">
        <v>485</v>
      </c>
      <c r="T337" s="52">
        <v>1</v>
      </c>
    </row>
    <row r="338" spans="1:20" x14ac:dyDescent="0.25">
      <c r="A338" s="52">
        <v>337</v>
      </c>
      <c r="B338" s="52" t="s">
        <v>41</v>
      </c>
      <c r="C338" s="52" t="s">
        <v>206</v>
      </c>
      <c r="D338" s="52" t="s">
        <v>479</v>
      </c>
      <c r="E338" s="52" t="s">
        <v>480</v>
      </c>
      <c r="G338" s="106">
        <f>VLOOKUP($A338, Stat!$A$1:$C$501, 2,0)</f>
        <v>6</v>
      </c>
      <c r="H338" s="106">
        <f>VLOOKUP($A338, Stat!$A$1:$C$501, 3,0)</f>
        <v>6</v>
      </c>
      <c r="I338" s="109"/>
      <c r="P338" s="52">
        <v>60</v>
      </c>
      <c r="Q338" s="52">
        <v>0</v>
      </c>
      <c r="R338" s="52" t="s">
        <v>484</v>
      </c>
      <c r="S338" s="52" t="s">
        <v>486</v>
      </c>
      <c r="T338" s="52">
        <v>1</v>
      </c>
    </row>
    <row r="339" spans="1:20" x14ac:dyDescent="0.25">
      <c r="A339" s="52">
        <v>338</v>
      </c>
      <c r="B339" s="52" t="s">
        <v>41</v>
      </c>
      <c r="C339" s="52" t="s">
        <v>206</v>
      </c>
      <c r="D339" s="52" t="s">
        <v>479</v>
      </c>
      <c r="E339" s="52" t="s">
        <v>542</v>
      </c>
      <c r="G339" s="106">
        <f>VLOOKUP($A339, Stat!$A$1:$C$501, 2,0)</f>
        <v>47</v>
      </c>
      <c r="H339" s="106">
        <f>VLOOKUP($A339, Stat!$A$1:$C$501, 3,0)</f>
        <v>6</v>
      </c>
      <c r="J339" s="48">
        <v>1</v>
      </c>
      <c r="P339" s="52">
        <v>60</v>
      </c>
      <c r="Q339" s="52">
        <v>0</v>
      </c>
      <c r="R339" s="52" t="s">
        <v>484</v>
      </c>
      <c r="S339" s="52" t="s">
        <v>487</v>
      </c>
      <c r="T339" s="52">
        <v>1</v>
      </c>
    </row>
    <row r="340" spans="1:20" x14ac:dyDescent="0.25">
      <c r="A340" s="52">
        <v>339</v>
      </c>
      <c r="B340" s="52" t="s">
        <v>41</v>
      </c>
      <c r="C340" s="52" t="s">
        <v>206</v>
      </c>
      <c r="D340" s="52" t="s">
        <v>479</v>
      </c>
      <c r="E340" s="52" t="s">
        <v>481</v>
      </c>
      <c r="G340" s="106">
        <f>VLOOKUP($A340, Stat!$A$1:$C$501, 2,0)</f>
        <v>2</v>
      </c>
      <c r="H340" s="106">
        <f>VLOOKUP($A340, Stat!$A$1:$C$501, 3,0)</f>
        <v>2</v>
      </c>
      <c r="I340" s="48">
        <v>1</v>
      </c>
      <c r="P340" s="52">
        <v>60</v>
      </c>
      <c r="Q340" s="52">
        <v>0</v>
      </c>
      <c r="R340" s="52" t="s">
        <v>484</v>
      </c>
      <c r="S340" s="52" t="s">
        <v>488</v>
      </c>
      <c r="T340" s="52">
        <v>1</v>
      </c>
    </row>
    <row r="341" spans="1:20" x14ac:dyDescent="0.25">
      <c r="A341" s="52">
        <v>340</v>
      </c>
      <c r="B341" s="52" t="s">
        <v>41</v>
      </c>
      <c r="C341" s="52" t="s">
        <v>206</v>
      </c>
      <c r="D341" s="52" t="s">
        <v>479</v>
      </c>
      <c r="E341" s="52" t="s">
        <v>483</v>
      </c>
      <c r="G341" s="106">
        <f>VLOOKUP($A341, Stat!$A$1:$C$501, 2,0)</f>
        <v>5</v>
      </c>
      <c r="H341" s="106">
        <f>VLOOKUP($A341, Stat!$A$1:$C$501, 3,0)</f>
        <v>4</v>
      </c>
      <c r="I341" s="109"/>
      <c r="P341" s="52">
        <v>60</v>
      </c>
      <c r="Q341" s="52">
        <v>0</v>
      </c>
      <c r="R341" s="52" t="s">
        <v>484</v>
      </c>
      <c r="S341" s="52" t="s">
        <v>489</v>
      </c>
      <c r="T341" s="52">
        <v>1</v>
      </c>
    </row>
    <row r="342" spans="1:20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490</v>
      </c>
      <c r="G342" s="106">
        <f>VLOOKUP($A342, Stat!$A$1:$C$501, 2,0)</f>
        <v>39</v>
      </c>
      <c r="H342" s="106">
        <f>VLOOKUP($A342, Stat!$A$1:$C$501, 3,0)</f>
        <v>0</v>
      </c>
      <c r="I342" s="109"/>
      <c r="J342" s="48">
        <v>1</v>
      </c>
      <c r="N342" s="48">
        <v>1</v>
      </c>
      <c r="P342" s="52">
        <v>0</v>
      </c>
      <c r="Q342" s="52">
        <v>0</v>
      </c>
      <c r="S342" s="52" t="s">
        <v>491</v>
      </c>
      <c r="T342" s="52">
        <v>1</v>
      </c>
    </row>
    <row r="343" spans="1:20" x14ac:dyDescent="0.25">
      <c r="A343" s="52">
        <v>342</v>
      </c>
      <c r="B343" s="52" t="s">
        <v>39</v>
      </c>
      <c r="C343" s="52" t="s">
        <v>564</v>
      </c>
      <c r="D343" s="52" t="s">
        <v>495</v>
      </c>
      <c r="E343" s="52" t="s">
        <v>49</v>
      </c>
      <c r="G343" s="107">
        <f>VLOOKUP($A343, Stat!$A$1:$C$501, 2,0)</f>
        <v>3</v>
      </c>
      <c r="H343" s="106">
        <f>VLOOKUP($A343, Stat!$A$1:$C$501, 3,0)</f>
        <v>1</v>
      </c>
      <c r="P343" s="52">
        <v>0</v>
      </c>
      <c r="Q343" s="52">
        <v>0</v>
      </c>
      <c r="R343" s="52" t="s">
        <v>561</v>
      </c>
      <c r="T343" s="52">
        <v>1</v>
      </c>
    </row>
    <row r="344" spans="1:20" x14ac:dyDescent="0.25">
      <c r="A344" s="52">
        <v>343</v>
      </c>
      <c r="B344" s="52" t="s">
        <v>39</v>
      </c>
      <c r="C344" s="52" t="s">
        <v>564</v>
      </c>
      <c r="D344" s="52" t="s">
        <v>495</v>
      </c>
      <c r="E344" s="52" t="s">
        <v>50</v>
      </c>
      <c r="G344" s="106">
        <f>VLOOKUP($A344, Stat!$A$1:$C$501, 2,0)</f>
        <v>4</v>
      </c>
      <c r="H344" s="106">
        <f>VLOOKUP($A344, Stat!$A$1:$C$501, 3,0)</f>
        <v>1</v>
      </c>
      <c r="I344" s="48">
        <v>1</v>
      </c>
      <c r="M344" s="48">
        <v>342</v>
      </c>
      <c r="P344" s="52">
        <v>60</v>
      </c>
      <c r="Q344" s="52">
        <v>0</v>
      </c>
      <c r="R344" s="52" t="s">
        <v>561</v>
      </c>
      <c r="T344" s="52">
        <v>1</v>
      </c>
    </row>
    <row r="345" spans="1:20" x14ac:dyDescent="0.25">
      <c r="A345" s="52">
        <v>344</v>
      </c>
      <c r="B345" s="52" t="s">
        <v>39</v>
      </c>
      <c r="C345" s="52" t="s">
        <v>15</v>
      </c>
      <c r="D345" s="52" t="s">
        <v>497</v>
      </c>
      <c r="E345" s="52" t="s">
        <v>498</v>
      </c>
      <c r="G345" s="106">
        <f>VLOOKUP($A345, Stat!$A$1:$C$501, 2,0)</f>
        <v>17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502</v>
      </c>
      <c r="T345" s="52">
        <v>1</v>
      </c>
    </row>
    <row r="346" spans="1:20" x14ac:dyDescent="0.25">
      <c r="A346" s="52">
        <v>345</v>
      </c>
      <c r="B346" s="52" t="s">
        <v>39</v>
      </c>
      <c r="C346" s="52" t="s">
        <v>15</v>
      </c>
      <c r="D346" s="52" t="s">
        <v>497</v>
      </c>
      <c r="E346" s="52" t="s">
        <v>499</v>
      </c>
      <c r="G346" s="106">
        <f>VLOOKUP($A346, Stat!$A$1:$C$501, 2,0)</f>
        <v>27</v>
      </c>
      <c r="H346" s="106">
        <f>VLOOKUP($A346, Stat!$A$1:$C$501, 3,0)</f>
        <v>0</v>
      </c>
      <c r="I346" s="109"/>
      <c r="P346" s="52">
        <v>0</v>
      </c>
      <c r="Q346" s="52">
        <v>0</v>
      </c>
      <c r="S346" s="52" t="s">
        <v>502</v>
      </c>
      <c r="T346" s="52">
        <v>1</v>
      </c>
    </row>
    <row r="347" spans="1:20" x14ac:dyDescent="0.25">
      <c r="A347" s="52">
        <v>346</v>
      </c>
      <c r="B347" s="52" t="s">
        <v>39</v>
      </c>
      <c r="C347" s="52" t="s">
        <v>15</v>
      </c>
      <c r="D347" s="52" t="s">
        <v>497</v>
      </c>
      <c r="E347" s="52" t="s">
        <v>500</v>
      </c>
      <c r="G347" s="106">
        <f>VLOOKUP($A347, Stat!$A$1:$C$501, 2,0)</f>
        <v>3</v>
      </c>
      <c r="H347" s="106">
        <f>VLOOKUP($A347, Stat!$A$1:$C$501, 3,0)</f>
        <v>0</v>
      </c>
      <c r="I347" s="109"/>
      <c r="P347" s="52">
        <v>0</v>
      </c>
      <c r="Q347" s="52">
        <v>0</v>
      </c>
      <c r="S347" s="52" t="s">
        <v>502</v>
      </c>
      <c r="T347" s="52">
        <v>1</v>
      </c>
    </row>
    <row r="348" spans="1:20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503</v>
      </c>
      <c r="G348" s="106">
        <f>VLOOKUP($A348, Stat!$A$1:$C$501, 2,0)</f>
        <v>2</v>
      </c>
      <c r="H348" s="106">
        <f>VLOOKUP($A348, Stat!$A$1:$C$501, 3,0)</f>
        <v>2</v>
      </c>
      <c r="I348" s="48">
        <v>1</v>
      </c>
      <c r="P348" s="52">
        <v>30</v>
      </c>
      <c r="Q348" s="52">
        <v>0</v>
      </c>
      <c r="R348" s="52" t="s">
        <v>450</v>
      </c>
      <c r="S348" s="52" t="s">
        <v>504</v>
      </c>
      <c r="T348" s="52">
        <v>1</v>
      </c>
    </row>
    <row r="349" spans="1:20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508</v>
      </c>
      <c r="G349" s="106">
        <f>VLOOKUP($A349, Stat!$A$1:$C$501, 2,0)</f>
        <v>2</v>
      </c>
      <c r="H349" s="106">
        <f>VLOOKUP($A349, Stat!$A$1:$C$501, 3,0)</f>
        <v>2</v>
      </c>
      <c r="I349" s="48">
        <v>1</v>
      </c>
      <c r="P349" s="52">
        <v>20</v>
      </c>
      <c r="Q349" s="52">
        <v>0</v>
      </c>
      <c r="R349" s="52" t="s">
        <v>78</v>
      </c>
      <c r="S349" s="52" t="s">
        <v>509</v>
      </c>
      <c r="T349" s="52">
        <v>1</v>
      </c>
    </row>
    <row r="350" spans="1:20" x14ac:dyDescent="0.25">
      <c r="A350" s="52">
        <v>349</v>
      </c>
      <c r="B350" s="52" t="s">
        <v>41</v>
      </c>
      <c r="C350" s="52" t="s">
        <v>60</v>
      </c>
      <c r="D350" s="52" t="s">
        <v>511</v>
      </c>
      <c r="E350" s="52" t="s">
        <v>513</v>
      </c>
      <c r="G350" s="106">
        <f>VLOOKUP($A350, Stat!$A$1:$C$501, 2,0)</f>
        <v>44</v>
      </c>
      <c r="H350" s="106">
        <f>VLOOKUP($A350, Stat!$A$1:$C$501, 3,0)</f>
        <v>1</v>
      </c>
      <c r="P350" s="52">
        <v>60</v>
      </c>
      <c r="Q350" s="52">
        <v>0</v>
      </c>
      <c r="S350" s="52" t="s">
        <v>514</v>
      </c>
      <c r="T350" s="52">
        <v>1</v>
      </c>
    </row>
    <row r="351" spans="1:20" x14ac:dyDescent="0.25">
      <c r="A351" s="52">
        <v>350</v>
      </c>
      <c r="B351" s="52" t="s">
        <v>41</v>
      </c>
      <c r="C351" s="52" t="s">
        <v>60</v>
      </c>
      <c r="D351" s="52" t="s">
        <v>511</v>
      </c>
      <c r="E351" s="52" t="s">
        <v>512</v>
      </c>
      <c r="G351" s="106">
        <f>VLOOKUP($A351, Stat!$A$1:$C$501, 2,0)</f>
        <v>35</v>
      </c>
      <c r="H351" s="106">
        <f>VLOOKUP($A351, Stat!$A$1:$C$501, 3,0)</f>
        <v>0</v>
      </c>
      <c r="I351" s="109"/>
      <c r="P351" s="52">
        <v>60</v>
      </c>
      <c r="Q351" s="52">
        <v>0</v>
      </c>
      <c r="S351" s="52" t="s">
        <v>515</v>
      </c>
      <c r="T351" s="52">
        <v>1</v>
      </c>
    </row>
    <row r="352" spans="1:20" x14ac:dyDescent="0.25">
      <c r="A352" s="52">
        <v>351</v>
      </c>
      <c r="B352" s="52" t="s">
        <v>39</v>
      </c>
      <c r="C352" s="52" t="s">
        <v>17</v>
      </c>
      <c r="D352" s="52" t="s">
        <v>516</v>
      </c>
      <c r="E352" s="52" t="s">
        <v>375</v>
      </c>
      <c r="G352" s="106">
        <f>VLOOKUP($A352, Stat!$A$1:$C$501, 2,0)</f>
        <v>6</v>
      </c>
      <c r="H352" s="106">
        <f>VLOOKUP($A352, Stat!$A$1:$C$501, 3,0)</f>
        <v>0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352</v>
      </c>
      <c r="B353" s="52" t="s">
        <v>39</v>
      </c>
      <c r="C353" s="52" t="s">
        <v>17</v>
      </c>
      <c r="D353" s="52" t="s">
        <v>516</v>
      </c>
      <c r="E353" s="52" t="s">
        <v>469</v>
      </c>
      <c r="G353" s="106">
        <f>VLOOKUP($A353, Stat!$A$1:$C$501, 2,0)</f>
        <v>9</v>
      </c>
      <c r="H353" s="106">
        <f>VLOOKUP($A353, Stat!$A$1:$C$501, 3,0)</f>
        <v>1</v>
      </c>
      <c r="I353" s="109"/>
      <c r="P353" s="52">
        <v>0</v>
      </c>
      <c r="Q353" s="52">
        <v>0</v>
      </c>
      <c r="S353" s="52" t="s">
        <v>232</v>
      </c>
      <c r="T353" s="52">
        <v>1</v>
      </c>
    </row>
    <row r="354" spans="1:20" x14ac:dyDescent="0.25">
      <c r="A354" s="52">
        <v>353</v>
      </c>
      <c r="B354" s="52" t="s">
        <v>39</v>
      </c>
      <c r="C354" s="52" t="s">
        <v>17</v>
      </c>
      <c r="D354" s="52" t="s">
        <v>516</v>
      </c>
      <c r="E354" s="52" t="s">
        <v>517</v>
      </c>
      <c r="G354" s="106">
        <f>VLOOKUP($A354, Stat!$A$1:$C$501, 2,0)</f>
        <v>4</v>
      </c>
      <c r="H354" s="106">
        <f>VLOOKUP($A354, Stat!$A$1:$C$501, 3,0)</f>
        <v>1</v>
      </c>
      <c r="I354" s="109"/>
      <c r="P354" s="52">
        <v>0</v>
      </c>
      <c r="Q354" s="52">
        <v>0</v>
      </c>
      <c r="S354" s="52" t="s">
        <v>232</v>
      </c>
      <c r="T354" s="52">
        <v>1</v>
      </c>
    </row>
    <row r="355" spans="1:20" x14ac:dyDescent="0.25">
      <c r="A355" s="52">
        <v>354</v>
      </c>
      <c r="B355" s="52" t="s">
        <v>41</v>
      </c>
      <c r="C355" s="52" t="s">
        <v>64</v>
      </c>
      <c r="D355" s="52" t="s">
        <v>520</v>
      </c>
      <c r="E355" s="52" t="s">
        <v>534</v>
      </c>
      <c r="G355" s="106">
        <f>VLOOKUP($A355, Stat!$A$1:$C$501, 2,0)</f>
        <v>356</v>
      </c>
      <c r="H355" s="106">
        <f>VLOOKUP($A355, Stat!$A$1:$C$501, 3,0)</f>
        <v>1</v>
      </c>
      <c r="I355" s="109"/>
      <c r="P355" s="52">
        <v>0</v>
      </c>
      <c r="Q355" s="52">
        <v>-1</v>
      </c>
      <c r="T355" s="52">
        <v>1</v>
      </c>
    </row>
    <row r="356" spans="1:20" x14ac:dyDescent="0.25">
      <c r="A356" s="52">
        <v>355</v>
      </c>
      <c r="B356" s="52" t="s">
        <v>41</v>
      </c>
      <c r="C356" s="52" t="s">
        <v>64</v>
      </c>
      <c r="D356" s="52" t="s">
        <v>520</v>
      </c>
      <c r="E356" s="52" t="s">
        <v>535</v>
      </c>
      <c r="G356" s="106">
        <f>VLOOKUP($A356, Stat!$A$1:$C$501, 2,0)</f>
        <v>24</v>
      </c>
      <c r="H356" s="106">
        <f>VLOOKUP($A356, Stat!$A$1:$C$501, 3,0)</f>
        <v>7</v>
      </c>
      <c r="P356" s="52">
        <v>0</v>
      </c>
      <c r="Q356" s="52">
        <v>-1</v>
      </c>
      <c r="T356" s="52">
        <v>1</v>
      </c>
    </row>
    <row r="357" spans="1:20" x14ac:dyDescent="0.25">
      <c r="A357" s="52">
        <v>356</v>
      </c>
      <c r="B357" s="52" t="s">
        <v>41</v>
      </c>
      <c r="C357" s="52" t="s">
        <v>64</v>
      </c>
      <c r="D357" s="52" t="s">
        <v>520</v>
      </c>
      <c r="E357" s="52" t="s">
        <v>536</v>
      </c>
      <c r="G357" s="106">
        <f>VLOOKUP($A357, Stat!$A$1:$C$501, 2,0)</f>
        <v>19</v>
      </c>
      <c r="H357" s="106">
        <f>VLOOKUP($A357, Stat!$A$1:$C$501, 3,0)</f>
        <v>2</v>
      </c>
      <c r="I357" s="48">
        <v>1</v>
      </c>
      <c r="P357" s="52">
        <v>30</v>
      </c>
      <c r="Q357" s="52">
        <v>1</v>
      </c>
      <c r="T357" s="52">
        <v>1</v>
      </c>
    </row>
    <row r="358" spans="1:20" x14ac:dyDescent="0.25">
      <c r="A358" s="52">
        <v>357</v>
      </c>
      <c r="B358" s="52" t="s">
        <v>41</v>
      </c>
      <c r="C358" s="52" t="s">
        <v>64</v>
      </c>
      <c r="D358" s="52" t="s">
        <v>520</v>
      </c>
      <c r="E358" s="52" t="s">
        <v>537</v>
      </c>
      <c r="G358" s="106">
        <f>VLOOKUP($A358, Stat!$A$1:$C$501, 2,0)</f>
        <v>7</v>
      </c>
      <c r="H358" s="106">
        <f>VLOOKUP($A358, Stat!$A$1:$C$501, 3,0)</f>
        <v>4</v>
      </c>
      <c r="I358" s="48">
        <v>1</v>
      </c>
      <c r="P358" s="52">
        <v>40</v>
      </c>
      <c r="Q358" s="52">
        <v>0</v>
      </c>
      <c r="T358" s="52">
        <v>1</v>
      </c>
    </row>
    <row r="359" spans="1:20" x14ac:dyDescent="0.25">
      <c r="A359" s="52">
        <v>358</v>
      </c>
      <c r="B359" s="52" t="s">
        <v>41</v>
      </c>
      <c r="C359" s="52" t="s">
        <v>64</v>
      </c>
      <c r="D359" s="52" t="s">
        <v>520</v>
      </c>
      <c r="E359" s="52" t="s">
        <v>294</v>
      </c>
      <c r="G359" s="106">
        <f>VLOOKUP($A359, Stat!$A$1:$C$501, 2,0)</f>
        <v>33</v>
      </c>
      <c r="H359" s="106">
        <f>VLOOKUP($A359, Stat!$A$1:$C$501, 3,0)</f>
        <v>4</v>
      </c>
      <c r="P359" s="52">
        <v>100</v>
      </c>
      <c r="Q359" s="52">
        <v>0</v>
      </c>
      <c r="T359" s="52">
        <v>1</v>
      </c>
    </row>
    <row r="360" spans="1:20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552</v>
      </c>
      <c r="G360" s="106">
        <f>VLOOKUP($A360, Stat!$A$1:$C$501, 2,0)</f>
        <v>17</v>
      </c>
      <c r="H360" s="106">
        <f>VLOOKUP($A360, Stat!$A$1:$C$501, 3,0)</f>
        <v>12</v>
      </c>
      <c r="I360" s="48">
        <v>1</v>
      </c>
      <c r="P360" s="52">
        <v>100</v>
      </c>
      <c r="Q360" s="52">
        <v>0</v>
      </c>
      <c r="S360" s="52" t="s">
        <v>553</v>
      </c>
      <c r="T360" s="52">
        <v>1</v>
      </c>
    </row>
    <row r="361" spans="1:20" x14ac:dyDescent="0.25">
      <c r="A361" s="52">
        <v>360</v>
      </c>
      <c r="B361" s="52" t="s">
        <v>39</v>
      </c>
      <c r="C361" s="52" t="s">
        <v>564</v>
      </c>
      <c r="D361" s="52" t="s">
        <v>558</v>
      </c>
      <c r="E361" s="52" t="s">
        <v>49</v>
      </c>
      <c r="G361" s="106">
        <f>VLOOKUP($A361, Stat!$A$1:$C$501, 2,0)</f>
        <v>1</v>
      </c>
      <c r="H361" s="106">
        <f>VLOOKUP($A361, Stat!$A$1:$C$501, 3,0)</f>
        <v>1</v>
      </c>
      <c r="M361" s="48">
        <v>368</v>
      </c>
      <c r="P361" s="52">
        <v>40</v>
      </c>
      <c r="Q361" s="52">
        <v>0</v>
      </c>
      <c r="R361" s="52" t="s">
        <v>560</v>
      </c>
      <c r="T361" s="52">
        <v>1</v>
      </c>
    </row>
    <row r="362" spans="1:20" x14ac:dyDescent="0.25">
      <c r="A362" s="52">
        <v>361</v>
      </c>
      <c r="B362" s="52" t="s">
        <v>39</v>
      </c>
      <c r="C362" s="52" t="s">
        <v>564</v>
      </c>
      <c r="D362" s="52" t="s">
        <v>558</v>
      </c>
      <c r="E362" s="52" t="s">
        <v>50</v>
      </c>
      <c r="G362" s="106">
        <f>VLOOKUP($A362, Stat!$A$1:$C$501, 2,0)</f>
        <v>6</v>
      </c>
      <c r="H362" s="106">
        <f>VLOOKUP($A362, Stat!$A$1:$C$501, 3,0)</f>
        <v>2</v>
      </c>
      <c r="I362" s="48">
        <v>1</v>
      </c>
      <c r="M362" s="49" t="s">
        <v>576</v>
      </c>
      <c r="P362" s="52">
        <v>100</v>
      </c>
      <c r="Q362" s="52">
        <v>0</v>
      </c>
      <c r="R362" s="52" t="s">
        <v>560</v>
      </c>
      <c r="T362" s="52">
        <v>1</v>
      </c>
    </row>
    <row r="363" spans="1:20" x14ac:dyDescent="0.25">
      <c r="A363" s="52">
        <v>362</v>
      </c>
      <c r="B363" s="52" t="s">
        <v>39</v>
      </c>
      <c r="C363" s="52" t="s">
        <v>564</v>
      </c>
      <c r="D363" s="52" t="s">
        <v>558</v>
      </c>
      <c r="E363" s="52" t="s">
        <v>23</v>
      </c>
      <c r="G363" s="106">
        <f>VLOOKUP($A363, Stat!$A$1:$C$501, 2,0)</f>
        <v>4</v>
      </c>
      <c r="H363" s="106">
        <f>VLOOKUP($A363, Stat!$A$1:$C$501, 3,0)</f>
        <v>1</v>
      </c>
      <c r="P363" s="52">
        <v>100</v>
      </c>
      <c r="Q363" s="52">
        <v>0</v>
      </c>
      <c r="R363" s="52" t="s">
        <v>560</v>
      </c>
      <c r="T363" s="52">
        <v>1</v>
      </c>
    </row>
    <row r="364" spans="1:20" x14ac:dyDescent="0.25">
      <c r="A364" s="52">
        <v>363</v>
      </c>
      <c r="B364" s="52" t="s">
        <v>39</v>
      </c>
      <c r="C364" s="52" t="s">
        <v>564</v>
      </c>
      <c r="D364" s="52" t="s">
        <v>494</v>
      </c>
      <c r="E364" s="52" t="s">
        <v>23</v>
      </c>
      <c r="G364" s="106">
        <f>VLOOKUP($A364, Stat!$A$1:$C$501, 2,0)</f>
        <v>8</v>
      </c>
      <c r="H364" s="106">
        <f>VLOOKUP($A364, Stat!$A$1:$C$501, 3,0)</f>
        <v>2</v>
      </c>
      <c r="P364" s="52">
        <v>100</v>
      </c>
      <c r="Q364" s="52">
        <v>0</v>
      </c>
      <c r="R364" s="52" t="s">
        <v>556</v>
      </c>
      <c r="T364" s="52">
        <v>1</v>
      </c>
    </row>
    <row r="365" spans="1:20" x14ac:dyDescent="0.25">
      <c r="A365" s="52">
        <v>364</v>
      </c>
      <c r="B365" s="52" t="s">
        <v>39</v>
      </c>
      <c r="C365" s="52" t="s">
        <v>564</v>
      </c>
      <c r="D365" s="52" t="s">
        <v>495</v>
      </c>
      <c r="E365" s="52" t="s">
        <v>23</v>
      </c>
      <c r="G365" s="106">
        <f>VLOOKUP($A365, Stat!$A$1:$C$501, 2,0)</f>
        <v>1</v>
      </c>
      <c r="H365" s="106">
        <f>VLOOKUP($A365, Stat!$A$1:$C$501, 3,0)</f>
        <v>1</v>
      </c>
      <c r="P365" s="52">
        <v>100</v>
      </c>
      <c r="Q365" s="52">
        <v>0</v>
      </c>
      <c r="R365" s="52" t="s">
        <v>561</v>
      </c>
      <c r="T365" s="52">
        <v>1</v>
      </c>
    </row>
    <row r="366" spans="1:20" x14ac:dyDescent="0.25">
      <c r="A366" s="52">
        <v>365</v>
      </c>
      <c r="B366" s="52" t="s">
        <v>39</v>
      </c>
      <c r="C366" s="52" t="s">
        <v>564</v>
      </c>
      <c r="D366" s="52" t="s">
        <v>557</v>
      </c>
      <c r="E366" s="52" t="s">
        <v>49</v>
      </c>
      <c r="G366" s="106">
        <f>VLOOKUP($A366, Stat!$A$1:$C$501, 2,0)</f>
        <v>18</v>
      </c>
      <c r="H366" s="106">
        <f>VLOOKUP($A366, Stat!$A$1:$C$501, 3,0)</f>
        <v>4</v>
      </c>
      <c r="P366" s="52">
        <v>40</v>
      </c>
      <c r="Q366" s="52">
        <v>0</v>
      </c>
      <c r="R366" s="52" t="s">
        <v>559</v>
      </c>
      <c r="T366" s="52">
        <v>1</v>
      </c>
    </row>
    <row r="367" spans="1:20" x14ac:dyDescent="0.25">
      <c r="A367" s="52">
        <v>366</v>
      </c>
      <c r="B367" s="52" t="s">
        <v>39</v>
      </c>
      <c r="C367" s="52" t="s">
        <v>564</v>
      </c>
      <c r="D367" s="52" t="s">
        <v>557</v>
      </c>
      <c r="E367" s="52" t="s">
        <v>50</v>
      </c>
      <c r="G367" s="106">
        <f>VLOOKUP($A367, Stat!$A$1:$C$501, 2,0)</f>
        <v>15</v>
      </c>
      <c r="H367" s="106">
        <f>VLOOKUP($A367, Stat!$A$1:$C$501, 3,0)</f>
        <v>4</v>
      </c>
      <c r="M367" s="48">
        <v>365</v>
      </c>
      <c r="P367" s="52">
        <v>100</v>
      </c>
      <c r="Q367" s="52">
        <v>0</v>
      </c>
      <c r="R367" s="52" t="s">
        <v>559</v>
      </c>
      <c r="T367" s="52">
        <v>1</v>
      </c>
    </row>
    <row r="368" spans="1:20" x14ac:dyDescent="0.25">
      <c r="A368" s="52">
        <v>367</v>
      </c>
      <c r="B368" s="52" t="s">
        <v>39</v>
      </c>
      <c r="C368" s="52" t="s">
        <v>564</v>
      </c>
      <c r="D368" s="52" t="s">
        <v>557</v>
      </c>
      <c r="E368" s="52" t="s">
        <v>23</v>
      </c>
      <c r="G368" s="106">
        <f>VLOOKUP($A368, Stat!$A$1:$C$501, 2,0)</f>
        <v>6</v>
      </c>
      <c r="H368" s="106">
        <f>VLOOKUP($A368, Stat!$A$1:$C$501, 3,0)</f>
        <v>4</v>
      </c>
      <c r="P368" s="52">
        <v>100</v>
      </c>
      <c r="Q368" s="52">
        <v>0</v>
      </c>
      <c r="R368" s="52" t="s">
        <v>559</v>
      </c>
      <c r="T368" s="52">
        <v>1</v>
      </c>
    </row>
    <row r="369" spans="1:20" x14ac:dyDescent="0.25">
      <c r="A369" s="52">
        <v>368</v>
      </c>
      <c r="B369" s="52" t="s">
        <v>39</v>
      </c>
      <c r="C369" s="52" t="s">
        <v>564</v>
      </c>
      <c r="D369" s="52" t="s">
        <v>562</v>
      </c>
      <c r="E369" s="52" t="s">
        <v>49</v>
      </c>
      <c r="G369" s="106">
        <f>VLOOKUP($A369, Stat!$A$1:$C$501, 2,0)</f>
        <v>5</v>
      </c>
      <c r="H369" s="106">
        <f>VLOOKUP($A369, Stat!$A$1:$C$501, 3,0)</f>
        <v>2</v>
      </c>
      <c r="P369" s="52">
        <v>0</v>
      </c>
      <c r="Q369" s="52">
        <v>0</v>
      </c>
      <c r="R369" s="52" t="s">
        <v>559</v>
      </c>
      <c r="T369" s="52">
        <v>1</v>
      </c>
    </row>
    <row r="370" spans="1:20" x14ac:dyDescent="0.25">
      <c r="A370" s="52">
        <v>369</v>
      </c>
      <c r="B370" s="52" t="s">
        <v>39</v>
      </c>
      <c r="C370" s="52" t="s">
        <v>564</v>
      </c>
      <c r="D370" s="52" t="s">
        <v>562</v>
      </c>
      <c r="E370" s="52" t="s">
        <v>50</v>
      </c>
      <c r="G370" s="106">
        <f>VLOOKUP($A370, Stat!$A$1:$C$501, 2,0)</f>
        <v>7</v>
      </c>
      <c r="H370" s="106">
        <f>VLOOKUP($A370, Stat!$A$1:$C$501, 3,0)</f>
        <v>1</v>
      </c>
      <c r="M370" s="48">
        <v>368</v>
      </c>
      <c r="P370" s="52">
        <v>60</v>
      </c>
      <c r="Q370" s="52">
        <v>0</v>
      </c>
      <c r="R370" s="52" t="s">
        <v>559</v>
      </c>
      <c r="T370" s="52">
        <v>1</v>
      </c>
    </row>
    <row r="371" spans="1:20" x14ac:dyDescent="0.25">
      <c r="A371" s="52">
        <v>370</v>
      </c>
      <c r="B371" s="52" t="s">
        <v>39</v>
      </c>
      <c r="C371" s="52" t="s">
        <v>564</v>
      </c>
      <c r="D371" s="52" t="s">
        <v>562</v>
      </c>
      <c r="E371" s="52" t="s">
        <v>23</v>
      </c>
      <c r="G371" s="106">
        <f>VLOOKUP($A371, Stat!$A$1:$C$501, 2,0)</f>
        <v>3</v>
      </c>
      <c r="H371" s="106">
        <f>VLOOKUP($A371, Stat!$A$1:$C$501, 3,0)</f>
        <v>2</v>
      </c>
      <c r="P371" s="52">
        <v>100</v>
      </c>
      <c r="Q371" s="52">
        <v>0</v>
      </c>
      <c r="R371" s="52" t="s">
        <v>559</v>
      </c>
      <c r="T371" s="52">
        <v>1</v>
      </c>
    </row>
    <row r="372" spans="1:20" x14ac:dyDescent="0.25">
      <c r="A372" s="52">
        <v>371</v>
      </c>
      <c r="B372" s="52" t="s">
        <v>39</v>
      </c>
      <c r="C372" s="52" t="s">
        <v>563</v>
      </c>
      <c r="D372" s="52" t="s">
        <v>494</v>
      </c>
      <c r="E372" s="52" t="s">
        <v>49</v>
      </c>
      <c r="G372" s="106">
        <f>VLOOKUP($A372, Stat!$A$1:$C$501, 2,0)</f>
        <v>19</v>
      </c>
      <c r="H372" s="106">
        <f>VLOOKUP($A372, Stat!$A$1:$C$501, 3,0)</f>
        <v>2</v>
      </c>
      <c r="P372" s="52">
        <v>0</v>
      </c>
      <c r="Q372" s="52">
        <v>0</v>
      </c>
      <c r="R372" s="52" t="s">
        <v>556</v>
      </c>
      <c r="T372" s="52">
        <v>1</v>
      </c>
    </row>
    <row r="373" spans="1:20" x14ac:dyDescent="0.25">
      <c r="A373" s="52">
        <v>372</v>
      </c>
      <c r="B373" s="52" t="s">
        <v>39</v>
      </c>
      <c r="C373" s="52" t="s">
        <v>563</v>
      </c>
      <c r="D373" s="52" t="s">
        <v>494</v>
      </c>
      <c r="E373" s="52" t="s">
        <v>50</v>
      </c>
      <c r="G373" s="106">
        <f>VLOOKUP($A373, Stat!$A$1:$C$501, 2,0)</f>
        <v>31</v>
      </c>
      <c r="H373" s="106">
        <f>VLOOKUP($A373, Stat!$A$1:$C$501, 3,0)</f>
        <v>2</v>
      </c>
      <c r="M373" s="48">
        <v>371</v>
      </c>
      <c r="P373" s="52">
        <v>60</v>
      </c>
      <c r="Q373" s="52">
        <v>0</v>
      </c>
      <c r="R373" s="52" t="s">
        <v>556</v>
      </c>
      <c r="T373" s="52">
        <v>1</v>
      </c>
    </row>
    <row r="374" spans="1:20" x14ac:dyDescent="0.25">
      <c r="A374" s="52">
        <v>373</v>
      </c>
      <c r="B374" s="52" t="s">
        <v>39</v>
      </c>
      <c r="C374" s="52" t="s">
        <v>563</v>
      </c>
      <c r="D374" s="52" t="s">
        <v>494</v>
      </c>
      <c r="E374" s="52" t="s">
        <v>23</v>
      </c>
      <c r="G374" s="106">
        <f>VLOOKUP($A374, Stat!$A$1:$C$501, 2,0)</f>
        <v>31</v>
      </c>
      <c r="H374" s="106">
        <f>VLOOKUP($A374, Stat!$A$1:$C$501, 3,0)</f>
        <v>4</v>
      </c>
      <c r="P374" s="52">
        <v>100</v>
      </c>
      <c r="Q374" s="52">
        <v>0</v>
      </c>
      <c r="R374" s="52" t="s">
        <v>556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570</v>
      </c>
      <c r="G375" s="106">
        <f>VLOOKUP($A375, Stat!$A$1:$C$501, 2,0)</f>
        <v>20</v>
      </c>
      <c r="H375" s="106">
        <f>VLOOKUP($A375, Stat!$A$1:$C$501, 3,0)</f>
        <v>7</v>
      </c>
      <c r="P375" s="52">
        <v>0</v>
      </c>
      <c r="Q375" s="52">
        <v>1</v>
      </c>
      <c r="R375" s="52" t="s">
        <v>450</v>
      </c>
      <c r="S375" s="52" t="s">
        <v>571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400</v>
      </c>
      <c r="E376" s="52" t="s">
        <v>574</v>
      </c>
      <c r="F376" s="48">
        <v>1</v>
      </c>
      <c r="G376" s="106">
        <f>VLOOKUP($A376, Stat!$A$1:$C$501, 2,0)</f>
        <v>39</v>
      </c>
      <c r="H376" s="112">
        <f>VLOOKUP($A376, Stat!$A$1:$C$501, 3,0)</f>
        <v>0</v>
      </c>
      <c r="P376" s="52">
        <v>30</v>
      </c>
      <c r="Q376" s="52">
        <v>0</v>
      </c>
      <c r="S376" s="52" t="s">
        <v>575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578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450</v>
      </c>
      <c r="S377" s="52" t="s">
        <v>577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400</v>
      </c>
      <c r="E378" s="52" t="s">
        <v>105</v>
      </c>
      <c r="F378" s="48">
        <v>1</v>
      </c>
      <c r="G378" s="106">
        <f>VLOOKUP($A378, Stat!$A$1:$C$501, 2,0)</f>
        <v>5</v>
      </c>
      <c r="H378" s="112">
        <f>VLOOKUP($A378, Stat!$A$1:$C$501, 3,0)</f>
        <v>0</v>
      </c>
      <c r="P378" s="52">
        <v>30</v>
      </c>
      <c r="Q378" s="52">
        <v>0</v>
      </c>
      <c r="S378" s="52" t="s">
        <v>580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400</v>
      </c>
      <c r="E379" s="52" t="s">
        <v>106</v>
      </c>
      <c r="F379" s="48">
        <v>1</v>
      </c>
      <c r="G379" s="106">
        <f>VLOOKUP($A379, Stat!$A$1:$C$501, 2,0)</f>
        <v>10</v>
      </c>
      <c r="H379" s="112">
        <f>VLOOKUP($A379, Stat!$A$1:$C$501, 3,0)</f>
        <v>0</v>
      </c>
      <c r="P379" s="52">
        <v>30</v>
      </c>
      <c r="Q379" s="52">
        <v>0</v>
      </c>
      <c r="S379" s="52" t="s">
        <v>581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586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586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586</v>
      </c>
      <c r="E382" s="52" t="s">
        <v>587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586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400</v>
      </c>
      <c r="E384" s="52" t="s">
        <v>588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591</v>
      </c>
      <c r="G385" s="106">
        <f>VLOOKUP($A385, Stat!$A$1:$C$501, 2,0)</f>
        <v>7</v>
      </c>
      <c r="H385" s="106">
        <f>VLOOKUP($A385, Stat!$A$1:$C$501, 3,0)</f>
        <v>1</v>
      </c>
      <c r="P385" s="52">
        <v>0</v>
      </c>
      <c r="Q385" s="52">
        <v>0</v>
      </c>
      <c r="S385" s="52" t="s">
        <v>594</v>
      </c>
      <c r="T385" s="52">
        <v>1</v>
      </c>
    </row>
  </sheetData>
  <autoFilter ref="A1:T385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C20" sqref="A1:C501"/>
    </sheetView>
  </sheetViews>
  <sheetFormatPr defaultRowHeight="13.2" x14ac:dyDescent="0.25"/>
  <sheetData>
    <row r="1" spans="1:3" x14ac:dyDescent="0.25">
      <c r="A1" s="105" t="s">
        <v>549</v>
      </c>
      <c r="B1" s="105" t="s">
        <v>547</v>
      </c>
      <c r="C1" s="105" t="s">
        <v>548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2017-12-29T21:08:46Z</dcterms:modified>
</cp:coreProperties>
</file>