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Also prohibits T6</t>
        </r>
      </text>
    </comment>
    <comment ref="E148" authorId="1" shapeId="0">
      <text>
        <r>
          <rPr>
            <sz val="9"/>
            <color indexed="81"/>
            <rFont val="Tahoma"/>
            <family val="2"/>
            <charset val="204"/>
          </rPr>
          <t>no leading tone is allowed if last bass notes are V-I</t>
        </r>
      </text>
    </comment>
    <comment ref="F148" authorId="1" shapeId="0">
      <text>
        <r>
          <rPr>
            <sz val="9"/>
            <color indexed="81"/>
            <rFont val="Tahoma"/>
            <family val="2"/>
            <charset val="204"/>
          </rPr>
          <t>No V or II note</t>
        </r>
      </text>
    </comment>
    <comment ref="G148" authorId="1" shapeId="0">
      <text>
        <r>
          <rPr>
            <sz val="9"/>
            <color indexed="81"/>
            <rFont val="Tahoma"/>
            <family val="2"/>
            <charset val="204"/>
          </rPr>
          <t>VII natural minor note in penultimate measure. This rule is disabled, because it duplicates "no leading-tone" rule</t>
        </r>
      </text>
    </comment>
    <comment ref="H148" authorId="1" shapeId="0">
      <text>
        <r>
          <rPr>
            <sz val="9"/>
            <color indexed="81"/>
            <rFont val="Tahoma"/>
            <family val="2"/>
            <charset val="204"/>
          </rPr>
          <t>There is another harmony between leading tone and tonic note in penultimate measure</t>
        </r>
      </text>
    </comment>
    <comment ref="I14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8" authorId="1" shapeId="0">
      <text>
        <r>
          <rPr>
            <sz val="9"/>
            <color indexed="81"/>
            <rFont val="Tahoma"/>
            <family val="2"/>
            <charset val="204"/>
          </rPr>
          <t>Penultimate harmony is not V or VII</t>
        </r>
      </text>
    </comment>
    <comment ref="K148" authorId="1" shapeId="0">
      <text>
        <r>
          <rPr>
            <sz val="9"/>
            <color indexed="81"/>
            <rFont val="Tahoma"/>
            <family val="2"/>
            <charset val="204"/>
          </rPr>
          <t>Penultimate measure starts with poor interval: 8ve or unison</t>
        </r>
      </text>
    </comment>
    <comment ref="F152" authorId="1" shapeId="0">
      <text>
        <r>
          <rPr>
            <sz val="9"/>
            <color indexed="81"/>
            <rFont val="Tahoma"/>
            <family val="2"/>
            <charset val="204"/>
          </rPr>
          <t>Dissonance is longer than previous note</t>
        </r>
      </text>
    </comment>
    <comment ref="G152" authorId="1" shapeId="0">
      <text>
        <r>
          <rPr>
            <sz val="9"/>
            <color indexed="81"/>
            <rFont val="Tahoma"/>
            <family val="2"/>
            <charset val="204"/>
          </rPr>
          <t>Dissonance is longer than next consonance</t>
        </r>
      </text>
    </comment>
    <comment ref="H152" authorId="1" shapeId="0">
      <text>
        <r>
          <rPr>
            <sz val="9"/>
            <color indexed="81"/>
            <rFont val="Tahoma"/>
            <family val="2"/>
            <charset val="204"/>
          </rPr>
          <t xml:space="preserve">Prohibit 4th upbeat consonance even if not lowest </t>
        </r>
      </text>
    </comment>
    <comment ref="E153" authorId="1" shapeId="0">
      <text>
        <r>
          <rPr>
            <sz val="9"/>
            <color indexed="81"/>
            <rFont val="Tahoma"/>
            <family val="2"/>
            <charset val="204"/>
          </rPr>
          <t>Leap to harmonic upbeat dissonance</t>
        </r>
      </text>
    </comment>
    <comment ref="E154" authorId="1" shapeId="0">
      <text>
        <r>
          <rPr>
            <sz val="9"/>
            <color indexed="81"/>
            <rFont val="Tahoma"/>
            <family val="2"/>
            <charset val="204"/>
          </rPr>
          <t>Leap from harmonic upbeat dissonance</t>
        </r>
      </text>
    </comment>
    <comment ref="F155" authorId="1" shapeId="0">
      <text>
        <r>
          <rPr>
            <sz val="9"/>
            <color indexed="81"/>
            <rFont val="Tahoma"/>
            <family val="2"/>
            <charset val="204"/>
          </rPr>
          <t>Minor second</t>
        </r>
      </text>
    </comment>
    <comment ref="E158" authorId="1" shapeId="0">
      <text>
        <r>
          <rPr>
            <sz val="9"/>
            <color indexed="81"/>
            <rFont val="Tahoma"/>
            <family val="2"/>
            <charset val="204"/>
          </rPr>
          <t>Prohibit this rule to prevent detection of any cambiata, thus processing as usual notes</t>
        </r>
      </text>
    </comment>
    <comment ref="F158" authorId="1" shapeId="0">
      <text>
        <r>
          <rPr>
            <sz val="9"/>
            <color indexed="81"/>
            <rFont val="Tahoma"/>
            <family val="2"/>
            <charset val="204"/>
          </rPr>
          <t>Rhythm of cambiata contains not only 1/4 notes</t>
        </r>
      </text>
    </comment>
    <comment ref="G158" authorId="1" shapeId="0">
      <text>
        <r>
          <rPr>
            <sz val="9"/>
            <color indexed="81"/>
            <rFont val="Tahoma"/>
            <family val="2"/>
            <charset val="204"/>
          </rPr>
          <t>Third note in cambiata is dissonance</t>
        </r>
      </text>
    </comment>
    <comment ref="E159" authorId="1" shapeId="0">
      <text>
        <r>
          <rPr>
            <sz val="9"/>
            <color indexed="81"/>
            <rFont val="Tahoma"/>
            <family val="2"/>
            <charset val="204"/>
          </rPr>
          <t>4th leap from 2nd note compensated by next stepwize movement</t>
        </r>
      </text>
    </comment>
    <comment ref="F159" authorId="1" shapeId="0">
      <text>
        <r>
          <rPr>
            <sz val="9"/>
            <color indexed="81"/>
            <rFont val="Tahoma"/>
            <family val="2"/>
            <charset val="204"/>
          </rPr>
          <t>4th leap to 3rd note</t>
        </r>
      </text>
    </comment>
    <comment ref="G159" authorId="1" shapeId="0">
      <text>
        <r>
          <rPr>
            <i/>
            <sz val="9"/>
            <color indexed="81"/>
            <rFont val="Tahoma"/>
            <family val="2"/>
            <charset val="204"/>
          </rPr>
          <t>Leap from note #3 up to 4th interval</t>
        </r>
      </text>
    </comment>
    <comment ref="H159" authorId="1" shapeId="0">
      <text>
        <r>
          <rPr>
            <i/>
            <sz val="9"/>
            <color indexed="81"/>
            <rFont val="Tahoma"/>
            <family val="2"/>
            <charset val="204"/>
          </rPr>
          <t>Leap from note #4 up to 4th interval</t>
        </r>
      </text>
    </comment>
    <comment ref="I159" authorId="1" shapeId="0">
      <text>
        <r>
          <rPr>
            <sz val="9"/>
            <color indexed="81"/>
            <rFont val="Tahoma"/>
            <family val="2"/>
            <charset val="204"/>
          </rPr>
          <t>Movement from note #4 in returning direction</t>
        </r>
      </text>
    </comment>
    <comment ref="J159" authorId="1" shapeId="0">
      <text>
        <r>
          <rPr>
            <sz val="9"/>
            <color indexed="81"/>
            <rFont val="Tahoma"/>
            <family val="2"/>
            <charset val="204"/>
          </rPr>
          <t>Inverted cambiata</t>
        </r>
      </text>
    </comment>
    <comment ref="E160" authorId="1" shapeId="0">
      <text>
        <r>
          <rPr>
            <sz val="9"/>
            <color indexed="81"/>
            <rFont val="Tahoma"/>
            <family val="2"/>
            <charset val="204"/>
          </rPr>
          <t>Last note of cambiata is out of current measure</t>
        </r>
      </text>
    </comment>
    <comment ref="F160" authorId="1" shapeId="0">
      <text>
        <r>
          <rPr>
            <sz val="9"/>
            <color indexed="81"/>
            <rFont val="Tahoma"/>
            <family val="2"/>
            <charset val="204"/>
          </rPr>
          <t>Two or more last notes of cambiata are out of current measure</t>
        </r>
      </text>
    </comment>
    <comment ref="E161" authorId="1" shapeId="0">
      <text>
        <r>
          <rPr>
            <sz val="9"/>
            <color indexed="81"/>
            <rFont val="Tahoma"/>
            <family val="2"/>
            <charset val="204"/>
          </rPr>
          <t>Prohibit this rule to prevent detection of any double-neighbour tone</t>
        </r>
      </text>
    </comment>
    <comment ref="F161" authorId="1" shapeId="0">
      <text>
        <r>
          <rPr>
            <sz val="9"/>
            <color indexed="81"/>
            <rFont val="Tahoma"/>
            <family val="2"/>
            <charset val="204"/>
          </rPr>
          <t>Rhythm of DNT contains not only 1/4 notes</t>
        </r>
      </text>
    </comment>
    <comment ref="G161" authorId="1" shapeId="0">
      <text>
        <r>
          <rPr>
            <sz val="9"/>
            <color indexed="81"/>
            <rFont val="Tahoma"/>
            <family val="2"/>
            <charset val="204"/>
          </rPr>
          <t>Allow leaps up to specified size</t>
        </r>
      </text>
    </comment>
    <comment ref="H161" authorId="1" shapeId="0">
      <text>
        <r>
          <rPr>
            <sz val="9"/>
            <color indexed="81"/>
            <rFont val="Tahoma"/>
            <family val="2"/>
            <charset val="204"/>
          </rPr>
          <t>There is a leap before first note of double-neighbour tone group</t>
        </r>
      </text>
    </comment>
    <comment ref="I161" authorId="1" shapeId="0">
      <text>
        <r>
          <rPr>
            <sz val="9"/>
            <color indexed="81"/>
            <rFont val="Tahoma"/>
            <family val="2"/>
            <charset val="204"/>
          </rPr>
          <t>There is a leap after last note of double-neighbour tone</t>
        </r>
      </text>
    </comment>
    <comment ref="E162" authorId="1" shapeId="0">
      <text>
        <r>
          <rPr>
            <sz val="9"/>
            <color indexed="81"/>
            <rFont val="Tahoma"/>
            <family val="2"/>
            <charset val="204"/>
          </rPr>
          <t>Last note of DNT is out of current measure</t>
        </r>
      </text>
    </comment>
    <comment ref="F162" authorId="1" shapeId="0">
      <text>
        <r>
          <rPr>
            <sz val="9"/>
            <color indexed="81"/>
            <rFont val="Tahoma"/>
            <family val="2"/>
            <charset val="204"/>
          </rPr>
          <t>Two or more last notes of DNT are out of current measure</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F164" authorId="1" shapeId="0">
      <text>
        <r>
          <rPr>
            <sz val="9"/>
            <color indexed="81"/>
            <rFont val="Tahoma"/>
            <family val="2"/>
            <charset val="204"/>
          </rPr>
          <t>Dissonance is formed by direct movement of voices</t>
        </r>
      </text>
    </comment>
    <comment ref="G164" authorId="1" shapeId="0">
      <text>
        <r>
          <rPr>
            <sz val="9"/>
            <color indexed="81"/>
            <rFont val="Tahoma"/>
            <family val="2"/>
            <charset val="204"/>
          </rPr>
          <t>Dissonance is formed by parallel movement of voices</t>
        </r>
      </text>
    </comment>
    <comment ref="E16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5" authorId="1" shapeId="0">
      <text>
        <r>
          <rPr>
            <sz val="9"/>
            <color indexed="81"/>
            <rFont val="Tahoma"/>
            <family val="2"/>
            <charset val="204"/>
          </rPr>
          <t>Previous note is shorter than anticipation note</t>
        </r>
      </text>
    </comment>
    <comment ref="G165" authorId="1" shapeId="0">
      <text>
        <r>
          <rPr>
            <sz val="9"/>
            <color indexed="81"/>
            <rFont val="Tahoma"/>
            <family val="2"/>
            <charset val="204"/>
          </rPr>
          <t>Next note has equal length with anticipation note</t>
        </r>
      </text>
    </comment>
    <comment ref="H165" authorId="1" shapeId="0">
      <text>
        <r>
          <rPr>
            <sz val="9"/>
            <color indexed="81"/>
            <rFont val="Tahoma"/>
            <family val="2"/>
            <charset val="204"/>
          </rPr>
          <t>Next note is shorter than anticipation note</t>
        </r>
      </text>
    </comment>
    <comment ref="E166" authorId="1" shapeId="0">
      <text>
        <r>
          <rPr>
            <sz val="9"/>
            <color indexed="81"/>
            <rFont val="Tahoma"/>
            <family val="2"/>
            <charset val="204"/>
          </rPr>
          <t>Anticipation inside counterpoint - not in cadence</t>
        </r>
      </text>
    </comment>
    <comment ref="F166" authorId="1" shapeId="0">
      <text>
        <r>
          <rPr>
            <sz val="9"/>
            <color indexed="81"/>
            <rFont val="Tahoma"/>
            <family val="2"/>
            <charset val="204"/>
          </rPr>
          <t>Anticipation start should not be longer</t>
        </r>
      </text>
    </comment>
    <comment ref="G166" authorId="1" shapeId="0">
      <text>
        <r>
          <rPr>
            <sz val="9"/>
            <color indexed="81"/>
            <rFont val="Tahoma"/>
            <family val="2"/>
            <charset val="204"/>
          </rPr>
          <t>Anticipation ending should not be longer than whole</t>
        </r>
      </text>
    </comment>
    <comment ref="H166" authorId="1" shapeId="0">
      <text>
        <r>
          <rPr>
            <sz val="9"/>
            <color indexed="81"/>
            <rFont val="Tahoma"/>
            <family val="2"/>
            <charset val="204"/>
          </rPr>
          <t>Leap to anticipation note</t>
        </r>
      </text>
    </comment>
    <comment ref="I166" authorId="1" shapeId="0">
      <text>
        <r>
          <rPr>
            <sz val="9"/>
            <color indexed="81"/>
            <rFont val="Tahoma"/>
            <family val="2"/>
            <charset val="204"/>
          </rPr>
          <t>Anticipation should resolve to consonance in next measure</t>
        </r>
      </text>
    </comment>
    <comment ref="E167" authorId="0" shapeId="0">
      <text>
        <r>
          <rPr>
            <sz val="9"/>
            <color indexed="81"/>
            <rFont val="Tahoma"/>
            <family val="2"/>
          </rPr>
          <t>Starting pause in first measure does not equal length of next note</t>
        </r>
      </text>
    </comment>
    <comment ref="F167" authorId="1" shapeId="0">
      <text>
        <r>
          <rPr>
            <sz val="9"/>
            <color indexed="81"/>
            <rFont val="Tahoma"/>
            <family val="2"/>
            <charset val="204"/>
          </rPr>
          <t>Starting measure contains notes/pauses of different length
Allowed exception in sp5: (pause + 1/4 + 1/2 slurred)</t>
        </r>
      </text>
    </comment>
    <comment ref="G167" authorId="0" shapeId="0">
      <text>
        <r>
          <rPr>
            <sz val="9"/>
            <color indexed="81"/>
            <rFont val="Tahoma"/>
            <family val="2"/>
          </rPr>
          <t>Starting pause is longer than 1/2 note</t>
        </r>
      </text>
    </comment>
    <comment ref="H167" authorId="1" shapeId="0">
      <text>
        <r>
          <rPr>
            <sz val="9"/>
            <color indexed="81"/>
            <rFont val="Tahoma"/>
            <family val="2"/>
            <charset val="204"/>
          </rPr>
          <t>1/8 note in the first measure</t>
        </r>
      </text>
    </comment>
    <comment ref="E168" authorId="1" shapeId="0">
      <text>
        <r>
          <rPr>
            <sz val="9"/>
            <color indexed="81"/>
            <rFont val="Tahoma"/>
            <family val="2"/>
            <charset val="204"/>
          </rPr>
          <t>No starting pause in couterpoint voice for species 2-5</t>
        </r>
      </text>
    </comment>
    <comment ref="E169" authorId="0" shapeId="0">
      <text>
        <r>
          <rPr>
            <sz val="9"/>
            <color indexed="81"/>
            <rFont val="Tahoma"/>
            <family val="2"/>
          </rPr>
          <t>Rhythm repeats in neighboring measures, while there are no croches or less than 4 notes in measure</t>
        </r>
      </text>
    </comment>
    <comment ref="E170" authorId="1" shapeId="0">
      <text>
        <r>
          <rPr>
            <sz val="9"/>
            <color indexed="81"/>
            <rFont val="Tahoma"/>
            <family val="2"/>
            <charset val="204"/>
          </rPr>
          <t>Dotted half note on downbeat</t>
        </r>
      </text>
    </comment>
    <comment ref="F170" authorId="1" shapeId="0">
      <text>
        <r>
          <rPr>
            <sz val="9"/>
            <color indexed="81"/>
            <rFont val="Tahoma"/>
            <family val="2"/>
            <charset val="204"/>
          </rPr>
          <t>Dotted half note on upbeat</t>
        </r>
      </text>
    </comment>
    <comment ref="G170" authorId="1" shapeId="0">
      <text>
        <r>
          <rPr>
            <sz val="9"/>
            <color indexed="81"/>
            <rFont val="Tahoma"/>
            <family val="2"/>
            <charset val="204"/>
          </rPr>
          <t>1/4 on beat 2 or 4 is slurred to next note</t>
        </r>
      </text>
    </comment>
    <comment ref="H170" authorId="1" shapeId="0">
      <text>
        <r>
          <rPr>
            <sz val="9"/>
            <color indexed="81"/>
            <rFont val="Tahoma"/>
            <family val="2"/>
            <charset val="204"/>
          </rPr>
          <t>Downbeat whole note inside counterpoint - not first or last note</t>
        </r>
      </text>
    </comment>
    <comment ref="E171" authorId="1" shapeId="0">
      <text>
        <r>
          <rPr>
            <sz val="9"/>
            <color indexed="81"/>
            <rFont val="Tahoma"/>
            <family val="2"/>
            <charset val="204"/>
          </rPr>
          <t>1/8 note on beat 1</t>
        </r>
      </text>
    </comment>
    <comment ref="F171" authorId="1" shapeId="0">
      <text>
        <r>
          <rPr>
            <sz val="9"/>
            <color indexed="81"/>
            <rFont val="Tahoma"/>
            <family val="2"/>
            <charset val="204"/>
          </rPr>
          <t>1/8 note on beat 2</t>
        </r>
      </text>
    </comment>
    <comment ref="G171" authorId="1" shapeId="0">
      <text>
        <r>
          <rPr>
            <sz val="9"/>
            <color indexed="81"/>
            <rFont val="Tahoma"/>
            <family val="2"/>
            <charset val="204"/>
          </rPr>
          <t>1/8 note on beat 3</t>
        </r>
      </text>
    </comment>
    <comment ref="H171" authorId="1" shapeId="0">
      <text>
        <r>
          <rPr>
            <sz val="9"/>
            <color indexed="81"/>
            <rFont val="Tahoma"/>
            <family val="2"/>
            <charset val="204"/>
          </rPr>
          <t>1/8 note on beat 4</t>
        </r>
      </text>
    </comment>
    <comment ref="I171" authorId="0" shapeId="0">
      <text>
        <r>
          <rPr>
            <sz val="9"/>
            <color indexed="81"/>
            <rFont val="Tahoma"/>
            <family val="2"/>
            <charset val="204"/>
          </rPr>
          <t>1/8 note without pairing 1/8</t>
        </r>
      </text>
    </comment>
    <comment ref="J171" authorId="1" shapeId="0">
      <text>
        <r>
          <rPr>
            <sz val="9"/>
            <color indexed="81"/>
            <rFont val="Tahoma"/>
            <family val="2"/>
            <charset val="204"/>
          </rPr>
          <t>1/8 note slurred forward to next beat</t>
        </r>
      </text>
    </comment>
    <comment ref="K171" authorId="1" shapeId="0">
      <text>
        <r>
          <rPr>
            <sz val="9"/>
            <color indexed="81"/>
            <rFont val="Tahoma"/>
            <family val="2"/>
            <charset val="204"/>
          </rPr>
          <t>More than two 1/8 notes in measure</t>
        </r>
      </text>
    </comment>
    <comment ref="L171" authorId="1" shapeId="0">
      <text>
        <r>
          <rPr>
            <sz val="9"/>
            <color indexed="81"/>
            <rFont val="Tahoma"/>
            <family val="2"/>
            <charset val="204"/>
          </rPr>
          <t>Leap from or to 1/8 note</t>
        </r>
      </text>
    </comment>
    <comment ref="E172" authorId="1" shapeId="0">
      <text>
        <r>
          <rPr>
            <sz val="9"/>
            <color indexed="81"/>
            <rFont val="Tahoma"/>
            <family val="2"/>
            <charset val="204"/>
          </rPr>
          <t>Last or next to last measure</t>
        </r>
      </text>
    </comment>
    <comment ref="F172" authorId="1" shapeId="0">
      <text>
        <r>
          <rPr>
            <sz val="9"/>
            <color indexed="81"/>
            <rFont val="Tahoma"/>
            <family val="2"/>
            <charset val="204"/>
          </rPr>
          <t>1/2 is slurred forward</t>
        </r>
      </text>
    </comment>
    <comment ref="G172" authorId="1" shapeId="0">
      <text>
        <r>
          <rPr>
            <sz val="9"/>
            <color indexed="81"/>
            <rFont val="Tahoma"/>
            <family val="2"/>
            <charset val="204"/>
          </rPr>
          <t>First note in measure is slurred to previous measure</t>
        </r>
      </text>
    </comment>
    <comment ref="H172" authorId="1" shapeId="0">
      <text>
        <r>
          <rPr>
            <sz val="9"/>
            <color indexed="81"/>
            <rFont val="Tahoma"/>
            <family val="2"/>
            <charset val="204"/>
          </rPr>
          <t>Before penultimate measure</t>
        </r>
      </text>
    </comment>
    <comment ref="E173" authorId="1" shapeId="0">
      <text>
        <r>
          <rPr>
            <sz val="9"/>
            <color indexed="81"/>
            <rFont val="Tahoma"/>
            <family val="2"/>
            <charset val="204"/>
          </rPr>
          <t>Usually &gt;8/4</t>
        </r>
      </text>
    </comment>
    <comment ref="F173" authorId="1" shapeId="0">
      <text>
        <r>
          <rPr>
            <sz val="9"/>
            <color indexed="81"/>
            <rFont val="Tahoma"/>
            <family val="2"/>
            <charset val="204"/>
          </rPr>
          <t>Usually &gt;2/4 or &gt;4/4</t>
        </r>
      </text>
    </comment>
    <comment ref="G173" authorId="1" shapeId="0">
      <text>
        <r>
          <rPr>
            <sz val="9"/>
            <color indexed="81"/>
            <rFont val="Tahoma"/>
            <family val="2"/>
            <charset val="204"/>
          </rPr>
          <t>Usually &gt;1/4 or &gt;2/4</t>
        </r>
      </text>
    </comment>
    <comment ref="H173" authorId="1" shapeId="0">
      <text>
        <r>
          <rPr>
            <sz val="9"/>
            <color indexed="81"/>
            <rFont val="Tahoma"/>
            <family val="2"/>
            <charset val="204"/>
          </rPr>
          <t>Usually &gt;4/4</t>
        </r>
      </text>
    </comment>
    <comment ref="I173" authorId="1" shapeId="0">
      <text>
        <r>
          <rPr>
            <sz val="9"/>
            <color indexed="81"/>
            <rFont val="Tahoma"/>
            <family val="2"/>
            <charset val="204"/>
          </rPr>
          <t>Usually &gt;6/4</t>
        </r>
      </text>
    </comment>
    <comment ref="E174" authorId="1" shapeId="0">
      <text>
        <r>
          <rPr>
            <sz val="9"/>
            <color indexed="81"/>
            <rFont val="Tahoma"/>
            <family val="2"/>
            <charset val="204"/>
          </rPr>
          <t>Note crosses more than two measures</t>
        </r>
      </text>
    </comment>
    <comment ref="J176" authorId="1" shapeId="0">
      <text>
        <r>
          <rPr>
            <sz val="9"/>
            <color indexed="81"/>
            <rFont val="Tahoma"/>
            <family val="2"/>
            <charset val="204"/>
          </rPr>
          <t>Suspension start should not be longer</t>
        </r>
      </text>
    </comment>
    <comment ref="K176" authorId="1" shapeId="0">
      <text>
        <r>
          <rPr>
            <sz val="9"/>
            <color indexed="81"/>
            <rFont val="Tahoma"/>
            <family val="2"/>
            <charset val="204"/>
          </rPr>
          <t>Suspension finish should not be longer</t>
        </r>
      </text>
    </comment>
    <comment ref="E177" authorId="1" shapeId="0">
      <text>
        <r>
          <rPr>
            <sz val="9"/>
            <color indexed="81"/>
            <rFont val="Tahoma"/>
            <family val="2"/>
            <charset val="204"/>
          </rPr>
          <t>Suspension before N last measures {sp2,3}</t>
        </r>
      </text>
    </comment>
    <comment ref="F177" authorId="1" shapeId="0">
      <text>
        <r>
          <rPr>
            <sz val="9"/>
            <color indexed="81"/>
            <rFont val="Tahoma"/>
            <family val="2"/>
            <charset val="204"/>
          </rPr>
          <t>At least one suspension is needed each X measures {sp5}</t>
        </r>
      </text>
    </comment>
    <comment ref="E178" authorId="1" shapeId="0">
      <text>
        <r>
          <rPr>
            <sz val="9"/>
            <color indexed="81"/>
            <rFont val="Tahoma"/>
            <family val="2"/>
            <charset val="204"/>
          </rPr>
          <t>5 notes in measure only allowed if first note is a suspension from previous measure</t>
        </r>
      </text>
    </comment>
    <comment ref="E179" authorId="0" shapeId="0">
      <text>
        <r>
          <rPr>
            <sz val="9"/>
            <color indexed="81"/>
            <rFont val="Tahoma"/>
            <family val="2"/>
          </rPr>
          <t>{sp3,4,5}</t>
        </r>
      </text>
    </comment>
    <comment ref="F179" authorId="1" shapeId="0">
      <text>
        <r>
          <rPr>
            <sz val="9"/>
            <color indexed="81"/>
            <rFont val="Tahoma"/>
            <family val="2"/>
            <charset val="204"/>
          </rPr>
          <t>Slurs are prohibited in cantus</t>
        </r>
      </text>
    </comment>
    <comment ref="E182" authorId="1" shapeId="0">
      <text>
        <r>
          <rPr>
            <sz val="9"/>
            <color indexed="81"/>
            <rFont val="Tahoma"/>
            <family val="2"/>
            <charset val="204"/>
          </rPr>
          <t>One syncopation is interrupted, resulting in two separate half notes</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F214" authorId="1" shapeId="0">
      <text>
        <r>
          <rPr>
            <sz val="9"/>
            <color indexed="81"/>
            <rFont val="Tahoma"/>
            <family val="2"/>
            <charset val="204"/>
          </rPr>
          <t>Total leaps length more than X notes:
3 is third, 4 is fourth and so on</t>
        </r>
      </text>
    </comment>
    <comment ref="H214" authorId="1" shapeId="0">
      <text>
        <r>
          <rPr>
            <sz val="9"/>
            <color indexed="81"/>
            <rFont val="Tahoma"/>
            <family val="2"/>
            <charset val="204"/>
          </rPr>
          <t>Total leaps length more than X notes:
3 is third, 4 is fourth and so on</t>
        </r>
      </text>
    </comment>
    <comment ref="E216" authorId="1" shapeId="0">
      <text>
        <r>
          <rPr>
            <sz val="9"/>
            <color indexed="81"/>
            <rFont val="Tahoma"/>
            <family val="2"/>
            <charset val="204"/>
          </rPr>
          <t>Two consecutive unidirectional leaps total more than 5th</t>
        </r>
      </text>
    </comment>
    <comment ref="E217" authorId="1" shapeId="0">
      <text>
        <r>
          <rPr>
            <sz val="9"/>
            <color indexed="81"/>
            <rFont val="Tahoma"/>
            <family val="2"/>
            <charset val="204"/>
          </rPr>
          <t>After 6th or 8va leap in an opposite direction</t>
        </r>
      </text>
    </comment>
    <comment ref="F217" authorId="1" shapeId="0">
      <text>
        <r>
          <rPr>
            <sz val="9"/>
            <color indexed="81"/>
            <rFont val="Tahoma"/>
            <family val="2"/>
            <charset val="204"/>
          </rPr>
          <t>There is no 6th or 8va leap before in an opposite direction</t>
        </r>
      </text>
    </comment>
    <comment ref="E219" authorId="1" shapeId="0">
      <text>
        <r>
          <rPr>
            <sz val="9"/>
            <color indexed="81"/>
            <rFont val="Tahoma"/>
            <family val="2"/>
            <charset val="204"/>
          </rPr>
          <t>Perfect 5th is prohibited after tritone</t>
        </r>
      </text>
    </comment>
    <comment ref="F219" authorId="1" shapeId="0">
      <text>
        <r>
          <rPr>
            <sz val="9"/>
            <color indexed="81"/>
            <rFont val="Tahoma"/>
            <family val="2"/>
            <charset val="204"/>
          </rPr>
          <t>Perfect 5th is prohibited after tritone</t>
        </r>
      </text>
    </comment>
    <comment ref="E22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<sst xmlns="http://schemas.openxmlformats.org/spreadsheetml/2006/main" count="4250" uniqueCount="953">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</sst>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1"/>
  <sheetViews>
    <sheetView tabSelected="1" zoomScaleNormal="100" workbookViewId="0">
      <pane ySplit="1" topLeftCell="A129" activePane="bottomLeft" state="frozen"/>
      <selection activeCell="C37" sqref="C37"/>
      <selection pane="bottomLeft" activeCell="E147" sqref="E147"/>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99" t="s">
        <v>32</v>
      </c>
      <c r="F1" s="100"/>
      <c r="G1" s="100"/>
      <c r="H1" s="100"/>
      <c r="I1" s="100"/>
      <c r="J1" s="60"/>
      <c r="K1" s="60"/>
      <c r="L1" s="19" t="s">
        <v>82</v>
      </c>
      <c r="M1" s="60"/>
      <c r="N1" s="61" t="s">
        <v>15</v>
      </c>
      <c r="O1" s="62"/>
      <c r="P1" s="61" t="s">
        <v>55</v>
      </c>
    </row>
    <row r="2" spans="1:24" ht="12.75" customHeight="1" x14ac:dyDescent="0.2">
      <c r="A2" s="110" t="s">
        <v>33</v>
      </c>
      <c r="B2" s="106" t="s">
        <v>326</v>
      </c>
      <c r="C2" s="87" t="s">
        <v>854</v>
      </c>
      <c r="D2" s="3"/>
      <c r="E2" s="51" t="s">
        <v>869</v>
      </c>
      <c r="F2" s="51" t="s">
        <v>867</v>
      </c>
      <c r="G2" s="51" t="s">
        <v>179</v>
      </c>
      <c r="H2" s="3"/>
      <c r="I2" s="3"/>
      <c r="J2" s="3"/>
      <c r="K2" s="3"/>
      <c r="L2" s="3"/>
      <c r="M2" s="10"/>
      <c r="N2" s="19" t="s">
        <v>540</v>
      </c>
      <c r="P2" s="2">
        <v>49</v>
      </c>
      <c r="Q2" s="2">
        <v>90</v>
      </c>
      <c r="R2" s="2">
        <v>33</v>
      </c>
    </row>
    <row r="3" spans="1:24" x14ac:dyDescent="0.2">
      <c r="A3" s="111"/>
      <c r="B3" s="107"/>
      <c r="C3" s="87" t="s">
        <v>56</v>
      </c>
      <c r="D3" s="3"/>
      <c r="E3" s="18" t="s">
        <v>310</v>
      </c>
      <c r="F3" s="18" t="s">
        <v>745</v>
      </c>
      <c r="G3" s="3"/>
      <c r="H3" s="3"/>
      <c r="I3" s="3"/>
      <c r="J3" s="3"/>
      <c r="K3" s="3"/>
      <c r="L3" s="3"/>
      <c r="M3" s="4"/>
      <c r="N3" s="19" t="s">
        <v>540</v>
      </c>
      <c r="P3" s="2">
        <v>14</v>
      </c>
      <c r="Q3" s="2">
        <v>34</v>
      </c>
    </row>
    <row r="4" spans="1:24" x14ac:dyDescent="0.2">
      <c r="A4" s="111"/>
      <c r="B4" s="107"/>
      <c r="C4" s="87" t="s">
        <v>57</v>
      </c>
      <c r="D4" s="3"/>
      <c r="E4" s="18" t="s">
        <v>309</v>
      </c>
      <c r="F4" s="18" t="s">
        <v>681</v>
      </c>
      <c r="G4" s="3"/>
      <c r="H4" s="3"/>
      <c r="I4" s="3"/>
      <c r="J4" s="3"/>
      <c r="K4" s="3"/>
      <c r="L4" s="3"/>
      <c r="M4" s="42"/>
      <c r="N4" s="19" t="s">
        <v>540</v>
      </c>
      <c r="P4" s="2">
        <v>51</v>
      </c>
      <c r="Q4" s="2">
        <v>13</v>
      </c>
    </row>
    <row r="5" spans="1:24" x14ac:dyDescent="0.2">
      <c r="A5" s="111"/>
      <c r="B5" s="107"/>
      <c r="C5" s="87" t="s">
        <v>853</v>
      </c>
      <c r="D5" s="3"/>
      <c r="E5" s="51" t="s">
        <v>308</v>
      </c>
      <c r="F5" s="3"/>
      <c r="G5" s="3"/>
      <c r="H5" s="3"/>
      <c r="I5" s="3"/>
      <c r="J5" s="3"/>
      <c r="K5" s="3"/>
      <c r="L5" s="3"/>
      <c r="M5" s="13"/>
      <c r="N5" s="19" t="s">
        <v>540</v>
      </c>
      <c r="P5" s="23">
        <v>50</v>
      </c>
      <c r="Q5" s="2"/>
      <c r="R5" s="23"/>
    </row>
    <row r="6" spans="1:24" ht="13.5" customHeight="1" x14ac:dyDescent="0.2">
      <c r="A6" s="112"/>
      <c r="B6" s="108"/>
      <c r="C6" s="20" t="s">
        <v>852</v>
      </c>
      <c r="D6" s="3"/>
      <c r="E6" s="52" t="s">
        <v>332</v>
      </c>
      <c r="F6" s="52" t="s">
        <v>331</v>
      </c>
      <c r="G6" s="3"/>
      <c r="H6" s="3"/>
      <c r="I6" s="3"/>
      <c r="J6" s="3"/>
      <c r="K6" s="3"/>
      <c r="L6" s="3"/>
      <c r="M6" s="42"/>
      <c r="N6" s="19"/>
      <c r="P6" s="2">
        <v>52</v>
      </c>
      <c r="Q6" s="2">
        <v>87</v>
      </c>
    </row>
    <row r="7" spans="1:24" ht="15.95" customHeight="1" x14ac:dyDescent="0.2">
      <c r="A7" s="110" t="s">
        <v>31</v>
      </c>
      <c r="B7" s="101" t="s">
        <v>64</v>
      </c>
      <c r="C7" s="20" t="s">
        <v>932</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11"/>
      <c r="B8" s="101"/>
      <c r="C8" s="20" t="s">
        <v>933</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11"/>
      <c r="B9" s="101"/>
      <c r="C9" s="20" t="s">
        <v>933</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11"/>
      <c r="B10" s="101"/>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11"/>
      <c r="B11" s="101"/>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1"/>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1"/>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11"/>
      <c r="B14" s="101" t="s">
        <v>63</v>
      </c>
      <c r="C14" s="20" t="s">
        <v>934</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11"/>
      <c r="B15" s="101"/>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11"/>
      <c r="B16" s="101"/>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1"/>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1" t="s">
        <v>916</v>
      </c>
      <c r="C18" s="87" t="s">
        <v>936</v>
      </c>
      <c r="D18" s="3">
        <v>35</v>
      </c>
      <c r="E18" s="4" t="s">
        <v>2</v>
      </c>
      <c r="F18" s="4" t="s">
        <v>3</v>
      </c>
      <c r="G18" s="4" t="s">
        <v>4</v>
      </c>
      <c r="H18" s="4" t="s">
        <v>41</v>
      </c>
      <c r="I18" s="3"/>
      <c r="J18" s="3"/>
      <c r="K18" s="3"/>
      <c r="L18" s="3"/>
      <c r="M18" s="10"/>
      <c r="N18" s="19" t="s">
        <v>938</v>
      </c>
      <c r="P18" s="2">
        <v>510</v>
      </c>
      <c r="Q18" s="2">
        <v>511</v>
      </c>
      <c r="R18" s="2">
        <v>512</v>
      </c>
      <c r="S18" s="2">
        <v>513</v>
      </c>
      <c r="T18" s="22"/>
      <c r="U18" s="2"/>
      <c r="V18" s="2"/>
      <c r="W18" s="2"/>
      <c r="X18" s="2"/>
    </row>
    <row r="19" spans="1:24" ht="15.95" customHeight="1" x14ac:dyDescent="0.2">
      <c r="A19" s="111"/>
      <c r="B19" s="101"/>
      <c r="C19" s="87" t="s">
        <v>917</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11"/>
      <c r="B20" s="101"/>
      <c r="C20" s="87" t="s">
        <v>918</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11"/>
      <c r="B21" s="101"/>
      <c r="C21" s="87" t="s">
        <v>919</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11"/>
      <c r="B22" s="101"/>
      <c r="C22" s="87" t="s">
        <v>937</v>
      </c>
      <c r="D22" s="3">
        <v>35</v>
      </c>
      <c r="E22" s="4" t="s">
        <v>2</v>
      </c>
      <c r="F22" s="4" t="s">
        <v>3</v>
      </c>
      <c r="G22" s="4" t="s">
        <v>4</v>
      </c>
      <c r="H22" s="4" t="s">
        <v>41</v>
      </c>
      <c r="I22" s="3"/>
      <c r="J22" s="3"/>
      <c r="K22" s="3"/>
      <c r="L22" s="3"/>
      <c r="M22" s="10"/>
      <c r="N22" s="19" t="s">
        <v>939</v>
      </c>
      <c r="P22" s="2">
        <v>506</v>
      </c>
      <c r="Q22" s="2">
        <v>507</v>
      </c>
      <c r="R22" s="2">
        <v>508</v>
      </c>
      <c r="S22" s="2">
        <v>509</v>
      </c>
      <c r="U22" s="2"/>
      <c r="V22" s="2"/>
      <c r="W22" s="2"/>
      <c r="X22" s="2"/>
    </row>
    <row r="23" spans="1:24" ht="15.95" customHeight="1" x14ac:dyDescent="0.2">
      <c r="A23" s="111"/>
      <c r="B23" s="101"/>
      <c r="C23" s="87" t="s">
        <v>920</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11"/>
      <c r="B24" s="101"/>
      <c r="C24" s="87" t="s">
        <v>921</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11"/>
      <c r="B25" s="101"/>
      <c r="C25" s="87" t="s">
        <v>922</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11"/>
      <c r="B26" s="101"/>
      <c r="C26" s="87" t="s">
        <v>923</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11"/>
      <c r="B27" s="101"/>
      <c r="C27" s="87" t="s">
        <v>924</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11"/>
      <c r="B28" s="101"/>
      <c r="C28" s="87" t="s">
        <v>925</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11"/>
      <c r="B29" s="101"/>
      <c r="C29" s="87" t="s">
        <v>935</v>
      </c>
      <c r="D29" s="3">
        <v>35</v>
      </c>
      <c r="E29" s="4" t="s">
        <v>2</v>
      </c>
      <c r="F29" s="4" t="s">
        <v>3</v>
      </c>
      <c r="G29" s="4" t="s">
        <v>4</v>
      </c>
      <c r="H29" s="4" t="s">
        <v>41</v>
      </c>
      <c r="I29" s="3"/>
      <c r="J29" s="3"/>
      <c r="K29" s="3"/>
      <c r="L29" s="3"/>
      <c r="M29" s="4"/>
      <c r="N29" s="19" t="s">
        <v>940</v>
      </c>
      <c r="P29" s="2">
        <v>414</v>
      </c>
      <c r="Q29" s="2">
        <v>415</v>
      </c>
      <c r="R29" s="2">
        <v>416</v>
      </c>
      <c r="S29" s="2">
        <v>417</v>
      </c>
      <c r="U29" s="2"/>
      <c r="V29" s="2"/>
      <c r="W29" s="2"/>
      <c r="X29" s="2"/>
    </row>
    <row r="30" spans="1:24" ht="15.95" customHeight="1" x14ac:dyDescent="0.2">
      <c r="A30" s="111"/>
      <c r="B30" s="101"/>
      <c r="C30" s="87" t="s">
        <v>926</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11"/>
      <c r="B31" s="101"/>
      <c r="C31" s="87" t="s">
        <v>927</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11"/>
      <c r="B32" s="101"/>
      <c r="C32" s="87" t="s">
        <v>928</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11"/>
      <c r="B33" s="101"/>
      <c r="C33" s="87" t="s">
        <v>929</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11"/>
      <c r="B34" s="101"/>
      <c r="C34" s="87" t="s">
        <v>930</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11"/>
      <c r="B35" s="101"/>
      <c r="C35" s="87" t="s">
        <v>931</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11"/>
      <c r="B36" s="101"/>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1" t="s">
        <v>6</v>
      </c>
      <c r="C37" s="87" t="s">
        <v>906</v>
      </c>
      <c r="D37" s="3"/>
      <c r="E37" s="18" t="s">
        <v>905</v>
      </c>
      <c r="F37" s="18" t="s">
        <v>904</v>
      </c>
      <c r="G37" s="89" t="s">
        <v>902</v>
      </c>
      <c r="H37" s="51" t="s">
        <v>903</v>
      </c>
      <c r="I37" s="18" t="s">
        <v>909</v>
      </c>
      <c r="J37" s="51" t="s">
        <v>908</v>
      </c>
      <c r="K37" s="3"/>
      <c r="L37" s="3"/>
      <c r="M37" s="10"/>
      <c r="N37" s="19"/>
      <c r="P37" s="2">
        <v>175</v>
      </c>
      <c r="Q37" s="2">
        <v>176</v>
      </c>
      <c r="R37" s="23">
        <v>177</v>
      </c>
      <c r="S37" s="23">
        <v>178</v>
      </c>
      <c r="T37" s="23">
        <v>179</v>
      </c>
      <c r="U37" s="23">
        <v>180</v>
      </c>
    </row>
    <row r="38" spans="1:24" ht="15.95" customHeight="1" x14ac:dyDescent="0.2">
      <c r="A38" s="111"/>
      <c r="B38" s="101"/>
      <c r="C38" s="87" t="s">
        <v>907</v>
      </c>
      <c r="D38" s="3"/>
      <c r="E38" s="18" t="s">
        <v>905</v>
      </c>
      <c r="F38" s="18" t="s">
        <v>904</v>
      </c>
      <c r="G38" s="89" t="s">
        <v>902</v>
      </c>
      <c r="H38" s="51" t="s">
        <v>903</v>
      </c>
      <c r="I38" s="18" t="s">
        <v>909</v>
      </c>
      <c r="J38" s="51" t="s">
        <v>908</v>
      </c>
      <c r="K38" s="3"/>
      <c r="L38" s="3"/>
      <c r="M38" s="13"/>
      <c r="N38" s="19"/>
      <c r="P38" s="2">
        <v>181</v>
      </c>
      <c r="Q38" s="2">
        <v>182</v>
      </c>
      <c r="R38" s="23">
        <v>183</v>
      </c>
      <c r="S38" s="23">
        <v>184</v>
      </c>
      <c r="T38" s="23">
        <v>185</v>
      </c>
      <c r="U38" s="23">
        <v>186</v>
      </c>
    </row>
    <row r="39" spans="1:24" ht="15.95" customHeight="1" x14ac:dyDescent="0.2">
      <c r="A39" s="111"/>
      <c r="B39" s="101"/>
      <c r="C39" s="95" t="s">
        <v>910</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11"/>
      <c r="B40" s="101"/>
      <c r="C40" s="95" t="s">
        <v>910</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11"/>
      <c r="B41" s="101"/>
      <c r="C41" s="95" t="s">
        <v>910</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11"/>
      <c r="B42" s="101"/>
      <c r="C42" s="95" t="s">
        <v>910</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11"/>
      <c r="B43" s="101"/>
      <c r="C43" s="95" t="s">
        <v>910</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11"/>
      <c r="B44" s="101"/>
      <c r="C44" s="95" t="s">
        <v>910</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11"/>
      <c r="B45" s="101"/>
      <c r="C45" s="95" t="s">
        <v>911</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11"/>
      <c r="B46" s="101"/>
      <c r="C46" s="95" t="s">
        <v>911</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11"/>
      <c r="B47" s="101"/>
      <c r="C47" s="95" t="s">
        <v>911</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11"/>
      <c r="B48" s="101"/>
      <c r="C48" s="95" t="s">
        <v>911</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11"/>
      <c r="B49" s="101"/>
      <c r="C49" s="95" t="s">
        <v>911</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11"/>
      <c r="B50" s="101"/>
      <c r="C50" s="95" t="s">
        <v>911</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11"/>
      <c r="B51" s="101"/>
      <c r="C51" s="20" t="s">
        <v>449</v>
      </c>
      <c r="D51" s="3">
        <v>120</v>
      </c>
      <c r="E51" s="90">
        <v>3</v>
      </c>
      <c r="F51" s="49" t="s">
        <v>914</v>
      </c>
      <c r="G51" s="3"/>
      <c r="H51" s="3"/>
      <c r="I51" s="3"/>
      <c r="J51" s="3"/>
      <c r="K51" s="3"/>
      <c r="L51" s="3"/>
      <c r="M51" s="13"/>
      <c r="N51" s="41" t="s">
        <v>665</v>
      </c>
      <c r="P51" s="2">
        <v>501</v>
      </c>
      <c r="Q51" s="2">
        <v>502</v>
      </c>
      <c r="R51" s="23"/>
      <c r="S51" s="23"/>
      <c r="T51" s="23"/>
      <c r="U51" s="23"/>
    </row>
    <row r="52" spans="1:21" ht="15.95" customHeight="1" x14ac:dyDescent="0.2">
      <c r="A52" s="111"/>
      <c r="B52" s="101"/>
      <c r="C52" s="20" t="s">
        <v>449</v>
      </c>
      <c r="D52" s="3">
        <v>34</v>
      </c>
      <c r="E52" s="90">
        <v>3</v>
      </c>
      <c r="F52" s="49" t="s">
        <v>914</v>
      </c>
      <c r="G52" s="3"/>
      <c r="H52" s="3"/>
      <c r="I52" s="3"/>
      <c r="J52" s="3"/>
      <c r="K52" s="3"/>
      <c r="L52" s="3"/>
      <c r="M52" s="13"/>
      <c r="N52" s="41" t="s">
        <v>647</v>
      </c>
      <c r="P52" s="2">
        <v>501</v>
      </c>
      <c r="Q52" s="2">
        <v>502</v>
      </c>
      <c r="R52" s="23"/>
      <c r="S52" s="23"/>
      <c r="T52" s="23"/>
      <c r="U52" s="23"/>
    </row>
    <row r="53" spans="1:21" ht="15.95" customHeight="1" x14ac:dyDescent="0.2">
      <c r="A53" s="111"/>
      <c r="B53" s="101"/>
      <c r="C53" s="20" t="s">
        <v>449</v>
      </c>
      <c r="D53" s="3">
        <v>5</v>
      </c>
      <c r="E53" s="90">
        <v>4</v>
      </c>
      <c r="F53" s="49" t="s">
        <v>915</v>
      </c>
      <c r="G53" s="3"/>
      <c r="H53" s="3"/>
      <c r="I53" s="3"/>
      <c r="J53" s="3"/>
      <c r="K53" s="3"/>
      <c r="L53" s="3"/>
      <c r="M53" s="13"/>
      <c r="N53" s="41" t="s">
        <v>647</v>
      </c>
      <c r="P53" s="2">
        <v>501</v>
      </c>
      <c r="Q53" s="2">
        <v>502</v>
      </c>
      <c r="R53" s="23"/>
      <c r="S53" s="23"/>
      <c r="T53" s="23"/>
      <c r="U53" s="23"/>
    </row>
    <row r="54" spans="1:21" ht="15.95" customHeight="1" x14ac:dyDescent="0.2">
      <c r="A54" s="111"/>
      <c r="B54" s="101"/>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11"/>
      <c r="B55" s="101"/>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11"/>
      <c r="B56" s="106" t="s">
        <v>234</v>
      </c>
      <c r="C56" s="87" t="s">
        <v>912</v>
      </c>
      <c r="D56" s="3">
        <v>0</v>
      </c>
      <c r="E56" s="102" t="s">
        <v>882</v>
      </c>
      <c r="F56" s="103"/>
      <c r="G56" s="102" t="s">
        <v>883</v>
      </c>
      <c r="H56" s="103"/>
      <c r="I56" s="3"/>
      <c r="J56" s="3"/>
      <c r="K56" s="3"/>
      <c r="L56" s="3"/>
      <c r="M56" s="42"/>
      <c r="N56" s="19" t="s">
        <v>519</v>
      </c>
      <c r="P56" s="2">
        <v>4</v>
      </c>
      <c r="R56" s="2">
        <v>5</v>
      </c>
    </row>
    <row r="57" spans="1:21" ht="15.95" customHeight="1" x14ac:dyDescent="0.2">
      <c r="A57" s="111"/>
      <c r="B57" s="107"/>
      <c r="C57" s="87" t="s">
        <v>912</v>
      </c>
      <c r="D57" s="3">
        <v>14</v>
      </c>
      <c r="E57" s="104" t="s">
        <v>885</v>
      </c>
      <c r="F57" s="105"/>
      <c r="G57" s="3"/>
      <c r="H57" s="3"/>
      <c r="I57" s="3"/>
      <c r="J57" s="3"/>
      <c r="K57" s="3"/>
      <c r="L57" s="3"/>
      <c r="M57" s="42"/>
      <c r="N57" s="19"/>
      <c r="P57" s="2">
        <v>302</v>
      </c>
      <c r="R57" s="2"/>
    </row>
    <row r="58" spans="1:21" ht="15.95" customHeight="1" x14ac:dyDescent="0.2">
      <c r="A58" s="111"/>
      <c r="B58" s="107"/>
      <c r="C58" s="87" t="s">
        <v>912</v>
      </c>
      <c r="D58" s="3">
        <v>2</v>
      </c>
      <c r="E58" s="104" t="s">
        <v>886</v>
      </c>
      <c r="F58" s="105"/>
      <c r="G58" s="3"/>
      <c r="H58" s="3"/>
      <c r="I58" s="3"/>
      <c r="J58" s="3"/>
      <c r="K58" s="3"/>
      <c r="L58" s="3"/>
      <c r="M58" s="42"/>
      <c r="N58" s="19"/>
      <c r="P58" s="2">
        <v>302</v>
      </c>
      <c r="R58" s="2"/>
    </row>
    <row r="59" spans="1:21" ht="15.95" customHeight="1" x14ac:dyDescent="0.2">
      <c r="A59" s="111"/>
      <c r="B59" s="107"/>
      <c r="C59" s="87" t="s">
        <v>912</v>
      </c>
      <c r="D59" s="3">
        <v>35</v>
      </c>
      <c r="E59" s="104" t="s">
        <v>881</v>
      </c>
      <c r="F59" s="105"/>
      <c r="G59" s="3"/>
      <c r="H59" s="3"/>
      <c r="I59" s="3"/>
      <c r="J59" s="3"/>
      <c r="K59" s="3"/>
      <c r="L59" s="3"/>
      <c r="M59" s="42"/>
      <c r="N59" s="19"/>
      <c r="P59" s="2">
        <v>302</v>
      </c>
      <c r="R59" s="2"/>
    </row>
    <row r="60" spans="1:21" ht="15.95" customHeight="1" x14ac:dyDescent="0.2">
      <c r="A60" s="111"/>
      <c r="B60" s="107"/>
      <c r="C60" s="87" t="s">
        <v>913</v>
      </c>
      <c r="D60" s="3">
        <v>14</v>
      </c>
      <c r="E60" s="104" t="s">
        <v>884</v>
      </c>
      <c r="F60" s="105"/>
      <c r="G60" s="3"/>
      <c r="H60" s="3"/>
      <c r="I60" s="3"/>
      <c r="J60" s="3"/>
      <c r="K60" s="3"/>
      <c r="L60" s="3"/>
      <c r="M60" s="10"/>
      <c r="N60" s="19"/>
      <c r="P60" s="2">
        <v>303</v>
      </c>
    </row>
    <row r="61" spans="1:21" ht="15.95" customHeight="1" x14ac:dyDescent="0.2">
      <c r="A61" s="111"/>
      <c r="B61" s="107"/>
      <c r="C61" s="87" t="s">
        <v>913</v>
      </c>
      <c r="D61" s="3">
        <v>2</v>
      </c>
      <c r="E61" s="104" t="s">
        <v>884</v>
      </c>
      <c r="F61" s="105"/>
      <c r="G61" s="3"/>
      <c r="H61" s="3"/>
      <c r="I61" s="3"/>
      <c r="J61" s="3"/>
      <c r="K61" s="3"/>
      <c r="L61" s="3"/>
      <c r="M61" s="10"/>
      <c r="N61" s="19"/>
      <c r="P61" s="2">
        <v>303</v>
      </c>
    </row>
    <row r="62" spans="1:21" ht="15.95" customHeight="1" x14ac:dyDescent="0.2">
      <c r="A62" s="111"/>
      <c r="B62" s="108"/>
      <c r="C62" s="87" t="s">
        <v>913</v>
      </c>
      <c r="D62" s="3">
        <v>35</v>
      </c>
      <c r="E62" s="104" t="s">
        <v>884</v>
      </c>
      <c r="F62" s="105"/>
      <c r="G62" s="3"/>
      <c r="H62" s="3"/>
      <c r="I62" s="3"/>
      <c r="J62" s="3"/>
      <c r="K62" s="3"/>
      <c r="L62" s="3"/>
      <c r="M62" s="10"/>
      <c r="N62" s="19"/>
      <c r="P62" s="2">
        <v>303</v>
      </c>
    </row>
    <row r="63" spans="1:21" ht="15.95" customHeight="1" x14ac:dyDescent="0.2">
      <c r="A63" s="111"/>
      <c r="B63" s="106" t="s">
        <v>887</v>
      </c>
      <c r="C63" s="87" t="s">
        <v>870</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11"/>
      <c r="B64" s="107"/>
      <c r="C64" s="87" t="s">
        <v>870</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11"/>
      <c r="B65" s="107"/>
      <c r="C65" s="87" t="s">
        <v>870</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11"/>
      <c r="B66" s="107"/>
      <c r="C66" s="87" t="s">
        <v>871</v>
      </c>
      <c r="D66" s="3">
        <v>23</v>
      </c>
      <c r="E66" s="89" t="s">
        <v>247</v>
      </c>
      <c r="F66" s="89" t="s">
        <v>245</v>
      </c>
      <c r="G66" s="52" t="s">
        <v>246</v>
      </c>
      <c r="H66" s="3"/>
      <c r="I66" s="3"/>
      <c r="J66" s="3"/>
      <c r="K66" s="3"/>
      <c r="L66" s="3"/>
      <c r="M66" s="10"/>
      <c r="N66" s="19" t="s">
        <v>862</v>
      </c>
      <c r="P66" s="1">
        <v>411</v>
      </c>
      <c r="Q66" s="1">
        <v>412</v>
      </c>
      <c r="R66" s="1">
        <v>413</v>
      </c>
    </row>
    <row r="67" spans="1:22" ht="15.95" customHeight="1" x14ac:dyDescent="0.2">
      <c r="A67" s="111"/>
      <c r="B67" s="107"/>
      <c r="C67" s="87" t="s">
        <v>870</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11"/>
      <c r="B68" s="107"/>
      <c r="C68" s="87" t="s">
        <v>871</v>
      </c>
      <c r="D68" s="3">
        <v>5</v>
      </c>
      <c r="E68" s="89" t="s">
        <v>247</v>
      </c>
      <c r="F68" s="89" t="s">
        <v>245</v>
      </c>
      <c r="G68" s="52" t="s">
        <v>246</v>
      </c>
      <c r="H68" s="3"/>
      <c r="I68" s="3"/>
      <c r="J68" s="3"/>
      <c r="K68" s="3"/>
      <c r="L68" s="3"/>
      <c r="M68" s="13"/>
      <c r="N68" s="19" t="s">
        <v>862</v>
      </c>
      <c r="P68" s="1">
        <v>411</v>
      </c>
      <c r="Q68" s="1">
        <v>412</v>
      </c>
      <c r="R68" s="1">
        <v>413</v>
      </c>
    </row>
    <row r="69" spans="1:22" ht="15.95" customHeight="1" x14ac:dyDescent="0.2">
      <c r="A69" s="111"/>
      <c r="B69" s="107"/>
      <c r="C69" s="20" t="s">
        <v>872</v>
      </c>
      <c r="D69" s="3"/>
      <c r="E69" s="52" t="s">
        <v>876</v>
      </c>
      <c r="F69" s="52" t="s">
        <v>877</v>
      </c>
      <c r="G69" s="3"/>
      <c r="H69" s="3"/>
      <c r="I69" s="3"/>
      <c r="J69" s="3"/>
      <c r="K69" s="3"/>
      <c r="L69" s="3"/>
      <c r="M69" s="42"/>
      <c r="N69" s="19" t="s">
        <v>671</v>
      </c>
      <c r="P69" s="2">
        <v>311</v>
      </c>
      <c r="Q69" s="2">
        <v>405</v>
      </c>
      <c r="S69" s="2"/>
      <c r="T69" s="2"/>
    </row>
    <row r="70" spans="1:22" ht="15.95" customHeight="1" x14ac:dyDescent="0.2">
      <c r="A70" s="111"/>
      <c r="B70" s="107"/>
      <c r="C70" s="20" t="s">
        <v>873</v>
      </c>
      <c r="D70" s="3"/>
      <c r="E70" s="89" t="s">
        <v>876</v>
      </c>
      <c r="F70" s="89" t="s">
        <v>877</v>
      </c>
      <c r="G70" s="3"/>
      <c r="H70" s="3"/>
      <c r="I70" s="3"/>
      <c r="J70" s="3"/>
      <c r="K70" s="3"/>
      <c r="L70" s="3"/>
      <c r="M70" s="42"/>
      <c r="N70" s="19" t="s">
        <v>671</v>
      </c>
      <c r="P70" s="2">
        <v>313</v>
      </c>
      <c r="Q70" s="2">
        <v>407</v>
      </c>
      <c r="S70" s="2"/>
      <c r="T70" s="2"/>
    </row>
    <row r="71" spans="1:22" ht="15.95" customHeight="1" x14ac:dyDescent="0.2">
      <c r="A71" s="111"/>
      <c r="B71" s="107"/>
      <c r="C71" s="20" t="s">
        <v>874</v>
      </c>
      <c r="D71" s="3"/>
      <c r="E71" s="52" t="s">
        <v>876</v>
      </c>
      <c r="F71" s="52" t="s">
        <v>877</v>
      </c>
      <c r="G71" s="3"/>
      <c r="H71" s="3"/>
      <c r="I71" s="3"/>
      <c r="J71" s="3"/>
      <c r="K71" s="3"/>
      <c r="L71" s="3"/>
      <c r="M71" s="42"/>
      <c r="N71" s="19" t="s">
        <v>671</v>
      </c>
      <c r="P71" s="2">
        <v>312</v>
      </c>
      <c r="Q71" s="2">
        <v>406</v>
      </c>
      <c r="T71" s="2"/>
    </row>
    <row r="72" spans="1:22" ht="15.95" customHeight="1" x14ac:dyDescent="0.2">
      <c r="A72" s="111"/>
      <c r="B72" s="107"/>
      <c r="C72" s="20" t="s">
        <v>875</v>
      </c>
      <c r="D72" s="3"/>
      <c r="E72" s="89" t="s">
        <v>876</v>
      </c>
      <c r="F72" s="89" t="s">
        <v>877</v>
      </c>
      <c r="G72" s="3"/>
      <c r="H72" s="3"/>
      <c r="I72" s="3"/>
      <c r="J72" s="3"/>
      <c r="K72" s="3"/>
      <c r="L72" s="3"/>
      <c r="M72" s="42"/>
      <c r="N72" s="19" t="s">
        <v>671</v>
      </c>
      <c r="P72" s="2">
        <v>314</v>
      </c>
      <c r="Q72" s="2">
        <v>408</v>
      </c>
      <c r="T72" s="2"/>
    </row>
    <row r="73" spans="1:22" ht="15.95" customHeight="1" x14ac:dyDescent="0.2">
      <c r="A73" s="111"/>
      <c r="B73" s="107"/>
      <c r="C73" s="20" t="s">
        <v>863</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7"/>
      <c r="C74" s="20" t="s">
        <v>864</v>
      </c>
      <c r="D74" s="3"/>
      <c r="E74" s="55" t="s">
        <v>865</v>
      </c>
      <c r="F74" s="56" t="s">
        <v>866</v>
      </c>
      <c r="G74" s="3"/>
      <c r="H74" s="3"/>
      <c r="I74" s="3"/>
      <c r="J74" s="3"/>
      <c r="K74" s="3"/>
      <c r="L74" s="3"/>
      <c r="M74" s="4"/>
      <c r="N74" s="19"/>
      <c r="P74" s="2">
        <v>305</v>
      </c>
      <c r="Q74" s="2">
        <v>12</v>
      </c>
      <c r="R74" s="2"/>
      <c r="S74" s="2"/>
      <c r="T74" s="2"/>
      <c r="U74" s="2"/>
      <c r="V74" s="2"/>
    </row>
    <row r="75" spans="1:22" ht="15.95" customHeight="1" x14ac:dyDescent="0.2">
      <c r="A75" s="111"/>
      <c r="B75" s="107"/>
      <c r="C75" s="20" t="s">
        <v>878</v>
      </c>
      <c r="D75" s="3"/>
      <c r="E75" s="90" t="s">
        <v>686</v>
      </c>
      <c r="F75" s="90" t="s">
        <v>687</v>
      </c>
      <c r="G75" s="3"/>
      <c r="H75" s="3"/>
      <c r="I75" s="3"/>
      <c r="J75" s="3"/>
      <c r="K75" s="3"/>
      <c r="L75" s="3"/>
      <c r="M75" s="10"/>
      <c r="N75" s="19" t="s">
        <v>522</v>
      </c>
      <c r="P75" s="2">
        <v>70</v>
      </c>
      <c r="Q75" s="2">
        <v>71</v>
      </c>
      <c r="R75" s="2"/>
      <c r="S75" s="2"/>
    </row>
    <row r="76" spans="1:22" ht="15.95" customHeight="1" x14ac:dyDescent="0.2">
      <c r="A76" s="111"/>
      <c r="B76" s="107"/>
      <c r="C76" s="20" t="s">
        <v>880</v>
      </c>
      <c r="D76" s="3"/>
      <c r="E76" s="90" t="s">
        <v>738</v>
      </c>
      <c r="F76" s="3"/>
      <c r="G76" s="3"/>
      <c r="H76" s="3"/>
      <c r="I76" s="3"/>
      <c r="J76" s="3"/>
      <c r="K76" s="3"/>
      <c r="L76" s="3"/>
      <c r="M76" s="10"/>
      <c r="N76" s="19"/>
      <c r="P76" s="2">
        <v>348</v>
      </c>
      <c r="Q76" s="2"/>
      <c r="R76" s="2"/>
      <c r="S76" s="2"/>
    </row>
    <row r="77" spans="1:22" ht="15.95" customHeight="1" x14ac:dyDescent="0.2">
      <c r="A77" s="111"/>
      <c r="B77" s="107"/>
      <c r="C77" s="96" t="s">
        <v>879</v>
      </c>
      <c r="D77" s="3"/>
      <c r="E77" s="18" t="s">
        <v>218</v>
      </c>
      <c r="F77" s="90" t="s">
        <v>217</v>
      </c>
      <c r="H77" s="3"/>
      <c r="I77" s="3"/>
      <c r="J77" s="3"/>
      <c r="K77" s="3"/>
      <c r="L77" s="3"/>
      <c r="M77" s="13"/>
      <c r="N77" s="19" t="s">
        <v>523</v>
      </c>
      <c r="P77" s="2">
        <v>10</v>
      </c>
      <c r="Q77" s="2">
        <v>39</v>
      </c>
    </row>
    <row r="78" spans="1:22" ht="15.95" customHeight="1" x14ac:dyDescent="0.2">
      <c r="A78" s="111"/>
      <c r="B78" s="108"/>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6" t="s">
        <v>11</v>
      </c>
      <c r="C79" s="87" t="s">
        <v>610</v>
      </c>
      <c r="D79" s="3">
        <v>10</v>
      </c>
      <c r="E79" s="89" t="s">
        <v>861</v>
      </c>
      <c r="F79" s="51" t="s">
        <v>757</v>
      </c>
      <c r="G79" s="52" t="s">
        <v>16</v>
      </c>
      <c r="H79" s="3"/>
      <c r="I79" s="3"/>
      <c r="J79" s="3"/>
      <c r="K79" s="3"/>
      <c r="L79" s="3"/>
      <c r="M79" s="4"/>
      <c r="N79" s="19" t="s">
        <v>348</v>
      </c>
      <c r="P79" s="2">
        <v>2</v>
      </c>
      <c r="Q79" s="2">
        <v>31</v>
      </c>
      <c r="R79" s="2">
        <v>32</v>
      </c>
      <c r="S79" s="2"/>
      <c r="T79" s="2"/>
      <c r="U79" s="2"/>
    </row>
    <row r="80" spans="1:22" ht="15.95" customHeight="1" x14ac:dyDescent="0.2">
      <c r="A80" s="111"/>
      <c r="B80" s="107"/>
      <c r="C80" s="87" t="s">
        <v>613</v>
      </c>
      <c r="D80" s="3">
        <v>10</v>
      </c>
      <c r="E80" s="52" t="s">
        <v>861</v>
      </c>
      <c r="F80" s="89" t="s">
        <v>757</v>
      </c>
      <c r="G80" s="52" t="s">
        <v>16</v>
      </c>
      <c r="H80" s="46"/>
      <c r="I80" s="3"/>
      <c r="J80" s="3"/>
      <c r="K80" s="3"/>
      <c r="L80" s="3"/>
      <c r="M80" s="42"/>
      <c r="N80" s="19" t="s">
        <v>693</v>
      </c>
      <c r="P80" s="2">
        <v>371</v>
      </c>
      <c r="Q80" s="2">
        <v>372</v>
      </c>
      <c r="R80" s="2">
        <v>373</v>
      </c>
      <c r="S80" s="2"/>
    </row>
    <row r="81" spans="1:24" ht="15.95" customHeight="1" x14ac:dyDescent="0.2">
      <c r="A81" s="111"/>
      <c r="B81" s="107"/>
      <c r="C81" s="87" t="s">
        <v>610</v>
      </c>
      <c r="D81" s="3">
        <v>2345</v>
      </c>
      <c r="E81" s="89" t="s">
        <v>861</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11"/>
      <c r="B82" s="107"/>
      <c r="C82" s="87" t="s">
        <v>611</v>
      </c>
      <c r="D82" s="3">
        <v>2345</v>
      </c>
      <c r="E82" s="89" t="s">
        <v>861</v>
      </c>
      <c r="F82" s="51" t="s">
        <v>757</v>
      </c>
      <c r="G82" s="52" t="s">
        <v>16</v>
      </c>
      <c r="H82" s="3"/>
      <c r="I82" s="3"/>
      <c r="J82" s="3"/>
      <c r="K82" s="3"/>
      <c r="L82" s="3"/>
      <c r="M82" s="4"/>
      <c r="N82" s="19" t="s">
        <v>691</v>
      </c>
      <c r="P82" s="2">
        <v>365</v>
      </c>
      <c r="Q82" s="2">
        <v>366</v>
      </c>
      <c r="R82" s="2">
        <v>367</v>
      </c>
    </row>
    <row r="83" spans="1:24" ht="15.95" customHeight="1" x14ac:dyDescent="0.2">
      <c r="A83" s="111"/>
      <c r="B83" s="107"/>
      <c r="C83" s="87" t="s">
        <v>612</v>
      </c>
      <c r="D83" s="3">
        <v>2345</v>
      </c>
      <c r="E83" s="89" t="s">
        <v>861</v>
      </c>
      <c r="F83" s="51" t="s">
        <v>757</v>
      </c>
      <c r="G83" s="52" t="s">
        <v>16</v>
      </c>
      <c r="H83" s="3"/>
      <c r="I83" s="3"/>
      <c r="J83" s="3"/>
      <c r="K83" s="3"/>
      <c r="L83" s="3"/>
      <c r="M83" s="4"/>
      <c r="N83" s="19" t="s">
        <v>692</v>
      </c>
      <c r="P83" s="2">
        <v>360</v>
      </c>
      <c r="Q83" s="2">
        <v>361</v>
      </c>
      <c r="R83" s="2">
        <v>362</v>
      </c>
    </row>
    <row r="84" spans="1:24" ht="15.95" customHeight="1" x14ac:dyDescent="0.2">
      <c r="A84" s="111"/>
      <c r="B84" s="107"/>
      <c r="C84" s="87" t="s">
        <v>613</v>
      </c>
      <c r="D84" s="3">
        <v>2345</v>
      </c>
      <c r="E84" s="52" t="s">
        <v>861</v>
      </c>
      <c r="F84" s="89" t="s">
        <v>757</v>
      </c>
      <c r="G84" s="52" t="s">
        <v>16</v>
      </c>
      <c r="H84" s="46"/>
      <c r="I84" s="3"/>
      <c r="J84" s="3"/>
      <c r="K84" s="3"/>
      <c r="L84" s="3"/>
      <c r="M84" s="42"/>
      <c r="N84" s="19" t="s">
        <v>324</v>
      </c>
      <c r="P84" s="2">
        <v>18</v>
      </c>
      <c r="Q84" s="2">
        <v>19</v>
      </c>
      <c r="R84" s="2">
        <v>363</v>
      </c>
      <c r="S84" s="2"/>
    </row>
    <row r="85" spans="1:24" ht="15.95" customHeight="1" x14ac:dyDescent="0.2">
      <c r="A85" s="111"/>
      <c r="B85" s="108"/>
      <c r="C85" s="87" t="s">
        <v>614</v>
      </c>
      <c r="D85" s="3">
        <v>2345</v>
      </c>
      <c r="E85" s="52" t="s">
        <v>861</v>
      </c>
      <c r="F85" s="89" t="s">
        <v>757</v>
      </c>
      <c r="G85" s="52" t="s">
        <v>16</v>
      </c>
      <c r="H85" s="46"/>
      <c r="I85" s="3"/>
      <c r="J85" s="3"/>
      <c r="K85" s="3"/>
      <c r="L85" s="3"/>
      <c r="M85" s="42"/>
      <c r="N85" s="19" t="s">
        <v>325</v>
      </c>
      <c r="P85" s="2">
        <v>342</v>
      </c>
      <c r="Q85" s="2">
        <v>343</v>
      </c>
      <c r="R85" s="2">
        <v>364</v>
      </c>
      <c r="S85" s="2"/>
    </row>
    <row r="86" spans="1:24" ht="15.95" customHeight="1" x14ac:dyDescent="0.2">
      <c r="A86" s="111"/>
      <c r="B86" s="106"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11"/>
      <c r="B87" s="107"/>
      <c r="C87" s="87" t="s">
        <v>856</v>
      </c>
      <c r="D87" s="3"/>
      <c r="E87" s="50" t="s">
        <v>97</v>
      </c>
      <c r="F87" s="3"/>
      <c r="G87" s="3"/>
      <c r="H87" s="3"/>
      <c r="I87" s="3"/>
      <c r="J87" s="3"/>
      <c r="K87" s="3"/>
      <c r="L87" s="3"/>
      <c r="M87" s="13"/>
      <c r="N87" s="19"/>
      <c r="P87" s="2">
        <v>38</v>
      </c>
    </row>
    <row r="88" spans="1:24" ht="15.95" customHeight="1" x14ac:dyDescent="0.2">
      <c r="A88" s="111"/>
      <c r="B88" s="107"/>
      <c r="C88" s="87" t="s">
        <v>857</v>
      </c>
      <c r="D88" s="3"/>
      <c r="E88" s="50" t="s">
        <v>223</v>
      </c>
      <c r="F88" s="3"/>
      <c r="G88" s="3"/>
      <c r="H88" s="3"/>
      <c r="I88" s="3"/>
      <c r="J88" s="3"/>
      <c r="K88" s="3"/>
      <c r="L88" s="3"/>
      <c r="M88" s="10"/>
      <c r="N88" s="19"/>
      <c r="P88" s="2">
        <v>37</v>
      </c>
      <c r="Q88" s="2"/>
      <c r="R88" s="2"/>
      <c r="S88" s="22"/>
    </row>
    <row r="89" spans="1:24" ht="15.95" customHeight="1" x14ac:dyDescent="0.2">
      <c r="A89" s="111"/>
      <c r="B89" s="107"/>
      <c r="C89" s="87" t="s">
        <v>858</v>
      </c>
      <c r="D89" s="3"/>
      <c r="E89" s="91" t="s">
        <v>855</v>
      </c>
      <c r="F89" s="3"/>
      <c r="G89" s="3"/>
      <c r="H89" s="3"/>
      <c r="I89" s="3"/>
      <c r="J89" s="3"/>
      <c r="K89" s="3"/>
      <c r="L89" s="3"/>
      <c r="M89" s="13"/>
      <c r="N89" s="19"/>
      <c r="P89" s="2">
        <v>304</v>
      </c>
      <c r="R89" s="2"/>
    </row>
    <row r="90" spans="1:24" ht="15.95" customHeight="1" x14ac:dyDescent="0.2">
      <c r="A90" s="111"/>
      <c r="B90" s="107"/>
      <c r="C90" s="87" t="s">
        <v>859</v>
      </c>
      <c r="D90" s="3"/>
      <c r="E90" s="50" t="s">
        <v>114</v>
      </c>
      <c r="F90" s="3"/>
      <c r="G90" s="3"/>
      <c r="H90" s="3"/>
      <c r="I90" s="3"/>
      <c r="J90" s="3"/>
      <c r="K90" s="3"/>
      <c r="L90" s="3"/>
      <c r="M90" s="13"/>
      <c r="N90" s="19"/>
      <c r="P90" s="2">
        <v>7</v>
      </c>
      <c r="Q90" s="2"/>
      <c r="R90" s="2"/>
    </row>
    <row r="91" spans="1:24" ht="15.95" customHeight="1" x14ac:dyDescent="0.2">
      <c r="A91" s="111"/>
      <c r="B91" s="107"/>
      <c r="C91" s="87" t="s">
        <v>860</v>
      </c>
      <c r="D91" s="3"/>
      <c r="E91" s="50" t="s">
        <v>451</v>
      </c>
      <c r="F91" s="3"/>
      <c r="G91" s="3"/>
      <c r="H91" s="3"/>
      <c r="I91" s="3"/>
      <c r="J91" s="3"/>
      <c r="K91" s="3"/>
      <c r="L91" s="3"/>
      <c r="M91" s="13"/>
      <c r="N91" s="19"/>
      <c r="P91" s="22">
        <v>11</v>
      </c>
      <c r="Q91" s="2"/>
      <c r="R91" s="2"/>
      <c r="S91" s="2"/>
      <c r="T91" s="22"/>
    </row>
    <row r="92" spans="1:24" ht="15.95" customHeight="1" x14ac:dyDescent="0.2">
      <c r="A92" s="111"/>
      <c r="B92" s="107"/>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7"/>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7"/>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7"/>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7"/>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7"/>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8"/>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11"/>
      <c r="B99" s="106" t="s">
        <v>46</v>
      </c>
      <c r="C99" s="87" t="s">
        <v>848</v>
      </c>
      <c r="D99" s="3"/>
      <c r="E99" s="89" t="s">
        <v>849</v>
      </c>
      <c r="F99" s="52" t="s">
        <v>94</v>
      </c>
      <c r="G99" s="3"/>
      <c r="H99" s="3"/>
      <c r="I99" s="3"/>
      <c r="J99" s="3"/>
      <c r="K99" s="3"/>
      <c r="L99" s="3"/>
      <c r="M99" s="10"/>
      <c r="N99" s="19"/>
      <c r="P99" s="2">
        <v>74</v>
      </c>
      <c r="Q99" s="2">
        <v>200</v>
      </c>
    </row>
    <row r="100" spans="1:24" ht="14.25" customHeight="1" x14ac:dyDescent="0.2">
      <c r="A100" s="111"/>
      <c r="B100" s="107"/>
      <c r="C100" s="20" t="s">
        <v>850</v>
      </c>
      <c r="D100" s="3"/>
      <c r="E100" s="52" t="s">
        <v>300</v>
      </c>
      <c r="F100" s="52" t="s">
        <v>299</v>
      </c>
      <c r="G100" s="3"/>
      <c r="H100" s="3"/>
      <c r="I100" s="3"/>
      <c r="J100" s="3"/>
      <c r="K100" s="3"/>
      <c r="L100" s="3"/>
      <c r="M100" s="13"/>
      <c r="N100" s="19"/>
      <c r="P100" s="2">
        <v>349</v>
      </c>
      <c r="Q100" s="2">
        <v>350</v>
      </c>
    </row>
    <row r="101" spans="1:24" x14ac:dyDescent="0.2">
      <c r="A101" s="111"/>
      <c r="B101" s="107"/>
      <c r="C101" s="87" t="s">
        <v>851</v>
      </c>
      <c r="D101" s="3"/>
      <c r="E101" s="52" t="s">
        <v>297</v>
      </c>
      <c r="F101" s="3"/>
      <c r="G101" s="3"/>
      <c r="H101" s="3"/>
      <c r="I101" s="3"/>
      <c r="J101" s="3"/>
      <c r="K101" s="3"/>
      <c r="L101" s="3"/>
      <c r="M101" s="13"/>
      <c r="N101" s="19" t="s">
        <v>549</v>
      </c>
      <c r="P101" s="2">
        <v>199</v>
      </c>
      <c r="Q101" s="2"/>
    </row>
    <row r="102" spans="1:24" x14ac:dyDescent="0.2">
      <c r="A102" s="111"/>
      <c r="B102" s="107"/>
      <c r="C102" s="97" t="s">
        <v>675</v>
      </c>
      <c r="D102" s="3">
        <v>12350</v>
      </c>
      <c r="E102" s="52" t="s">
        <v>674</v>
      </c>
      <c r="F102" s="3"/>
      <c r="G102" s="3"/>
      <c r="H102" s="3"/>
      <c r="I102" s="3"/>
      <c r="J102" s="3"/>
      <c r="K102" s="3"/>
      <c r="L102" s="3"/>
      <c r="M102" s="4"/>
      <c r="N102" s="19" t="s">
        <v>679</v>
      </c>
      <c r="P102" s="2">
        <v>201</v>
      </c>
    </row>
    <row r="103" spans="1:24" x14ac:dyDescent="0.2">
      <c r="A103" s="111"/>
      <c r="B103" s="107"/>
      <c r="C103" s="97" t="s">
        <v>676</v>
      </c>
      <c r="D103" s="3">
        <v>12350</v>
      </c>
      <c r="E103" s="52" t="s">
        <v>562</v>
      </c>
      <c r="F103" s="3"/>
      <c r="G103" s="3"/>
      <c r="H103" s="3"/>
      <c r="I103" s="3"/>
      <c r="J103" s="3"/>
      <c r="K103" s="3"/>
      <c r="L103" s="3"/>
      <c r="M103" s="4"/>
      <c r="N103" s="19" t="s">
        <v>680</v>
      </c>
      <c r="P103" s="2">
        <v>202</v>
      </c>
    </row>
    <row r="104" spans="1:24" x14ac:dyDescent="0.2">
      <c r="A104" s="111"/>
      <c r="B104" s="107"/>
      <c r="C104" s="87" t="s">
        <v>710</v>
      </c>
      <c r="D104" s="3"/>
      <c r="E104" s="51" t="s">
        <v>72</v>
      </c>
      <c r="F104" s="51" t="s">
        <v>73</v>
      </c>
      <c r="G104" s="3"/>
      <c r="H104" s="3"/>
      <c r="I104" s="3"/>
      <c r="J104" s="3"/>
      <c r="K104" s="3"/>
      <c r="L104" s="3"/>
      <c r="M104" s="42"/>
      <c r="N104" s="19" t="s">
        <v>550</v>
      </c>
      <c r="P104" s="2">
        <v>152</v>
      </c>
      <c r="Q104" s="2">
        <v>153</v>
      </c>
    </row>
    <row r="105" spans="1:24" x14ac:dyDescent="0.2">
      <c r="A105" s="111"/>
      <c r="B105" s="107"/>
      <c r="C105" s="87" t="s">
        <v>711</v>
      </c>
      <c r="D105" s="3"/>
      <c r="E105" s="51" t="s">
        <v>72</v>
      </c>
      <c r="F105" s="51" t="s">
        <v>73</v>
      </c>
      <c r="G105" s="3"/>
      <c r="H105" s="3"/>
      <c r="I105" s="3"/>
      <c r="J105" s="3"/>
      <c r="K105" s="3"/>
      <c r="L105" s="3"/>
      <c r="M105" s="10"/>
      <c r="N105" s="19" t="s">
        <v>551</v>
      </c>
      <c r="P105" s="2">
        <v>158</v>
      </c>
      <c r="Q105" s="2">
        <v>159</v>
      </c>
    </row>
    <row r="106" spans="1:24" x14ac:dyDescent="0.2">
      <c r="A106" s="111"/>
      <c r="B106" s="107"/>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12"/>
      <c r="B107" s="108"/>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6" t="s">
        <v>46</v>
      </c>
      <c r="C108" s="87" t="s">
        <v>621</v>
      </c>
      <c r="D108" s="3"/>
      <c r="E108" s="51" t="s">
        <v>72</v>
      </c>
      <c r="F108" s="51" t="s">
        <v>73</v>
      </c>
      <c r="G108" s="3"/>
      <c r="H108" s="3"/>
      <c r="I108" s="3"/>
      <c r="J108" s="3"/>
      <c r="K108" s="3"/>
      <c r="L108" s="3"/>
      <c r="M108" s="13"/>
      <c r="N108" s="19" t="s">
        <v>552</v>
      </c>
      <c r="P108" s="2">
        <v>164</v>
      </c>
      <c r="Q108" s="2">
        <v>165</v>
      </c>
    </row>
    <row r="109" spans="1:24" x14ac:dyDescent="0.2">
      <c r="A109" s="114"/>
      <c r="B109" s="107"/>
      <c r="C109" s="87" t="s">
        <v>622</v>
      </c>
      <c r="D109" s="3"/>
      <c r="E109" s="51" t="s">
        <v>72</v>
      </c>
      <c r="F109" s="51" t="s">
        <v>73</v>
      </c>
      <c r="G109" s="3"/>
      <c r="H109" s="3"/>
      <c r="I109" s="3"/>
      <c r="J109" s="3"/>
      <c r="K109" s="3"/>
      <c r="L109" s="3"/>
      <c r="M109" s="4"/>
      <c r="N109" s="19" t="s">
        <v>78</v>
      </c>
      <c r="P109" s="2">
        <v>170</v>
      </c>
      <c r="Q109" s="2">
        <v>171</v>
      </c>
    </row>
    <row r="110" spans="1:24" x14ac:dyDescent="0.2">
      <c r="A110" s="114"/>
      <c r="B110" s="107"/>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8"/>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1" t="s">
        <v>13</v>
      </c>
      <c r="C112" s="20" t="s">
        <v>823</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4"/>
      <c r="B113" s="101"/>
      <c r="C113" s="20" t="s">
        <v>824</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4"/>
      <c r="B114" s="101"/>
      <c r="C114" s="20" t="s">
        <v>825</v>
      </c>
      <c r="D114" s="3"/>
      <c r="E114" s="18" t="s">
        <v>95</v>
      </c>
      <c r="F114" s="18" t="s">
        <v>50</v>
      </c>
      <c r="G114" s="3"/>
      <c r="H114" s="3"/>
      <c r="I114" s="3"/>
      <c r="J114" s="3"/>
      <c r="K114" s="3"/>
      <c r="L114" s="3"/>
      <c r="M114" s="4"/>
      <c r="N114" s="19" t="s">
        <v>540</v>
      </c>
      <c r="P114" s="2">
        <v>194</v>
      </c>
      <c r="Q114" s="2">
        <v>195</v>
      </c>
      <c r="R114" s="2"/>
    </row>
    <row r="115" spans="1:22" x14ac:dyDescent="0.2">
      <c r="A115" s="114"/>
      <c r="B115" s="101"/>
      <c r="C115" s="87" t="s">
        <v>826</v>
      </c>
      <c r="D115" s="3">
        <v>12345</v>
      </c>
      <c r="E115" s="4" t="s">
        <v>317</v>
      </c>
      <c r="F115" s="4" t="s">
        <v>262</v>
      </c>
      <c r="G115" s="89" t="s">
        <v>827</v>
      </c>
      <c r="I115" s="3"/>
      <c r="J115" s="3"/>
      <c r="K115" s="3"/>
      <c r="L115" s="3"/>
      <c r="M115" s="42"/>
      <c r="N115" s="19" t="s">
        <v>533</v>
      </c>
      <c r="P115" s="2">
        <v>306</v>
      </c>
      <c r="Q115" s="2">
        <v>329</v>
      </c>
      <c r="R115" s="2">
        <v>307</v>
      </c>
    </row>
    <row r="116" spans="1:22" x14ac:dyDescent="0.2">
      <c r="A116" s="114"/>
      <c r="B116" s="101"/>
      <c r="C116" s="87" t="s">
        <v>534</v>
      </c>
      <c r="D116" s="3">
        <v>12345</v>
      </c>
      <c r="E116" s="51" t="s">
        <v>828</v>
      </c>
      <c r="F116" s="3"/>
      <c r="G116" s="3"/>
      <c r="H116" s="3"/>
      <c r="I116" s="3"/>
      <c r="J116" s="3"/>
      <c r="K116" s="3"/>
      <c r="L116" s="3"/>
      <c r="M116" s="42"/>
      <c r="N116" s="19"/>
      <c r="P116" s="22">
        <v>40</v>
      </c>
      <c r="Q116" s="2"/>
      <c r="R116" s="2"/>
      <c r="S116" s="22"/>
    </row>
    <row r="117" spans="1:22" ht="15.95" customHeight="1" x14ac:dyDescent="0.2">
      <c r="A117" s="114"/>
      <c r="B117" s="101"/>
      <c r="C117" s="20" t="s">
        <v>830</v>
      </c>
      <c r="D117" s="3"/>
      <c r="E117" s="48" t="s">
        <v>829</v>
      </c>
      <c r="F117" s="3"/>
      <c r="G117" s="3"/>
      <c r="H117" s="3"/>
      <c r="I117" s="3"/>
      <c r="J117" s="3"/>
      <c r="K117" s="3"/>
      <c r="L117" s="3"/>
      <c r="M117" s="10"/>
      <c r="N117" s="19"/>
      <c r="P117" s="2">
        <v>310</v>
      </c>
      <c r="Q117" s="2"/>
      <c r="R117" s="2"/>
      <c r="S117" s="2"/>
    </row>
    <row r="118" spans="1:22" ht="15.95" customHeight="1" x14ac:dyDescent="0.2">
      <c r="A118" s="114"/>
      <c r="B118" s="101"/>
      <c r="C118" s="20" t="s">
        <v>616</v>
      </c>
      <c r="D118" s="3"/>
      <c r="E118" s="89" t="s">
        <v>536</v>
      </c>
      <c r="G118" s="3"/>
      <c r="H118" s="3"/>
      <c r="I118" s="3"/>
      <c r="J118" s="3"/>
      <c r="K118" s="3"/>
      <c r="L118" s="3"/>
      <c r="M118" s="10"/>
      <c r="N118" s="19"/>
      <c r="P118" s="22">
        <v>375</v>
      </c>
      <c r="S118" s="2"/>
    </row>
    <row r="119" spans="1:22" ht="15.95" customHeight="1" x14ac:dyDescent="0.2">
      <c r="A119" s="114"/>
      <c r="B119" s="101"/>
      <c r="C119" s="20" t="s">
        <v>831</v>
      </c>
      <c r="D119" s="3"/>
      <c r="E119" s="89" t="s">
        <v>833</v>
      </c>
      <c r="F119" s="89" t="s">
        <v>834</v>
      </c>
      <c r="G119" s="51" t="s">
        <v>615</v>
      </c>
      <c r="H119" s="3"/>
      <c r="I119" s="3"/>
      <c r="J119" s="3"/>
      <c r="K119" s="3"/>
      <c r="L119" s="3"/>
      <c r="M119" s="10"/>
      <c r="N119" s="19"/>
      <c r="P119" s="22">
        <v>383</v>
      </c>
      <c r="Q119">
        <v>196</v>
      </c>
      <c r="R119" s="2">
        <v>433</v>
      </c>
      <c r="S119" s="2"/>
    </row>
    <row r="120" spans="1:22" ht="15.95" customHeight="1" x14ac:dyDescent="0.2">
      <c r="A120" s="114"/>
      <c r="B120" s="101"/>
      <c r="C120" s="20" t="s">
        <v>835</v>
      </c>
      <c r="D120" s="3"/>
      <c r="E120" s="89" t="s">
        <v>836</v>
      </c>
      <c r="F120" s="3"/>
      <c r="G120" s="3"/>
      <c r="H120" s="3"/>
      <c r="I120" s="3"/>
      <c r="J120" s="3"/>
      <c r="K120" s="3"/>
      <c r="L120" s="3"/>
      <c r="M120" s="10"/>
      <c r="N120" s="19"/>
      <c r="P120" s="2">
        <v>48</v>
      </c>
      <c r="R120" s="2"/>
      <c r="S120" s="2"/>
    </row>
    <row r="121" spans="1:22" x14ac:dyDescent="0.2">
      <c r="A121" s="114"/>
      <c r="B121" s="101"/>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4"/>
      <c r="B122" s="101"/>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4"/>
      <c r="B123" s="101"/>
      <c r="C123" s="20" t="s">
        <v>843</v>
      </c>
      <c r="D123" s="3"/>
      <c r="E123" s="52" t="s">
        <v>846</v>
      </c>
      <c r="F123" s="92" t="s">
        <v>845</v>
      </c>
      <c r="G123" s="89" t="s">
        <v>847</v>
      </c>
      <c r="H123" s="3"/>
      <c r="I123" s="3"/>
      <c r="J123" s="3"/>
      <c r="K123" s="3"/>
      <c r="L123" s="3"/>
      <c r="M123" s="4"/>
      <c r="N123" s="19"/>
      <c r="P123" s="2">
        <v>418</v>
      </c>
      <c r="Q123" s="23">
        <v>99</v>
      </c>
      <c r="R123" s="23">
        <v>321</v>
      </c>
    </row>
    <row r="124" spans="1:22" ht="13.15" customHeight="1" x14ac:dyDescent="0.2">
      <c r="A124" s="114"/>
      <c r="B124" s="106"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7"/>
      <c r="C125" s="87" t="s">
        <v>744</v>
      </c>
      <c r="D125" s="3"/>
      <c r="E125" s="89" t="s">
        <v>805</v>
      </c>
      <c r="F125" s="3"/>
      <c r="G125" s="3"/>
      <c r="H125" s="3"/>
      <c r="I125" s="3"/>
      <c r="J125" s="3"/>
      <c r="K125" s="3"/>
      <c r="L125" s="3"/>
      <c r="M125" s="42"/>
      <c r="N125" s="19"/>
      <c r="P125" s="22">
        <v>324</v>
      </c>
      <c r="Q125" s="2"/>
      <c r="R125" s="2"/>
      <c r="S125" s="22"/>
    </row>
    <row r="126" spans="1:22" x14ac:dyDescent="0.2">
      <c r="A126" s="114"/>
      <c r="B126" s="107"/>
      <c r="C126" s="20" t="s">
        <v>743</v>
      </c>
      <c r="D126" s="3"/>
      <c r="E126" s="52" t="s">
        <v>50</v>
      </c>
      <c r="G126" s="3"/>
      <c r="H126" s="3"/>
      <c r="I126" s="3"/>
      <c r="J126" s="3"/>
      <c r="K126" s="3"/>
      <c r="L126" s="3"/>
      <c r="M126" s="42"/>
      <c r="N126" s="41" t="s">
        <v>342</v>
      </c>
      <c r="P126" s="22">
        <v>325</v>
      </c>
      <c r="R126" s="22"/>
      <c r="S126" s="22"/>
      <c r="T126" s="22"/>
      <c r="U126" s="22"/>
    </row>
    <row r="127" spans="1:22" x14ac:dyDescent="0.2">
      <c r="A127" s="114"/>
      <c r="B127" s="107"/>
      <c r="C127" s="20" t="s">
        <v>804</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7"/>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4"/>
      <c r="B129" s="107"/>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4"/>
      <c r="B130" s="107"/>
      <c r="C130" s="87" t="s">
        <v>802</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4"/>
      <c r="B131" s="107"/>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4"/>
      <c r="B132" s="107"/>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7"/>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4"/>
      <c r="B134" s="107"/>
      <c r="C134" s="87" t="s">
        <v>803</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4"/>
      <c r="B135" s="107"/>
      <c r="C135" s="87" t="s">
        <v>803</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4"/>
      <c r="B136" s="107"/>
      <c r="C136" s="87" t="s">
        <v>58</v>
      </c>
      <c r="D136" s="3"/>
      <c r="E136" s="89" t="s">
        <v>768</v>
      </c>
      <c r="F136" s="89" t="s">
        <v>807</v>
      </c>
      <c r="G136" s="4" t="s">
        <v>808</v>
      </c>
      <c r="H136" s="3"/>
      <c r="I136" s="3"/>
      <c r="J136" s="3"/>
      <c r="K136" s="3"/>
      <c r="L136" s="3"/>
      <c r="M136" s="42"/>
      <c r="N136" s="19"/>
      <c r="P136" s="2">
        <v>91</v>
      </c>
      <c r="Q136" s="2">
        <v>275</v>
      </c>
      <c r="R136" s="2">
        <v>277</v>
      </c>
    </row>
    <row r="137" spans="1:23" x14ac:dyDescent="0.2">
      <c r="A137" s="114"/>
      <c r="B137" s="107"/>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4"/>
      <c r="B138" s="107"/>
      <c r="C138" s="87" t="s">
        <v>789</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4"/>
      <c r="B139" s="108"/>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4"/>
      <c r="B140" s="106"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4"/>
      <c r="B141" s="107"/>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4"/>
      <c r="B142" s="107"/>
      <c r="C142" s="87" t="s">
        <v>759</v>
      </c>
      <c r="D142" s="3"/>
      <c r="E142" s="29" t="s">
        <v>306</v>
      </c>
      <c r="F142" s="29" t="s">
        <v>307</v>
      </c>
      <c r="G142" s="89" t="s">
        <v>201</v>
      </c>
      <c r="H142" s="89" t="s">
        <v>796</v>
      </c>
      <c r="I142" s="3"/>
      <c r="J142" s="3"/>
      <c r="K142" s="3"/>
      <c r="L142" s="3"/>
      <c r="M142" s="13"/>
      <c r="N142" s="19"/>
      <c r="P142" s="2">
        <v>296</v>
      </c>
      <c r="Q142" s="2">
        <v>136</v>
      </c>
      <c r="R142" s="2">
        <v>292</v>
      </c>
      <c r="S142" s="2">
        <v>295</v>
      </c>
      <c r="T142" s="22"/>
    </row>
    <row r="143" spans="1:23" x14ac:dyDescent="0.2">
      <c r="A143" s="114"/>
      <c r="B143" s="107"/>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4"/>
      <c r="B144" s="108"/>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4"/>
      <c r="B145" s="106" t="s">
        <v>326</v>
      </c>
      <c r="C145" s="87" t="s">
        <v>952</v>
      </c>
      <c r="D145" s="3"/>
      <c r="E145" s="18" t="s">
        <v>311</v>
      </c>
      <c r="F145" s="18" t="s">
        <v>312</v>
      </c>
      <c r="G145" s="52" t="s">
        <v>313</v>
      </c>
      <c r="H145" s="89" t="s">
        <v>479</v>
      </c>
      <c r="I145" s="51" t="s">
        <v>314</v>
      </c>
      <c r="J145" s="51" t="s">
        <v>477</v>
      </c>
      <c r="K145" s="51" t="s">
        <v>478</v>
      </c>
      <c r="L145" s="51" t="s">
        <v>179</v>
      </c>
      <c r="M145" s="13"/>
      <c r="N145" s="19" t="s">
        <v>868</v>
      </c>
      <c r="P145" s="2">
        <v>268</v>
      </c>
      <c r="Q145" s="2">
        <v>269</v>
      </c>
      <c r="R145" s="2">
        <v>270</v>
      </c>
      <c r="S145" s="2">
        <v>421</v>
      </c>
      <c r="T145" s="22">
        <v>271</v>
      </c>
      <c r="U145" s="22">
        <v>423</v>
      </c>
      <c r="V145" s="22">
        <v>425</v>
      </c>
      <c r="W145" s="22">
        <v>272</v>
      </c>
    </row>
    <row r="146" spans="1:23" x14ac:dyDescent="0.2">
      <c r="A146" s="114"/>
      <c r="B146" s="107"/>
      <c r="C146" s="87" t="s">
        <v>952</v>
      </c>
      <c r="D146" s="3"/>
      <c r="E146" s="18" t="s">
        <v>311</v>
      </c>
      <c r="F146" s="89" t="s">
        <v>312</v>
      </c>
      <c r="G146" s="89" t="s">
        <v>313</v>
      </c>
      <c r="H146" s="51" t="s">
        <v>479</v>
      </c>
      <c r="I146" s="51" t="s">
        <v>314</v>
      </c>
      <c r="J146" s="51" t="s">
        <v>477</v>
      </c>
      <c r="K146" s="51" t="s">
        <v>478</v>
      </c>
      <c r="L146" s="51" t="s">
        <v>179</v>
      </c>
      <c r="M146" s="13"/>
      <c r="N146" s="19" t="s">
        <v>868</v>
      </c>
      <c r="P146" s="2">
        <v>354</v>
      </c>
      <c r="Q146" s="2">
        <v>355</v>
      </c>
      <c r="R146" s="2">
        <v>356</v>
      </c>
      <c r="S146" s="2">
        <v>422</v>
      </c>
      <c r="T146" s="22">
        <v>357</v>
      </c>
      <c r="U146" s="22">
        <v>424</v>
      </c>
      <c r="V146" s="22">
        <v>426</v>
      </c>
      <c r="W146" s="22">
        <v>358</v>
      </c>
    </row>
    <row r="147" spans="1:23" x14ac:dyDescent="0.2">
      <c r="A147" s="114"/>
      <c r="B147" s="107"/>
      <c r="C147" s="87" t="s">
        <v>762</v>
      </c>
      <c r="D147" s="3"/>
      <c r="E147" s="89" t="s">
        <v>951</v>
      </c>
      <c r="F147" s="3"/>
      <c r="G147" s="3"/>
      <c r="H147" s="3"/>
      <c r="I147" s="3"/>
      <c r="J147" s="3"/>
      <c r="K147" s="3"/>
      <c r="L147" s="3"/>
      <c r="M147" s="13"/>
      <c r="N147" s="19"/>
      <c r="P147" s="2">
        <v>137</v>
      </c>
      <c r="Q147" s="2"/>
      <c r="R147" s="2"/>
      <c r="S147" s="2"/>
      <c r="T147" s="22"/>
      <c r="U147" s="22"/>
      <c r="V147" s="22"/>
      <c r="W147" s="22"/>
    </row>
    <row r="148" spans="1:23" x14ac:dyDescent="0.2">
      <c r="A148" s="114"/>
      <c r="B148" s="108"/>
      <c r="C148" s="87" t="s">
        <v>244</v>
      </c>
      <c r="D148" s="3"/>
      <c r="E148" s="89" t="s">
        <v>764</v>
      </c>
      <c r="F148" s="52" t="s">
        <v>765</v>
      </c>
      <c r="G148" s="18" t="s">
        <v>562</v>
      </c>
      <c r="H148" s="52" t="s">
        <v>766</v>
      </c>
      <c r="I148" s="18" t="s">
        <v>255</v>
      </c>
      <c r="J148" s="89" t="s">
        <v>763</v>
      </c>
      <c r="K148" s="51" t="s">
        <v>767</v>
      </c>
      <c r="L148" s="3"/>
      <c r="M148" s="10"/>
      <c r="N148" s="19"/>
      <c r="P148" s="2">
        <v>47</v>
      </c>
      <c r="Q148" s="2">
        <v>75</v>
      </c>
      <c r="R148" s="2">
        <v>317</v>
      </c>
      <c r="S148" s="22">
        <v>318</v>
      </c>
      <c r="T148" s="22">
        <v>322</v>
      </c>
      <c r="U148" s="22">
        <v>335</v>
      </c>
      <c r="V148" s="22">
        <v>9</v>
      </c>
    </row>
    <row r="149" spans="1:23" x14ac:dyDescent="0.2">
      <c r="A149" s="114"/>
      <c r="B149" s="106" t="s">
        <v>779</v>
      </c>
      <c r="C149" s="20" t="s">
        <v>769</v>
      </c>
      <c r="D149" s="3"/>
      <c r="E149" s="44">
        <v>3</v>
      </c>
      <c r="F149" s="90" t="s">
        <v>637</v>
      </c>
      <c r="G149" s="3"/>
      <c r="H149" s="3"/>
      <c r="I149" s="3"/>
      <c r="J149" s="3"/>
      <c r="K149" s="3"/>
      <c r="L149" s="3"/>
      <c r="M149" s="10"/>
      <c r="N149" s="19" t="s">
        <v>638</v>
      </c>
      <c r="P149" s="2">
        <v>89</v>
      </c>
      <c r="Q149" s="2">
        <v>96</v>
      </c>
    </row>
    <row r="150" spans="1:23" x14ac:dyDescent="0.2">
      <c r="A150" s="114"/>
      <c r="B150" s="108"/>
      <c r="C150" s="20" t="s">
        <v>770</v>
      </c>
      <c r="D150" s="3"/>
      <c r="E150" s="44">
        <v>3</v>
      </c>
      <c r="F150" s="90" t="s">
        <v>637</v>
      </c>
      <c r="G150" s="3"/>
      <c r="H150" s="3"/>
      <c r="I150" s="3"/>
      <c r="J150" s="3"/>
      <c r="K150" s="3"/>
      <c r="L150" s="3"/>
      <c r="M150" s="10"/>
      <c r="N150" s="19" t="s">
        <v>639</v>
      </c>
      <c r="P150" s="2">
        <v>389</v>
      </c>
      <c r="Q150" s="2">
        <v>390</v>
      </c>
      <c r="R150" s="2"/>
      <c r="S150" s="2"/>
    </row>
    <row r="151" spans="1:23" x14ac:dyDescent="0.2">
      <c r="A151" s="114"/>
      <c r="B151" s="106" t="s">
        <v>761</v>
      </c>
      <c r="C151" s="20" t="s">
        <v>343</v>
      </c>
      <c r="D151" s="3"/>
      <c r="E151" s="18" t="s">
        <v>122</v>
      </c>
      <c r="F151" s="18" t="s">
        <v>123</v>
      </c>
      <c r="G151" s="18" t="s">
        <v>344</v>
      </c>
      <c r="H151" s="18" t="s">
        <v>132</v>
      </c>
      <c r="I151" s="3"/>
      <c r="J151" s="3"/>
      <c r="K151" s="3"/>
      <c r="L151" s="3"/>
      <c r="M151" s="13"/>
      <c r="N151" s="19" t="s">
        <v>553</v>
      </c>
      <c r="P151" s="2">
        <v>379</v>
      </c>
      <c r="Q151" s="2">
        <v>380</v>
      </c>
      <c r="R151" s="2">
        <v>381</v>
      </c>
      <c r="S151" s="2">
        <v>382</v>
      </c>
      <c r="T151" s="2"/>
      <c r="U151" s="2"/>
      <c r="V151" s="2"/>
      <c r="W151" s="2"/>
    </row>
    <row r="152" spans="1:23" x14ac:dyDescent="0.2">
      <c r="A152" s="114"/>
      <c r="B152" s="107"/>
      <c r="C152" s="87" t="s">
        <v>761</v>
      </c>
      <c r="D152" s="3"/>
      <c r="E152" s="51" t="s">
        <v>768</v>
      </c>
      <c r="F152" s="89" t="s">
        <v>771</v>
      </c>
      <c r="G152" s="73" t="s">
        <v>772</v>
      </c>
      <c r="H152" s="89" t="s">
        <v>259</v>
      </c>
      <c r="I152" s="3"/>
      <c r="J152" s="3"/>
      <c r="K152" s="3"/>
      <c r="L152" s="3"/>
      <c r="M152" s="4"/>
      <c r="N152" s="19"/>
      <c r="P152" s="2">
        <v>83</v>
      </c>
      <c r="Q152" s="2">
        <v>223</v>
      </c>
      <c r="R152" s="2">
        <v>384</v>
      </c>
      <c r="S152" s="2">
        <v>331</v>
      </c>
    </row>
    <row r="153" spans="1:23" x14ac:dyDescent="0.2">
      <c r="A153" s="114"/>
      <c r="B153" s="107"/>
      <c r="C153" s="87" t="s">
        <v>773</v>
      </c>
      <c r="D153" s="3"/>
      <c r="E153" s="51" t="s">
        <v>112</v>
      </c>
      <c r="F153" s="3"/>
      <c r="G153" s="3"/>
      <c r="H153" s="3"/>
      <c r="I153" s="3"/>
      <c r="J153" s="3"/>
      <c r="K153" s="3"/>
      <c r="L153" s="3"/>
      <c r="M153" s="4"/>
      <c r="N153" s="19"/>
      <c r="P153" s="2">
        <v>36</v>
      </c>
      <c r="Q153" s="2"/>
      <c r="R153" s="2"/>
      <c r="S153" s="2"/>
      <c r="T153" s="2"/>
      <c r="U153" s="2"/>
    </row>
    <row r="154" spans="1:23" x14ac:dyDescent="0.2">
      <c r="A154" s="114"/>
      <c r="B154" s="107"/>
      <c r="C154" s="87" t="s">
        <v>774</v>
      </c>
      <c r="D154" s="3"/>
      <c r="E154" s="51" t="s">
        <v>112</v>
      </c>
      <c r="F154" s="3"/>
      <c r="G154" s="3"/>
      <c r="H154" s="3"/>
      <c r="I154" s="3"/>
      <c r="J154" s="3"/>
      <c r="K154" s="3"/>
      <c r="L154" s="3"/>
      <c r="M154" s="4"/>
      <c r="N154" s="19"/>
      <c r="P154" s="2">
        <v>187</v>
      </c>
      <c r="Q154" s="2"/>
      <c r="R154" s="2"/>
      <c r="S154" s="2"/>
      <c r="T154" s="2"/>
      <c r="U154" s="2"/>
    </row>
    <row r="155" spans="1:23" x14ac:dyDescent="0.2">
      <c r="A155" s="114"/>
      <c r="B155" s="108"/>
      <c r="C155" s="87" t="s">
        <v>775</v>
      </c>
      <c r="D155" s="3"/>
      <c r="E155" s="18" t="s">
        <v>83</v>
      </c>
      <c r="F155" s="18" t="s">
        <v>181</v>
      </c>
      <c r="G155" s="3"/>
      <c r="H155" s="3"/>
      <c r="I155" s="3"/>
      <c r="J155" s="3"/>
      <c r="K155" s="3"/>
      <c r="L155" s="3"/>
      <c r="M155" s="42"/>
      <c r="N155" s="19"/>
      <c r="P155" s="2">
        <v>169</v>
      </c>
      <c r="Q155" s="2">
        <v>276</v>
      </c>
    </row>
    <row r="156" spans="1:23" x14ac:dyDescent="0.2">
      <c r="A156" s="114"/>
      <c r="B156" s="106" t="s">
        <v>778</v>
      </c>
      <c r="C156" s="87" t="s">
        <v>776</v>
      </c>
      <c r="D156" s="3"/>
      <c r="E156" s="89" t="s">
        <v>453</v>
      </c>
      <c r="F156" s="3"/>
      <c r="G156" s="3"/>
      <c r="H156" s="3"/>
      <c r="I156" s="3"/>
      <c r="J156" s="3"/>
      <c r="K156" s="3"/>
      <c r="L156" s="3"/>
      <c r="M156" s="10"/>
      <c r="N156" s="19"/>
      <c r="P156" s="2">
        <v>24</v>
      </c>
    </row>
    <row r="157" spans="1:23" x14ac:dyDescent="0.2">
      <c r="A157" s="114"/>
      <c r="B157" s="108"/>
      <c r="C157" s="20" t="s">
        <v>777</v>
      </c>
      <c r="D157" s="3"/>
      <c r="E157" s="44" t="s">
        <v>87</v>
      </c>
      <c r="F157" s="44" t="s">
        <v>86</v>
      </c>
      <c r="G157" s="24"/>
      <c r="H157" s="24"/>
      <c r="I157" s="24"/>
      <c r="J157" s="3"/>
      <c r="K157" s="3"/>
      <c r="L157" s="3"/>
      <c r="M157" s="13"/>
      <c r="N157" s="19" t="s">
        <v>566</v>
      </c>
      <c r="P157" s="2">
        <v>35</v>
      </c>
      <c r="Q157" s="2">
        <v>46</v>
      </c>
    </row>
    <row r="158" spans="1:23" ht="13.15" customHeight="1" x14ac:dyDescent="0.2">
      <c r="A158" s="114"/>
      <c r="B158" s="106" t="s">
        <v>155</v>
      </c>
      <c r="C158" s="20" t="s">
        <v>156</v>
      </c>
      <c r="D158" s="3"/>
      <c r="E158" s="4" t="s">
        <v>192</v>
      </c>
      <c r="F158" s="4" t="s">
        <v>157</v>
      </c>
      <c r="G158" s="4" t="s">
        <v>158</v>
      </c>
      <c r="J158" s="3"/>
      <c r="K158" s="3"/>
      <c r="L158" s="3"/>
      <c r="M158" s="4"/>
      <c r="N158" s="19"/>
      <c r="P158" s="2">
        <v>256</v>
      </c>
      <c r="Q158" s="2">
        <v>257</v>
      </c>
      <c r="R158" s="22">
        <v>261</v>
      </c>
      <c r="U158" s="22"/>
    </row>
    <row r="159" spans="1:23" x14ac:dyDescent="0.2">
      <c r="A159" s="114"/>
      <c r="B159" s="107"/>
      <c r="C159" s="20" t="s">
        <v>156</v>
      </c>
      <c r="D159" s="3"/>
      <c r="E159" s="4" t="s">
        <v>252</v>
      </c>
      <c r="F159" s="89" t="s">
        <v>813</v>
      </c>
      <c r="G159" s="4" t="s">
        <v>159</v>
      </c>
      <c r="H159" s="4" t="s">
        <v>160</v>
      </c>
      <c r="I159" s="4" t="s">
        <v>188</v>
      </c>
      <c r="J159" s="4" t="s">
        <v>187</v>
      </c>
      <c r="K159" s="3"/>
      <c r="L159" s="3"/>
      <c r="M159" s="42"/>
      <c r="N159" s="19"/>
      <c r="P159" s="2">
        <v>323</v>
      </c>
      <c r="Q159" s="2">
        <v>263</v>
      </c>
      <c r="R159" s="2">
        <v>264</v>
      </c>
      <c r="S159" s="22">
        <v>265</v>
      </c>
      <c r="T159" s="22">
        <v>266</v>
      </c>
      <c r="U159" s="22">
        <v>279</v>
      </c>
    </row>
    <row r="160" spans="1:23" x14ac:dyDescent="0.2">
      <c r="A160" s="114"/>
      <c r="B160" s="107"/>
      <c r="C160" s="20" t="s">
        <v>809</v>
      </c>
      <c r="D160" s="3"/>
      <c r="E160" s="89" t="s">
        <v>810</v>
      </c>
      <c r="F160" s="89" t="s">
        <v>811</v>
      </c>
      <c r="G160" s="24"/>
      <c r="H160" s="24"/>
      <c r="I160" s="24"/>
      <c r="J160" s="3"/>
      <c r="K160" s="3"/>
      <c r="L160" s="3"/>
      <c r="M160" s="13"/>
      <c r="N160" s="19"/>
      <c r="P160" s="22">
        <v>327</v>
      </c>
      <c r="Q160" s="22">
        <v>259</v>
      </c>
    </row>
    <row r="161" spans="1:23" x14ac:dyDescent="0.2">
      <c r="A161" s="114"/>
      <c r="B161" s="107"/>
      <c r="C161" s="20" t="s">
        <v>191</v>
      </c>
      <c r="D161" s="3"/>
      <c r="E161" s="4" t="s">
        <v>192</v>
      </c>
      <c r="F161" s="4" t="s">
        <v>157</v>
      </c>
      <c r="G161" s="89" t="s">
        <v>813</v>
      </c>
      <c r="H161" s="73" t="s">
        <v>815</v>
      </c>
      <c r="I161" s="89" t="s">
        <v>814</v>
      </c>
      <c r="J161" s="3"/>
      <c r="K161" s="3"/>
      <c r="L161" s="3"/>
      <c r="M161" s="10"/>
      <c r="N161" s="19"/>
      <c r="P161" s="2">
        <v>258</v>
      </c>
      <c r="Q161" s="2">
        <v>280</v>
      </c>
      <c r="R161" s="22">
        <v>260</v>
      </c>
      <c r="S161" s="22">
        <v>3</v>
      </c>
      <c r="T161" s="22">
        <v>97</v>
      </c>
    </row>
    <row r="162" spans="1:23" x14ac:dyDescent="0.2">
      <c r="A162" s="114"/>
      <c r="B162" s="107"/>
      <c r="C162" s="20" t="s">
        <v>812</v>
      </c>
      <c r="D162" s="3"/>
      <c r="E162" s="89" t="s">
        <v>810</v>
      </c>
      <c r="F162" s="89" t="s">
        <v>811</v>
      </c>
      <c r="G162" s="24"/>
      <c r="H162" s="24"/>
      <c r="I162" s="24"/>
      <c r="J162" s="24"/>
      <c r="K162" s="24"/>
      <c r="L162" s="3"/>
      <c r="M162" s="10"/>
      <c r="N162" s="19"/>
      <c r="P162" s="2">
        <v>328</v>
      </c>
      <c r="Q162" s="2">
        <v>281</v>
      </c>
      <c r="R162" s="2"/>
      <c r="S162" s="2"/>
      <c r="T162" s="22"/>
      <c r="U162" s="22"/>
      <c r="V162" s="22"/>
    </row>
    <row r="163" spans="1:23" x14ac:dyDescent="0.2">
      <c r="A163" s="114"/>
      <c r="B163" s="107"/>
      <c r="C163" s="20" t="s">
        <v>736</v>
      </c>
      <c r="D163" s="3">
        <v>24</v>
      </c>
      <c r="E163" s="89" t="s">
        <v>821</v>
      </c>
      <c r="F163" s="89" t="s">
        <v>822</v>
      </c>
      <c r="G163" s="89" t="s">
        <v>816</v>
      </c>
      <c r="H163" s="3"/>
      <c r="I163" s="3"/>
      <c r="J163" s="3"/>
      <c r="K163" s="3"/>
      <c r="L163" s="3"/>
      <c r="M163" s="13"/>
      <c r="N163" s="19" t="s">
        <v>216</v>
      </c>
      <c r="P163" s="2">
        <v>282</v>
      </c>
      <c r="Q163" s="2">
        <v>297</v>
      </c>
      <c r="R163" s="2">
        <v>298</v>
      </c>
      <c r="S163" s="22"/>
      <c r="T163" s="22"/>
    </row>
    <row r="164" spans="1:23" x14ac:dyDescent="0.2">
      <c r="A164" s="114"/>
      <c r="B164" s="107"/>
      <c r="C164" s="20" t="s">
        <v>736</v>
      </c>
      <c r="D164" s="3">
        <v>35</v>
      </c>
      <c r="E164" s="4" t="s">
        <v>821</v>
      </c>
      <c r="F164" s="89" t="s">
        <v>822</v>
      </c>
      <c r="G164" s="89" t="s">
        <v>816</v>
      </c>
      <c r="H164" s="3"/>
      <c r="I164" s="3"/>
      <c r="J164" s="3"/>
      <c r="K164" s="3"/>
      <c r="L164" s="3"/>
      <c r="M164" s="13"/>
      <c r="N164" s="19" t="s">
        <v>216</v>
      </c>
      <c r="P164" s="2">
        <v>282</v>
      </c>
      <c r="Q164" s="2">
        <v>297</v>
      </c>
      <c r="R164" s="2">
        <v>298</v>
      </c>
      <c r="S164" s="22"/>
      <c r="T164" s="22"/>
    </row>
    <row r="165" spans="1:23" x14ac:dyDescent="0.2">
      <c r="A165" s="114"/>
      <c r="B165" s="107"/>
      <c r="C165" s="87" t="s">
        <v>196</v>
      </c>
      <c r="D165" s="3"/>
      <c r="E165" s="89" t="s">
        <v>192</v>
      </c>
      <c r="F165" s="51" t="s">
        <v>817</v>
      </c>
      <c r="G165" s="4" t="s">
        <v>200</v>
      </c>
      <c r="H165" s="4" t="s">
        <v>818</v>
      </c>
      <c r="I165" s="3"/>
      <c r="J165" s="3"/>
      <c r="K165" s="3"/>
      <c r="L165" s="3"/>
      <c r="M165" s="4"/>
      <c r="N165" s="14"/>
      <c r="P165" s="2">
        <v>287</v>
      </c>
      <c r="Q165" s="2">
        <v>294</v>
      </c>
      <c r="R165" s="2">
        <v>293</v>
      </c>
      <c r="S165" s="2">
        <v>288</v>
      </c>
    </row>
    <row r="166" spans="1:23" x14ac:dyDescent="0.2">
      <c r="A166" s="115"/>
      <c r="B166" s="108"/>
      <c r="C166" s="87" t="s">
        <v>196</v>
      </c>
      <c r="D166" s="3"/>
      <c r="E166" s="89" t="s">
        <v>820</v>
      </c>
      <c r="F166" s="89" t="s">
        <v>270</v>
      </c>
      <c r="G166" s="89" t="s">
        <v>273</v>
      </c>
      <c r="H166" s="4" t="s">
        <v>112</v>
      </c>
      <c r="I166" s="51" t="s">
        <v>757</v>
      </c>
      <c r="J166" s="3"/>
      <c r="K166" s="3"/>
      <c r="L166" s="3"/>
      <c r="M166" s="4"/>
      <c r="N166" s="14"/>
      <c r="P166" s="22">
        <v>290</v>
      </c>
      <c r="Q166" s="22">
        <v>333</v>
      </c>
      <c r="R166" s="22">
        <v>334</v>
      </c>
      <c r="S166" s="2">
        <v>289</v>
      </c>
      <c r="T166" s="22">
        <v>459</v>
      </c>
      <c r="U166" s="22"/>
      <c r="V166" s="22"/>
      <c r="W166" s="2"/>
    </row>
    <row r="167" spans="1:23" ht="13.15" customHeight="1" x14ac:dyDescent="0.2">
      <c r="A167" s="109" t="s">
        <v>129</v>
      </c>
      <c r="B167" s="101" t="s">
        <v>129</v>
      </c>
      <c r="C167" s="98" t="s">
        <v>722</v>
      </c>
      <c r="E167" s="89" t="s">
        <v>139</v>
      </c>
      <c r="F167" s="89" t="s">
        <v>143</v>
      </c>
      <c r="G167" s="89" t="s">
        <v>142</v>
      </c>
      <c r="H167" s="89" t="s">
        <v>721</v>
      </c>
      <c r="I167" s="3"/>
      <c r="J167" s="3"/>
      <c r="K167" s="3"/>
      <c r="L167" s="3"/>
      <c r="P167" s="22">
        <v>237</v>
      </c>
      <c r="Q167" s="22">
        <v>254</v>
      </c>
      <c r="R167" s="22">
        <v>197</v>
      </c>
      <c r="S167" s="22">
        <v>230</v>
      </c>
    </row>
    <row r="168" spans="1:23" x14ac:dyDescent="0.2">
      <c r="A168" s="109"/>
      <c r="B168" s="101"/>
      <c r="C168" s="87" t="s">
        <v>716</v>
      </c>
      <c r="D168" s="3"/>
      <c r="E168" s="89" t="s">
        <v>717</v>
      </c>
      <c r="F168" s="3"/>
      <c r="G168" s="3"/>
      <c r="H168" s="3"/>
      <c r="I168" s="3"/>
      <c r="J168" s="3"/>
      <c r="K168" s="3"/>
      <c r="L168" s="3"/>
      <c r="M168" s="4"/>
      <c r="N168" s="19"/>
      <c r="P168" s="2">
        <v>273</v>
      </c>
      <c r="Q168" s="22"/>
      <c r="R168" s="22"/>
    </row>
    <row r="169" spans="1:23" x14ac:dyDescent="0.2">
      <c r="A169" s="109"/>
      <c r="B169" s="101"/>
      <c r="C169" s="87" t="s">
        <v>720</v>
      </c>
      <c r="D169" s="3"/>
      <c r="E169" s="89" t="s">
        <v>719</v>
      </c>
      <c r="F169" s="3"/>
      <c r="G169" s="3"/>
      <c r="H169" s="3"/>
      <c r="I169" s="3"/>
      <c r="J169" s="3"/>
      <c r="K169" s="3"/>
      <c r="L169" s="3"/>
      <c r="M169" s="4"/>
      <c r="N169" s="19"/>
      <c r="P169" s="22">
        <v>247</v>
      </c>
      <c r="Q169" s="22"/>
      <c r="R169" s="22"/>
    </row>
    <row r="170" spans="1:23" x14ac:dyDescent="0.2">
      <c r="A170" s="109"/>
      <c r="B170" s="101"/>
      <c r="C170" s="87" t="s">
        <v>718</v>
      </c>
      <c r="D170" s="3"/>
      <c r="E170" s="4" t="s">
        <v>136</v>
      </c>
      <c r="F170" s="89" t="s">
        <v>135</v>
      </c>
      <c r="G170" s="89" t="s">
        <v>130</v>
      </c>
      <c r="H170" s="89" t="s">
        <v>128</v>
      </c>
      <c r="J170" s="3"/>
      <c r="K170" s="3"/>
      <c r="L170" s="3"/>
      <c r="M170" s="10"/>
      <c r="N170" s="14"/>
      <c r="P170" s="2">
        <v>233</v>
      </c>
      <c r="Q170" s="2">
        <v>234</v>
      </c>
      <c r="R170" s="2">
        <v>235</v>
      </c>
      <c r="S170" s="22">
        <v>236</v>
      </c>
    </row>
    <row r="171" spans="1:23" x14ac:dyDescent="0.2">
      <c r="A171" s="109"/>
      <c r="B171" s="101"/>
      <c r="C171" s="87" t="s">
        <v>733</v>
      </c>
      <c r="D171" s="3"/>
      <c r="E171" s="89" t="s">
        <v>617</v>
      </c>
      <c r="F171" s="4" t="s">
        <v>618</v>
      </c>
      <c r="G171" s="89" t="s">
        <v>619</v>
      </c>
      <c r="H171" s="4" t="s">
        <v>620</v>
      </c>
      <c r="I171" s="89" t="s">
        <v>117</v>
      </c>
      <c r="J171" s="89" t="s">
        <v>131</v>
      </c>
      <c r="K171" s="89" t="s">
        <v>144</v>
      </c>
      <c r="L171" s="89" t="s">
        <v>112</v>
      </c>
      <c r="M171" s="13"/>
      <c r="N171" s="14"/>
      <c r="P171" s="2">
        <v>226</v>
      </c>
      <c r="Q171" s="2">
        <v>227</v>
      </c>
      <c r="R171" s="2">
        <v>228</v>
      </c>
      <c r="S171" s="22">
        <v>229</v>
      </c>
      <c r="T171" s="22">
        <v>231</v>
      </c>
      <c r="U171" s="22">
        <v>232</v>
      </c>
      <c r="V171" s="2">
        <v>255</v>
      </c>
      <c r="W171" s="22">
        <v>88</v>
      </c>
    </row>
    <row r="172" spans="1:23" x14ac:dyDescent="0.2">
      <c r="A172" s="109"/>
      <c r="B172" s="101"/>
      <c r="C172" s="87" t="s">
        <v>452</v>
      </c>
      <c r="D172" s="3"/>
      <c r="E172" s="4" t="s">
        <v>127</v>
      </c>
      <c r="F172" s="4" t="s">
        <v>723</v>
      </c>
      <c r="G172" s="4" t="s">
        <v>724</v>
      </c>
      <c r="H172" s="89" t="s">
        <v>59</v>
      </c>
      <c r="I172" s="30"/>
      <c r="J172" s="30"/>
      <c r="K172" s="30"/>
      <c r="L172" s="30"/>
      <c r="M172" s="4"/>
      <c r="N172" s="14" t="s">
        <v>137</v>
      </c>
      <c r="P172" s="2">
        <v>238</v>
      </c>
      <c r="Q172" s="2">
        <v>239</v>
      </c>
      <c r="R172" s="2">
        <v>278</v>
      </c>
      <c r="S172" s="2">
        <v>240</v>
      </c>
    </row>
    <row r="173" spans="1:23" x14ac:dyDescent="0.2">
      <c r="A173" s="109"/>
      <c r="B173" s="101"/>
      <c r="C173" s="20" t="s">
        <v>726</v>
      </c>
      <c r="D173" s="3"/>
      <c r="E173" s="90" t="s">
        <v>278</v>
      </c>
      <c r="F173" s="90" t="s">
        <v>276</v>
      </c>
      <c r="G173" s="90" t="s">
        <v>316</v>
      </c>
      <c r="H173" s="90" t="s">
        <v>277</v>
      </c>
      <c r="I173" s="90" t="s">
        <v>279</v>
      </c>
      <c r="J173" s="3"/>
      <c r="K173" s="3"/>
      <c r="L173" s="3"/>
      <c r="M173" s="13"/>
      <c r="N173" s="19" t="s">
        <v>280</v>
      </c>
      <c r="P173" s="2">
        <v>336</v>
      </c>
      <c r="Q173" s="2">
        <v>337</v>
      </c>
      <c r="R173" s="2">
        <v>338</v>
      </c>
      <c r="S173" s="22">
        <v>339</v>
      </c>
      <c r="T173" s="22">
        <v>340</v>
      </c>
    </row>
    <row r="174" spans="1:23" x14ac:dyDescent="0.2">
      <c r="A174" s="109"/>
      <c r="B174" s="101"/>
      <c r="C174" s="20" t="s">
        <v>725</v>
      </c>
      <c r="D174" s="3"/>
      <c r="E174" s="18" t="s">
        <v>42</v>
      </c>
      <c r="F174" s="3"/>
      <c r="G174" s="3"/>
      <c r="H174" s="3"/>
      <c r="I174" s="3"/>
      <c r="J174" s="3"/>
      <c r="K174" s="3"/>
      <c r="L174" s="3"/>
      <c r="M174" s="13"/>
      <c r="N174" s="19"/>
      <c r="P174" s="2">
        <v>41</v>
      </c>
      <c r="Q174" s="2"/>
      <c r="R174" s="2"/>
      <c r="S174" s="22"/>
      <c r="T174" s="22"/>
    </row>
    <row r="175" spans="1:23" x14ac:dyDescent="0.2">
      <c r="A175" s="109"/>
      <c r="B175" s="101"/>
      <c r="C175" s="87" t="s">
        <v>727</v>
      </c>
      <c r="D175" s="3"/>
      <c r="E175" s="52" t="s">
        <v>178</v>
      </c>
      <c r="F175" s="89" t="s">
        <v>140</v>
      </c>
      <c r="G175" s="89" t="s">
        <v>141</v>
      </c>
      <c r="H175" s="30"/>
      <c r="I175" s="30"/>
      <c r="J175" s="30"/>
      <c r="K175" s="30"/>
      <c r="L175" s="30"/>
      <c r="M175" s="42"/>
      <c r="N175" s="14"/>
      <c r="P175" s="2">
        <v>267</v>
      </c>
      <c r="Q175" s="2">
        <v>252</v>
      </c>
      <c r="R175" s="2">
        <v>253</v>
      </c>
    </row>
    <row r="176" spans="1:23" x14ac:dyDescent="0.2">
      <c r="A176" s="109"/>
      <c r="B176" s="101"/>
      <c r="C176" s="87" t="s">
        <v>728</v>
      </c>
      <c r="D176" s="3"/>
      <c r="E176" s="4" t="s">
        <v>121</v>
      </c>
      <c r="F176" s="4" t="s">
        <v>124</v>
      </c>
      <c r="G176" s="18" t="s">
        <v>126</v>
      </c>
      <c r="H176" s="51" t="s">
        <v>125</v>
      </c>
      <c r="I176" s="51" t="s">
        <v>480</v>
      </c>
      <c r="J176" s="51" t="s">
        <v>270</v>
      </c>
      <c r="K176" s="51" t="s">
        <v>274</v>
      </c>
      <c r="L176" s="51" t="s">
        <v>138</v>
      </c>
      <c r="M176" s="10"/>
      <c r="N176" s="19" t="s">
        <v>585</v>
      </c>
      <c r="P176" s="2">
        <v>241</v>
      </c>
      <c r="Q176" s="2">
        <v>242</v>
      </c>
      <c r="R176" s="2">
        <v>243</v>
      </c>
      <c r="S176" s="22">
        <v>244</v>
      </c>
      <c r="T176" s="22">
        <v>427</v>
      </c>
      <c r="U176" s="22">
        <v>274</v>
      </c>
      <c r="V176" s="22">
        <v>332</v>
      </c>
      <c r="W176" s="2">
        <v>251</v>
      </c>
    </row>
    <row r="177" spans="1:22" x14ac:dyDescent="0.2">
      <c r="A177" s="109"/>
      <c r="B177" s="101"/>
      <c r="C177" s="20" t="s">
        <v>120</v>
      </c>
      <c r="D177" s="3"/>
      <c r="E177" s="18" t="s">
        <v>210</v>
      </c>
      <c r="F177" s="48" t="s">
        <v>286</v>
      </c>
      <c r="H177" s="30"/>
      <c r="I177" s="30"/>
      <c r="J177" s="30"/>
      <c r="K177" s="30"/>
      <c r="L177" s="30"/>
      <c r="M177" s="13"/>
      <c r="N177" s="14"/>
      <c r="P177" s="22">
        <v>139</v>
      </c>
      <c r="Q177" s="2">
        <v>341</v>
      </c>
      <c r="S177" s="2"/>
      <c r="T177" s="22"/>
      <c r="U177" s="22"/>
      <c r="V177" s="22"/>
    </row>
    <row r="178" spans="1:22" x14ac:dyDescent="0.2">
      <c r="A178" s="109"/>
      <c r="B178" s="101"/>
      <c r="C178" s="87" t="s">
        <v>730</v>
      </c>
      <c r="D178" s="3"/>
      <c r="E178" s="4" t="s">
        <v>731</v>
      </c>
      <c r="F178" s="89" t="s">
        <v>732</v>
      </c>
      <c r="G178" s="51" t="s">
        <v>118</v>
      </c>
      <c r="H178" s="3"/>
      <c r="I178" s="30"/>
      <c r="J178" s="30"/>
      <c r="K178" s="30"/>
      <c r="L178" s="30"/>
      <c r="M178" s="4"/>
      <c r="N178" s="14"/>
      <c r="P178" s="2">
        <v>301</v>
      </c>
      <c r="Q178" s="2">
        <v>245</v>
      </c>
      <c r="R178" s="2">
        <v>246</v>
      </c>
    </row>
    <row r="179" spans="1:22" x14ac:dyDescent="0.2">
      <c r="A179" s="109"/>
      <c r="B179" s="106" t="s">
        <v>748</v>
      </c>
      <c r="C179" s="20" t="s">
        <v>747</v>
      </c>
      <c r="D179" s="3"/>
      <c r="E179" s="43" t="s">
        <v>113</v>
      </c>
      <c r="F179" s="51" t="s">
        <v>80</v>
      </c>
      <c r="G179" s="3"/>
      <c r="H179" s="3"/>
      <c r="I179" s="3"/>
      <c r="J179" s="3"/>
      <c r="K179" s="3"/>
      <c r="L179" s="3"/>
      <c r="M179" s="13"/>
      <c r="N179" s="19"/>
      <c r="P179" s="2">
        <v>225</v>
      </c>
      <c r="Q179" s="2">
        <v>30</v>
      </c>
      <c r="R179" s="2"/>
    </row>
    <row r="180" spans="1:22" x14ac:dyDescent="0.2">
      <c r="A180" s="109"/>
      <c r="B180" s="107"/>
      <c r="C180" s="95" t="s">
        <v>794</v>
      </c>
      <c r="D180" s="3">
        <v>13</v>
      </c>
      <c r="E180" s="52">
        <v>1</v>
      </c>
      <c r="F180" s="89">
        <v>2</v>
      </c>
      <c r="G180" s="89" t="s">
        <v>42</v>
      </c>
      <c r="H180" s="3"/>
      <c r="I180" s="3"/>
      <c r="J180" s="3"/>
      <c r="K180" s="3"/>
      <c r="L180" s="3"/>
      <c r="M180" s="4"/>
      <c r="N180" s="19"/>
      <c r="P180" s="2">
        <v>93</v>
      </c>
      <c r="Q180" s="2">
        <v>94</v>
      </c>
      <c r="R180" s="2">
        <v>95</v>
      </c>
      <c r="U180" s="2"/>
    </row>
    <row r="181" spans="1:22" ht="13.15" customHeight="1" x14ac:dyDescent="0.2">
      <c r="A181" s="109"/>
      <c r="B181" s="107"/>
      <c r="C181" s="95" t="s">
        <v>794</v>
      </c>
      <c r="D181" s="3">
        <v>2</v>
      </c>
      <c r="E181" s="18">
        <v>1</v>
      </c>
      <c r="F181" s="89">
        <v>2</v>
      </c>
      <c r="G181" s="89" t="s">
        <v>42</v>
      </c>
      <c r="H181" s="3"/>
      <c r="I181" s="3"/>
      <c r="J181" s="3"/>
      <c r="K181" s="3"/>
      <c r="L181" s="3"/>
      <c r="M181" s="4"/>
      <c r="N181" s="19"/>
      <c r="P181" s="2">
        <v>93</v>
      </c>
      <c r="Q181" s="2">
        <v>94</v>
      </c>
      <c r="R181" s="2">
        <v>95</v>
      </c>
      <c r="U181" s="2"/>
    </row>
    <row r="182" spans="1:22" x14ac:dyDescent="0.2">
      <c r="A182" s="109"/>
      <c r="B182" s="108"/>
      <c r="C182" s="95" t="s">
        <v>746</v>
      </c>
      <c r="D182" s="3">
        <v>4</v>
      </c>
      <c r="E182" s="55">
        <v>1</v>
      </c>
      <c r="F182" s="89">
        <v>2</v>
      </c>
      <c r="G182" s="89" t="s">
        <v>42</v>
      </c>
      <c r="H182" s="3"/>
      <c r="I182" s="3"/>
      <c r="J182" s="3"/>
      <c r="K182" s="3"/>
      <c r="L182" s="3"/>
      <c r="M182" s="42"/>
      <c r="N182" s="19" t="s">
        <v>949</v>
      </c>
      <c r="P182" s="2">
        <v>188</v>
      </c>
      <c r="Q182" s="2">
        <v>189</v>
      </c>
      <c r="R182" s="2">
        <v>190</v>
      </c>
      <c r="S182" s="2"/>
      <c r="T182" s="2"/>
      <c r="U182" s="2"/>
    </row>
    <row r="184" spans="1:22" x14ac:dyDescent="0.2">
      <c r="B184" s="1" t="s">
        <v>21</v>
      </c>
      <c r="G184" s="2"/>
    </row>
    <row r="185" spans="1:22" x14ac:dyDescent="0.2">
      <c r="B185" s="1"/>
      <c r="F185" s="2"/>
    </row>
    <row r="186" spans="1:22" x14ac:dyDescent="0.2">
      <c r="B186" s="1" t="s">
        <v>22</v>
      </c>
      <c r="C186" s="2" t="s">
        <v>29</v>
      </c>
      <c r="D186" s="2"/>
      <c r="F186" s="2"/>
    </row>
    <row r="187" spans="1:22" x14ac:dyDescent="0.2">
      <c r="B187" s="64" t="s">
        <v>84</v>
      </c>
      <c r="C187" s="2" t="s">
        <v>85</v>
      </c>
      <c r="D187" s="2"/>
    </row>
    <row r="188" spans="1:22" x14ac:dyDescent="0.2">
      <c r="B188" s="27" t="s">
        <v>103</v>
      </c>
      <c r="C188" s="2" t="s">
        <v>104</v>
      </c>
      <c r="D188" s="2"/>
    </row>
    <row r="189" spans="1:22" x14ac:dyDescent="0.2">
      <c r="B189" s="63" t="s">
        <v>26</v>
      </c>
      <c r="C189" s="2" t="s">
        <v>24</v>
      </c>
      <c r="D189" s="2"/>
    </row>
    <row r="190" spans="1:22" ht="15" x14ac:dyDescent="0.2">
      <c r="B190" s="57" t="s">
        <v>28</v>
      </c>
      <c r="C190" s="2" t="s">
        <v>27</v>
      </c>
      <c r="D190" s="2"/>
    </row>
    <row r="191" spans="1:22" x14ac:dyDescent="0.2">
      <c r="B191" s="15" t="s">
        <v>23</v>
      </c>
      <c r="C191" s="2" t="s">
        <v>25</v>
      </c>
      <c r="D191" s="2"/>
    </row>
    <row r="192" spans="1:22" x14ac:dyDescent="0.2">
      <c r="B192" s="7" t="s">
        <v>30</v>
      </c>
      <c r="C192" s="2" t="s">
        <v>268</v>
      </c>
      <c r="D192" s="2"/>
    </row>
    <row r="193" spans="2:4" x14ac:dyDescent="0.2">
      <c r="B193" s="17">
        <v>63</v>
      </c>
      <c r="C193" s="2" t="s">
        <v>47</v>
      </c>
      <c r="D193" s="2"/>
    </row>
    <row r="195" spans="2:4" x14ac:dyDescent="0.2">
      <c r="B195" s="58" t="s">
        <v>34</v>
      </c>
    </row>
    <row r="197" spans="2:4" x14ac:dyDescent="0.2">
      <c r="B197" t="s">
        <v>35</v>
      </c>
      <c r="C197" t="s">
        <v>36</v>
      </c>
    </row>
    <row r="198" spans="2:4" x14ac:dyDescent="0.2">
      <c r="B198" t="s">
        <v>37</v>
      </c>
      <c r="C198" t="s">
        <v>38</v>
      </c>
    </row>
    <row r="200" spans="2:4" x14ac:dyDescent="0.2">
      <c r="B200" s="2" t="s">
        <v>39</v>
      </c>
    </row>
    <row r="202" spans="2:4" x14ac:dyDescent="0.2">
      <c r="B202" t="s">
        <v>45</v>
      </c>
    </row>
    <row r="203" spans="2:4" x14ac:dyDescent="0.2">
      <c r="B203" s="2" t="s">
        <v>40</v>
      </c>
    </row>
    <row r="204" spans="2:4" x14ac:dyDescent="0.2">
      <c r="B204" s="2" t="s">
        <v>48</v>
      </c>
    </row>
    <row r="206" spans="2:4" x14ac:dyDescent="0.2">
      <c r="B206" s="2" t="s">
        <v>98</v>
      </c>
    </row>
    <row r="207" spans="2:4" x14ac:dyDescent="0.2">
      <c r="B207" s="2" t="s">
        <v>46</v>
      </c>
      <c r="C207" s="2" t="s">
        <v>105</v>
      </c>
      <c r="D207" s="2"/>
    </row>
    <row r="208" spans="2:4" x14ac:dyDescent="0.2">
      <c r="B208" s="2" t="s">
        <v>99</v>
      </c>
      <c r="C208" s="2" t="s">
        <v>106</v>
      </c>
      <c r="D208" s="2"/>
    </row>
    <row r="209" spans="2:21" x14ac:dyDescent="0.2">
      <c r="B209" s="2" t="s">
        <v>100</v>
      </c>
      <c r="C209" s="2" t="s">
        <v>737</v>
      </c>
      <c r="D209" s="2"/>
    </row>
    <row r="210" spans="2:21" x14ac:dyDescent="0.2">
      <c r="B210" s="2" t="s">
        <v>11</v>
      </c>
      <c r="C210" s="2" t="s">
        <v>101</v>
      </c>
      <c r="D210" s="2"/>
    </row>
    <row r="213" spans="2:21" ht="15.95" customHeight="1" x14ac:dyDescent="0.2">
      <c r="C213" s="25" t="s">
        <v>107</v>
      </c>
      <c r="D213" s="25"/>
      <c r="E213" s="47" t="s">
        <v>236</v>
      </c>
      <c r="F213" s="47" t="s">
        <v>641</v>
      </c>
      <c r="G213" s="48" t="s">
        <v>228</v>
      </c>
      <c r="H213" s="48" t="s">
        <v>214</v>
      </c>
      <c r="I213" s="3"/>
      <c r="J213" s="3"/>
      <c r="K213" s="3"/>
      <c r="L213" s="3"/>
      <c r="M213" s="4"/>
      <c r="N213" s="19"/>
      <c r="P213" s="2">
        <v>3</v>
      </c>
      <c r="Q213" s="2">
        <v>25</v>
      </c>
      <c r="R213" s="2">
        <v>311</v>
      </c>
      <c r="S213" s="2">
        <v>312</v>
      </c>
    </row>
    <row r="214" spans="2:21" ht="15.95" customHeight="1" x14ac:dyDescent="0.2">
      <c r="C214" s="25" t="s">
        <v>108</v>
      </c>
      <c r="D214" s="25"/>
      <c r="E214" s="47" t="s">
        <v>640</v>
      </c>
      <c r="F214" s="47" t="s">
        <v>642</v>
      </c>
      <c r="G214" s="48" t="s">
        <v>213</v>
      </c>
      <c r="H214" s="48" t="s">
        <v>215</v>
      </c>
      <c r="I214" s="3"/>
      <c r="J214" s="3"/>
      <c r="K214" s="3"/>
      <c r="L214" s="3"/>
      <c r="M214" s="42"/>
      <c r="N214" s="19"/>
      <c r="P214" s="2">
        <v>202</v>
      </c>
      <c r="Q214" s="2">
        <v>203</v>
      </c>
      <c r="R214" s="2">
        <v>313</v>
      </c>
      <c r="S214" s="2">
        <v>314</v>
      </c>
    </row>
    <row r="215" spans="2:21" ht="15.95" customHeight="1" x14ac:dyDescent="0.2">
      <c r="C215" s="28" t="s">
        <v>632</v>
      </c>
      <c r="D215" s="28"/>
      <c r="E215" s="47">
        <v>3</v>
      </c>
      <c r="F215" s="49" t="s">
        <v>43</v>
      </c>
      <c r="G215" s="3"/>
      <c r="H215" s="3"/>
      <c r="I215" s="3"/>
      <c r="J215" s="3"/>
      <c r="K215" s="3"/>
      <c r="L215" s="3"/>
      <c r="M215" s="10"/>
      <c r="N215" s="19" t="s">
        <v>606</v>
      </c>
      <c r="P215" s="2">
        <v>70</v>
      </c>
      <c r="Q215" s="2">
        <v>71</v>
      </c>
    </row>
    <row r="216" spans="2:21" ht="15.95" customHeight="1" x14ac:dyDescent="0.2">
      <c r="C216" s="26" t="s">
        <v>7</v>
      </c>
      <c r="D216" s="26"/>
      <c r="E216" s="51" t="s">
        <v>475</v>
      </c>
      <c r="F216" s="20"/>
      <c r="G216" s="3"/>
      <c r="H216" s="3"/>
      <c r="I216" s="3"/>
      <c r="J216" s="3"/>
      <c r="K216" s="3"/>
      <c r="L216" s="3"/>
      <c r="M216" s="13"/>
      <c r="N216" s="19" t="s">
        <v>514</v>
      </c>
      <c r="P216" s="2">
        <v>27</v>
      </c>
      <c r="Q216" s="17"/>
    </row>
    <row r="217" spans="2:21" ht="15.95" customHeight="1" x14ac:dyDescent="0.2">
      <c r="C217" s="3" t="s">
        <v>607</v>
      </c>
      <c r="D217" s="3"/>
      <c r="E217" s="18" t="s">
        <v>8</v>
      </c>
      <c r="F217" s="54" t="s">
        <v>516</v>
      </c>
      <c r="G217" s="3"/>
      <c r="H217" s="3"/>
      <c r="I217" s="3"/>
      <c r="J217" s="3"/>
      <c r="K217" s="3"/>
      <c r="L217" s="3"/>
      <c r="M217" s="4"/>
      <c r="N217" s="19" t="s">
        <v>515</v>
      </c>
      <c r="P217" s="2">
        <v>28</v>
      </c>
      <c r="Q217" s="2">
        <v>6</v>
      </c>
    </row>
    <row r="219" spans="2:21" x14ac:dyDescent="0.2">
      <c r="E219" s="51" t="s">
        <v>734</v>
      </c>
      <c r="F219" s="89" t="s">
        <v>735</v>
      </c>
    </row>
    <row r="221" spans="2:21" x14ac:dyDescent="0.2">
      <c r="C221" s="93" t="s">
        <v>773</v>
      </c>
      <c r="D221" s="3"/>
      <c r="E221" s="51" t="s">
        <v>112</v>
      </c>
      <c r="F221" s="3"/>
      <c r="G221" s="3"/>
      <c r="H221" s="3"/>
      <c r="I221" s="3"/>
      <c r="J221" s="3"/>
      <c r="K221" s="3"/>
      <c r="L221" s="3"/>
      <c r="M221" s="4"/>
      <c r="N221" s="19"/>
      <c r="P221" s="2">
        <v>187</v>
      </c>
      <c r="Q221" s="2"/>
      <c r="R221" s="2"/>
      <c r="S221" s="2"/>
      <c r="T221" s="2"/>
      <c r="U221" s="2"/>
    </row>
  </sheetData>
  <mergeCells count="34">
    <mergeCell ref="B124:B139"/>
    <mergeCell ref="B108:B111"/>
    <mergeCell ref="B2:B6"/>
    <mergeCell ref="A2:A6"/>
    <mergeCell ref="B158:B166"/>
    <mergeCell ref="A108:A166"/>
    <mergeCell ref="A7:A107"/>
    <mergeCell ref="B112:B123"/>
    <mergeCell ref="B7:B13"/>
    <mergeCell ref="B14:B17"/>
    <mergeCell ref="B179:B182"/>
    <mergeCell ref="A167:A182"/>
    <mergeCell ref="B140:B144"/>
    <mergeCell ref="B145:B148"/>
    <mergeCell ref="B151:B155"/>
    <mergeCell ref="B156:B157"/>
    <mergeCell ref="B149:B150"/>
    <mergeCell ref="B167:B178"/>
    <mergeCell ref="B99:B107"/>
    <mergeCell ref="B86:B98"/>
    <mergeCell ref="B63:B78"/>
    <mergeCell ref="B79:B85"/>
    <mergeCell ref="E58:F58"/>
    <mergeCell ref="E59:F59"/>
    <mergeCell ref="E61:F61"/>
    <mergeCell ref="E60:F60"/>
    <mergeCell ref="B56:B62"/>
    <mergeCell ref="E1:I1"/>
    <mergeCell ref="B18:B36"/>
    <mergeCell ref="B37:B55"/>
    <mergeCell ref="G56:H56"/>
    <mergeCell ref="E62:F62"/>
    <mergeCell ref="E57:F57"/>
    <mergeCell ref="E56:F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861</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815</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912</v>
      </c>
      <c r="E5" s="40" t="s">
        <v>882</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912</v>
      </c>
      <c r="E6" s="40" t="s">
        <v>883</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887</v>
      </c>
      <c r="D7" s="37" t="s">
        <v>863</v>
      </c>
      <c r="E7" s="37" t="s">
        <v>68</v>
      </c>
      <c r="O7" s="33">
        <v>1</v>
      </c>
      <c r="S7" s="37">
        <v>0</v>
      </c>
      <c r="T7" s="37">
        <v>-1</v>
      </c>
      <c r="W7" s="37" t="s">
        <v>146</v>
      </c>
    </row>
    <row r="8" spans="1:24" ht="13.15" customHeight="1" x14ac:dyDescent="0.2">
      <c r="A8" s="37">
        <v>7</v>
      </c>
      <c r="B8" s="37" t="s">
        <v>31</v>
      </c>
      <c r="C8" s="37" t="s">
        <v>12</v>
      </c>
      <c r="D8" s="37" t="s">
        <v>859</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916</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767</v>
      </c>
      <c r="S10" s="37">
        <v>100</v>
      </c>
      <c r="T10" s="37">
        <v>0</v>
      </c>
      <c r="W10" s="37" t="s">
        <v>780</v>
      </c>
    </row>
    <row r="11" spans="1:24" ht="13.15" customHeight="1" x14ac:dyDescent="0.2">
      <c r="A11" s="37">
        <v>10</v>
      </c>
      <c r="B11" s="37" t="s">
        <v>31</v>
      </c>
      <c r="C11" s="37" t="s">
        <v>887</v>
      </c>
      <c r="D11" s="37" t="s">
        <v>879</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860</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823</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861</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824</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887</v>
      </c>
      <c r="D22" s="37" t="s">
        <v>863</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916</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778</v>
      </c>
      <c r="D25" s="37" t="s">
        <v>776</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916</v>
      </c>
      <c r="D26" s="37" t="s">
        <v>927</v>
      </c>
      <c r="E26" s="37" t="s">
        <v>2</v>
      </c>
      <c r="F26" s="33">
        <v>5</v>
      </c>
      <c r="L26" s="33">
        <v>1</v>
      </c>
      <c r="S26" s="37">
        <v>50</v>
      </c>
      <c r="T26" s="37">
        <v>0</v>
      </c>
      <c r="V26" s="37" t="s">
        <v>506</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916</v>
      </c>
      <c r="D28" s="37" t="s">
        <v>927</v>
      </c>
      <c r="E28" s="37" t="s">
        <v>4</v>
      </c>
      <c r="F28" s="33">
        <v>5</v>
      </c>
      <c r="L28" s="33">
        <v>1</v>
      </c>
      <c r="S28" s="37">
        <v>100</v>
      </c>
      <c r="T28" s="37">
        <v>0</v>
      </c>
      <c r="V28" s="37" t="s">
        <v>506</v>
      </c>
    </row>
    <row r="29" spans="1:24" ht="13.15" customHeight="1" x14ac:dyDescent="0.2">
      <c r="A29" s="37">
        <v>28</v>
      </c>
      <c r="B29" s="37" t="s">
        <v>31</v>
      </c>
      <c r="C29" s="37" t="s">
        <v>916</v>
      </c>
      <c r="D29" s="37" t="s">
        <v>927</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854</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778</v>
      </c>
      <c r="D36" s="37" t="s">
        <v>777</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773</v>
      </c>
      <c r="E37" s="37" t="s">
        <v>112</v>
      </c>
      <c r="F37" s="34" t="s">
        <v>186</v>
      </c>
      <c r="G37" s="34" t="s">
        <v>164</v>
      </c>
      <c r="H37" s="35"/>
      <c r="I37" s="34"/>
      <c r="J37" s="68"/>
      <c r="K37" s="68"/>
      <c r="L37" s="71"/>
      <c r="P37" s="34" t="s">
        <v>795</v>
      </c>
      <c r="Q37" s="35"/>
      <c r="R37" s="35"/>
      <c r="S37" s="37">
        <v>100</v>
      </c>
      <c r="T37" s="37">
        <v>0</v>
      </c>
      <c r="W37" s="37" t="s">
        <v>788</v>
      </c>
    </row>
    <row r="38" spans="1:24" ht="13.15" customHeight="1" x14ac:dyDescent="0.2">
      <c r="A38" s="37">
        <v>37</v>
      </c>
      <c r="B38" s="37" t="s">
        <v>31</v>
      </c>
      <c r="C38" s="37" t="s">
        <v>12</v>
      </c>
      <c r="D38" s="37" t="s">
        <v>857</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856</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887</v>
      </c>
      <c r="D40" s="37" t="s">
        <v>879</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828</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932</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932</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932</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932</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778</v>
      </c>
      <c r="D47" s="37" t="s">
        <v>777</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764</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835</v>
      </c>
      <c r="E49" s="40" t="s">
        <v>836</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854</v>
      </c>
      <c r="E50" s="40" t="s">
        <v>869</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853</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852</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916</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916</v>
      </c>
      <c r="D60" s="37" t="s">
        <v>920</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916</v>
      </c>
      <c r="D61" s="37" t="s">
        <v>920</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916</v>
      </c>
      <c r="D62" s="37" t="s">
        <v>920</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916</v>
      </c>
      <c r="D63" s="37" t="s">
        <v>920</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916</v>
      </c>
      <c r="D64" s="37" t="s">
        <v>922</v>
      </c>
      <c r="E64" s="40" t="s">
        <v>2</v>
      </c>
      <c r="F64" s="34" t="s">
        <v>184</v>
      </c>
      <c r="G64" s="34"/>
      <c r="H64" s="34"/>
      <c r="I64" s="34"/>
      <c r="J64" s="68">
        <f>VLOOKUP($A64, Stat!$A$1:$C$1000, 2,0)</f>
        <v>18</v>
      </c>
      <c r="K64" s="68">
        <f>VLOOKUP($A64, Stat!$A$1:$C$1000, 3,0)</f>
        <v>5</v>
      </c>
      <c r="L64" s="33">
        <v>1</v>
      </c>
      <c r="P64" s="34" t="s">
        <v>890</v>
      </c>
      <c r="Q64" s="35"/>
      <c r="R64" s="35"/>
      <c r="S64" s="37">
        <v>0</v>
      </c>
      <c r="T64" s="37">
        <v>1</v>
      </c>
      <c r="V64" s="37" t="s">
        <v>507</v>
      </c>
      <c r="X64" s="37">
        <v>1</v>
      </c>
    </row>
    <row r="65" spans="1:24" ht="13.15" customHeight="1" x14ac:dyDescent="0.2">
      <c r="A65" s="37">
        <v>64</v>
      </c>
      <c r="B65" s="37" t="s">
        <v>31</v>
      </c>
      <c r="C65" s="37" t="s">
        <v>916</v>
      </c>
      <c r="D65" s="37" t="s">
        <v>922</v>
      </c>
      <c r="E65" s="40" t="s">
        <v>3</v>
      </c>
      <c r="F65" s="34" t="s">
        <v>184</v>
      </c>
      <c r="G65" s="34"/>
      <c r="H65" s="34"/>
      <c r="I65" s="34"/>
      <c r="J65" s="68">
        <f>VLOOKUP($A65, Stat!$A$1:$C$1000, 2,0)</f>
        <v>6</v>
      </c>
      <c r="K65" s="68">
        <f>VLOOKUP($A65, Stat!$A$1:$C$1000, 3,0)</f>
        <v>2</v>
      </c>
      <c r="L65" s="33">
        <v>1</v>
      </c>
      <c r="P65" s="34" t="s">
        <v>891</v>
      </c>
      <c r="Q65" s="35"/>
      <c r="R65" s="35"/>
      <c r="S65" s="37">
        <v>0</v>
      </c>
      <c r="T65" s="37">
        <v>0</v>
      </c>
      <c r="V65" s="37" t="s">
        <v>507</v>
      </c>
      <c r="X65" s="37">
        <v>1</v>
      </c>
    </row>
    <row r="66" spans="1:24" ht="13.15" customHeight="1" x14ac:dyDescent="0.2">
      <c r="A66" s="37">
        <v>65</v>
      </c>
      <c r="B66" s="37" t="s">
        <v>31</v>
      </c>
      <c r="C66" s="37" t="s">
        <v>916</v>
      </c>
      <c r="D66" s="37" t="s">
        <v>922</v>
      </c>
      <c r="E66" s="40" t="s">
        <v>4</v>
      </c>
      <c r="F66" s="34" t="s">
        <v>184</v>
      </c>
      <c r="G66" s="34"/>
      <c r="H66" s="34"/>
      <c r="I66" s="34"/>
      <c r="J66" s="68">
        <f>VLOOKUP($A66, Stat!$A$1:$C$1000, 2,0)</f>
        <v>7</v>
      </c>
      <c r="K66" s="68">
        <f>VLOOKUP($A66, Stat!$A$1:$C$1000, 3,0)</f>
        <v>2</v>
      </c>
      <c r="L66" s="33">
        <v>1</v>
      </c>
      <c r="P66" s="34" t="s">
        <v>892</v>
      </c>
      <c r="Q66" s="35"/>
      <c r="R66" s="35"/>
      <c r="S66" s="37">
        <v>50</v>
      </c>
      <c r="T66" s="37">
        <v>0</v>
      </c>
      <c r="V66" s="37" t="s">
        <v>507</v>
      </c>
      <c r="X66" s="37">
        <v>1</v>
      </c>
    </row>
    <row r="67" spans="1:24" ht="13.15" customHeight="1" x14ac:dyDescent="0.2">
      <c r="A67" s="37">
        <v>66</v>
      </c>
      <c r="B67" s="37" t="s">
        <v>31</v>
      </c>
      <c r="C67" s="37" t="s">
        <v>916</v>
      </c>
      <c r="D67" s="37" t="s">
        <v>922</v>
      </c>
      <c r="E67" s="40" t="s">
        <v>41</v>
      </c>
      <c r="F67" s="34" t="s">
        <v>184</v>
      </c>
      <c r="G67" s="34"/>
      <c r="H67" s="34"/>
      <c r="I67" s="34"/>
      <c r="J67" s="68">
        <f>VLOOKUP($A67, Stat!$A$1:$C$1000, 2,0)</f>
        <v>2</v>
      </c>
      <c r="K67" s="68">
        <f>VLOOKUP($A67, Stat!$A$1:$C$1000, 3,0)</f>
        <v>2</v>
      </c>
      <c r="L67" s="33">
        <v>1</v>
      </c>
      <c r="P67" s="34" t="s">
        <v>893</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887</v>
      </c>
      <c r="D71" s="37" t="s">
        <v>878</v>
      </c>
      <c r="E71" s="37" t="s">
        <v>686</v>
      </c>
      <c r="F71" s="33">
        <v>9</v>
      </c>
      <c r="I71" s="74" t="s">
        <v>416</v>
      </c>
      <c r="S71" s="37">
        <v>50</v>
      </c>
      <c r="T71" s="37">
        <v>0</v>
      </c>
      <c r="V71" s="37" t="s">
        <v>522</v>
      </c>
      <c r="W71" s="37" t="s">
        <v>688</v>
      </c>
    </row>
    <row r="72" spans="1:24" ht="13.15" customHeight="1" x14ac:dyDescent="0.2">
      <c r="A72" s="37">
        <v>71</v>
      </c>
      <c r="B72" s="37" t="s">
        <v>31</v>
      </c>
      <c r="C72" s="37" t="s">
        <v>887</v>
      </c>
      <c r="D72" s="37" t="s">
        <v>878</v>
      </c>
      <c r="E72" s="37" t="s">
        <v>687</v>
      </c>
      <c r="F72" s="33">
        <v>9</v>
      </c>
      <c r="I72" s="74" t="s">
        <v>416</v>
      </c>
      <c r="S72" s="37">
        <v>50</v>
      </c>
      <c r="T72" s="37">
        <v>0</v>
      </c>
      <c r="V72" s="37" t="s">
        <v>522</v>
      </c>
      <c r="W72" s="37" t="s">
        <v>688</v>
      </c>
    </row>
    <row r="73" spans="1:24" ht="13.15" customHeight="1" x14ac:dyDescent="0.2">
      <c r="A73" s="37">
        <v>72</v>
      </c>
      <c r="B73" s="37" t="s">
        <v>13</v>
      </c>
      <c r="C73" s="37" t="s">
        <v>53</v>
      </c>
      <c r="D73" s="37" t="s">
        <v>789</v>
      </c>
      <c r="E73" s="37" t="s">
        <v>634</v>
      </c>
      <c r="F73" s="34" t="s">
        <v>361</v>
      </c>
      <c r="G73" s="34" t="s">
        <v>183</v>
      </c>
      <c r="H73" s="34" t="s">
        <v>164</v>
      </c>
      <c r="L73" s="33">
        <v>1</v>
      </c>
      <c r="S73" s="37">
        <v>0</v>
      </c>
      <c r="T73" s="37">
        <v>1</v>
      </c>
      <c r="W73" s="37" t="s">
        <v>790</v>
      </c>
    </row>
    <row r="74" spans="1:24" ht="13.15" customHeight="1" x14ac:dyDescent="0.2">
      <c r="A74" s="37">
        <v>73</v>
      </c>
      <c r="B74" s="37" t="s">
        <v>13</v>
      </c>
      <c r="C74" s="37" t="s">
        <v>53</v>
      </c>
      <c r="D74" s="37" t="s">
        <v>789</v>
      </c>
      <c r="E74" s="37" t="s">
        <v>635</v>
      </c>
      <c r="F74" s="34" t="s">
        <v>361</v>
      </c>
      <c r="G74" s="34" t="s">
        <v>183</v>
      </c>
      <c r="H74" s="34" t="s">
        <v>164</v>
      </c>
      <c r="L74" s="33">
        <v>1</v>
      </c>
      <c r="S74" s="37">
        <v>50</v>
      </c>
      <c r="T74" s="37">
        <v>0</v>
      </c>
      <c r="W74" s="37" t="s">
        <v>791</v>
      </c>
    </row>
    <row r="75" spans="1:24" ht="13.15" customHeight="1" x14ac:dyDescent="0.2">
      <c r="A75" s="37">
        <v>74</v>
      </c>
      <c r="B75" s="37" t="s">
        <v>31</v>
      </c>
      <c r="C75" s="37" t="s">
        <v>46</v>
      </c>
      <c r="D75" s="37" t="s">
        <v>848</v>
      </c>
      <c r="E75" s="40" t="s">
        <v>849</v>
      </c>
      <c r="F75" s="34" t="s">
        <v>185</v>
      </c>
      <c r="G75" s="35"/>
      <c r="H75" s="35"/>
      <c r="I75" s="34" t="s">
        <v>458</v>
      </c>
      <c r="J75" s="68">
        <f>VLOOKUP($A75, Stat!$A$1:$C$1000, 2,0)</f>
        <v>31</v>
      </c>
      <c r="K75" s="68">
        <f>VLOOKUP($A75, Stat!$A$1:$C$1000, 3,0)</f>
        <v>4</v>
      </c>
      <c r="L75" s="33">
        <v>1</v>
      </c>
      <c r="P75" s="35"/>
      <c r="Q75" s="35"/>
      <c r="R75" s="35"/>
      <c r="S75" s="37">
        <v>50</v>
      </c>
      <c r="T75" s="37">
        <v>0</v>
      </c>
      <c r="W75" s="37" t="s">
        <v>889</v>
      </c>
      <c r="X75" s="37">
        <v>1</v>
      </c>
    </row>
    <row r="76" spans="1:24" ht="13.15" customHeight="1" x14ac:dyDescent="0.2">
      <c r="A76" s="37">
        <v>75</v>
      </c>
      <c r="B76" s="37" t="s">
        <v>13</v>
      </c>
      <c r="C76" s="37" t="s">
        <v>326</v>
      </c>
      <c r="D76" s="37" t="s">
        <v>244</v>
      </c>
      <c r="E76" s="40" t="s">
        <v>765</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789</v>
      </c>
      <c r="E77" s="37" t="s">
        <v>636</v>
      </c>
      <c r="F77" s="34" t="s">
        <v>361</v>
      </c>
      <c r="G77" s="34" t="s">
        <v>183</v>
      </c>
      <c r="H77" s="34" t="s">
        <v>164</v>
      </c>
      <c r="L77" s="33">
        <v>1</v>
      </c>
      <c r="S77" s="37">
        <v>100</v>
      </c>
      <c r="T77" s="37">
        <v>0</v>
      </c>
      <c r="W77" s="37" t="s">
        <v>792</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887</v>
      </c>
      <c r="D79" s="37" t="s">
        <v>863</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887</v>
      </c>
      <c r="D80" s="37" t="s">
        <v>863</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768</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852</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779</v>
      </c>
      <c r="D90" s="37" t="s">
        <v>769</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854</v>
      </c>
      <c r="E91" s="40" t="s">
        <v>867</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768</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794</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794</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794</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779</v>
      </c>
      <c r="D97" s="37" t="s">
        <v>769</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814</v>
      </c>
      <c r="J98" s="68">
        <f>VLOOKUP($A98, Stat!$A$1:$C$1000, 2,0)</f>
        <v>3</v>
      </c>
      <c r="K98" s="68">
        <f>VLOOKUP($A98, Stat!$A$1:$C$1000, 3,0)</f>
        <v>0</v>
      </c>
      <c r="L98" s="70"/>
      <c r="S98" s="37">
        <v>50</v>
      </c>
      <c r="T98" s="37">
        <v>0</v>
      </c>
      <c r="W98" s="37" t="s">
        <v>819</v>
      </c>
      <c r="X98" s="37">
        <v>1</v>
      </c>
    </row>
    <row r="99" spans="1:24" ht="13.15" customHeight="1" x14ac:dyDescent="0.2">
      <c r="A99" s="37">
        <v>98</v>
      </c>
      <c r="B99" s="37" t="s">
        <v>13</v>
      </c>
      <c r="C99" s="37" t="s">
        <v>53</v>
      </c>
      <c r="D99" s="37" t="s">
        <v>789</v>
      </c>
      <c r="E99" s="37" t="s">
        <v>112</v>
      </c>
      <c r="F99" s="34" t="s">
        <v>361</v>
      </c>
      <c r="G99" s="34" t="s">
        <v>183</v>
      </c>
      <c r="H99" s="34" t="s">
        <v>164</v>
      </c>
      <c r="L99" s="33">
        <v>1</v>
      </c>
      <c r="S99" s="37">
        <v>100</v>
      </c>
      <c r="T99" s="37">
        <v>0</v>
      </c>
      <c r="W99" s="37" t="s">
        <v>793</v>
      </c>
    </row>
    <row r="100" spans="1:24" ht="13.15" customHeight="1" x14ac:dyDescent="0.2">
      <c r="A100" s="37">
        <v>99</v>
      </c>
      <c r="B100" s="37" t="s">
        <v>13</v>
      </c>
      <c r="C100" s="37" t="s">
        <v>13</v>
      </c>
      <c r="D100" s="37" t="s">
        <v>843</v>
      </c>
      <c r="E100" s="40" t="s">
        <v>845</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916</v>
      </c>
      <c r="D109" s="37" t="s">
        <v>919</v>
      </c>
      <c r="E109" s="40" t="s">
        <v>2</v>
      </c>
      <c r="F109" s="34" t="s">
        <v>184</v>
      </c>
      <c r="G109" s="34"/>
      <c r="H109" s="34"/>
      <c r="I109" s="34"/>
      <c r="J109" s="68">
        <f>VLOOKUP($A109, Stat!$A$1:$C$1000, 2,0)</f>
        <v>73</v>
      </c>
      <c r="K109" s="68">
        <f>VLOOKUP($A109, Stat!$A$1:$C$1000, 3,0)</f>
        <v>0</v>
      </c>
      <c r="L109" s="88"/>
      <c r="P109" s="34" t="s">
        <v>945</v>
      </c>
      <c r="Q109" s="35"/>
      <c r="R109" s="35"/>
      <c r="S109" s="37">
        <v>0</v>
      </c>
      <c r="T109" s="37">
        <v>-1</v>
      </c>
      <c r="V109" s="37" t="s">
        <v>504</v>
      </c>
      <c r="X109" s="37">
        <v>1</v>
      </c>
    </row>
    <row r="110" spans="1:24" ht="13.15" customHeight="1" x14ac:dyDescent="0.2">
      <c r="A110" s="37">
        <v>109</v>
      </c>
      <c r="B110" s="37" t="s">
        <v>31</v>
      </c>
      <c r="C110" s="37" t="s">
        <v>916</v>
      </c>
      <c r="D110" s="37" t="s">
        <v>919</v>
      </c>
      <c r="E110" s="40" t="s">
        <v>3</v>
      </c>
      <c r="F110" s="34" t="s">
        <v>184</v>
      </c>
      <c r="G110" s="34"/>
      <c r="H110" s="34"/>
      <c r="I110" s="34"/>
      <c r="J110" s="68">
        <f>VLOOKUP($A110, Stat!$A$1:$C$1000, 2,0)</f>
        <v>11</v>
      </c>
      <c r="K110" s="68">
        <f>VLOOKUP($A110, Stat!$A$1:$C$1000, 3,0)</f>
        <v>5</v>
      </c>
      <c r="L110" s="33">
        <v>1</v>
      </c>
      <c r="P110" s="34" t="s">
        <v>946</v>
      </c>
      <c r="Q110" s="35"/>
      <c r="R110" s="35"/>
      <c r="S110" s="37">
        <v>0</v>
      </c>
      <c r="T110" s="37">
        <v>0</v>
      </c>
      <c r="V110" s="37" t="s">
        <v>504</v>
      </c>
      <c r="X110" s="37">
        <v>1</v>
      </c>
    </row>
    <row r="111" spans="1:24" ht="13.15" customHeight="1" x14ac:dyDescent="0.2">
      <c r="A111" s="37">
        <v>110</v>
      </c>
      <c r="B111" s="37" t="s">
        <v>31</v>
      </c>
      <c r="C111" s="37" t="s">
        <v>916</v>
      </c>
      <c r="D111" s="37" t="s">
        <v>919</v>
      </c>
      <c r="E111" s="40" t="s">
        <v>4</v>
      </c>
      <c r="F111" s="34" t="s">
        <v>184</v>
      </c>
      <c r="G111" s="34"/>
      <c r="H111" s="34"/>
      <c r="I111" s="34"/>
      <c r="J111" s="68">
        <f>VLOOKUP($A111, Stat!$A$1:$C$1000, 2,0)</f>
        <v>9</v>
      </c>
      <c r="K111" s="68">
        <f>VLOOKUP($A111, Stat!$A$1:$C$1000, 3,0)</f>
        <v>3</v>
      </c>
      <c r="L111" s="33">
        <v>1</v>
      </c>
      <c r="P111" s="34" t="s">
        <v>947</v>
      </c>
      <c r="Q111" s="35"/>
      <c r="R111" s="35"/>
      <c r="S111" s="37">
        <v>100</v>
      </c>
      <c r="T111" s="37">
        <v>0</v>
      </c>
      <c r="V111" s="37" t="s">
        <v>504</v>
      </c>
      <c r="X111" s="37">
        <v>1</v>
      </c>
    </row>
    <row r="112" spans="1:24" ht="13.15" customHeight="1" x14ac:dyDescent="0.2">
      <c r="A112" s="37">
        <v>111</v>
      </c>
      <c r="B112" s="37" t="s">
        <v>31</v>
      </c>
      <c r="C112" s="37" t="s">
        <v>916</v>
      </c>
      <c r="D112" s="37" t="s">
        <v>919</v>
      </c>
      <c r="E112" s="40" t="s">
        <v>41</v>
      </c>
      <c r="F112" s="34" t="s">
        <v>184</v>
      </c>
      <c r="G112" s="34"/>
      <c r="H112" s="34"/>
      <c r="I112" s="34"/>
      <c r="J112" s="68">
        <f>VLOOKUP($A112, Stat!$A$1:$C$1000, 2,0)</f>
        <v>2</v>
      </c>
      <c r="K112" s="68">
        <f>VLOOKUP($A112, Stat!$A$1:$C$1000, 3,0)</f>
        <v>1</v>
      </c>
      <c r="L112" s="33">
        <v>1</v>
      </c>
      <c r="P112" s="34" t="s">
        <v>948</v>
      </c>
      <c r="Q112" s="35"/>
      <c r="R112" s="35"/>
      <c r="S112" s="37">
        <v>100</v>
      </c>
      <c r="T112" s="37">
        <v>0</v>
      </c>
      <c r="V112" s="37" t="s">
        <v>504</v>
      </c>
      <c r="X112" s="37">
        <v>1</v>
      </c>
    </row>
    <row r="113" spans="1:24" ht="13.15" customHeight="1" x14ac:dyDescent="0.2">
      <c r="A113" s="37">
        <v>112</v>
      </c>
      <c r="B113" s="37" t="s">
        <v>31</v>
      </c>
      <c r="C113" s="37" t="s">
        <v>63</v>
      </c>
      <c r="D113" s="37" t="s">
        <v>934</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934</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934</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934</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933</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933</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933</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933</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916</v>
      </c>
      <c r="D129" s="37" t="s">
        <v>917</v>
      </c>
      <c r="E129" s="40" t="s">
        <v>2</v>
      </c>
      <c r="F129" s="34" t="s">
        <v>184</v>
      </c>
      <c r="G129" s="34"/>
      <c r="H129" s="34"/>
      <c r="I129" s="34"/>
      <c r="J129" s="68">
        <f>VLOOKUP($A129, Stat!$A$1:$C$1000, 2,0)</f>
        <v>126</v>
      </c>
      <c r="K129" s="68">
        <f>VLOOKUP($A129, Stat!$A$1:$C$1000, 3,0)</f>
        <v>0</v>
      </c>
      <c r="L129" s="88"/>
      <c r="P129" s="34" t="s">
        <v>898</v>
      </c>
      <c r="Q129" s="35"/>
      <c r="R129" s="35"/>
      <c r="S129" s="37">
        <v>0</v>
      </c>
      <c r="T129" s="37">
        <v>-1</v>
      </c>
      <c r="V129" s="37" t="s">
        <v>502</v>
      </c>
      <c r="X129" s="37">
        <v>1</v>
      </c>
    </row>
    <row r="130" spans="1:24" ht="13.15" customHeight="1" x14ac:dyDescent="0.2">
      <c r="A130" s="37">
        <v>129</v>
      </c>
      <c r="B130" s="37" t="s">
        <v>31</v>
      </c>
      <c r="C130" s="37" t="s">
        <v>916</v>
      </c>
      <c r="D130" s="37" t="s">
        <v>917</v>
      </c>
      <c r="E130" s="40" t="s">
        <v>3</v>
      </c>
      <c r="F130" s="34" t="s">
        <v>184</v>
      </c>
      <c r="G130" s="34"/>
      <c r="H130" s="34"/>
      <c r="I130" s="34"/>
      <c r="J130" s="68">
        <f>VLOOKUP($A130, Stat!$A$1:$C$1000, 2,0)</f>
        <v>55</v>
      </c>
      <c r="K130" s="68">
        <f>VLOOKUP($A130, Stat!$A$1:$C$1000, 3,0)</f>
        <v>9</v>
      </c>
      <c r="L130" s="71"/>
      <c r="P130" s="34" t="s">
        <v>899</v>
      </c>
      <c r="Q130" s="35"/>
      <c r="R130" s="35"/>
      <c r="S130" s="37">
        <v>0</v>
      </c>
      <c r="T130" s="37">
        <v>-1</v>
      </c>
      <c r="V130" s="37" t="s">
        <v>502</v>
      </c>
      <c r="X130" s="37">
        <v>1</v>
      </c>
    </row>
    <row r="131" spans="1:24" ht="13.15" customHeight="1" x14ac:dyDescent="0.2">
      <c r="A131" s="37">
        <v>130</v>
      </c>
      <c r="B131" s="37" t="s">
        <v>31</v>
      </c>
      <c r="C131" s="37" t="s">
        <v>916</v>
      </c>
      <c r="D131" s="37" t="s">
        <v>917</v>
      </c>
      <c r="E131" s="40" t="s">
        <v>4</v>
      </c>
      <c r="F131" s="34" t="s">
        <v>184</v>
      </c>
      <c r="G131" s="34"/>
      <c r="H131" s="34"/>
      <c r="I131" s="34"/>
      <c r="J131" s="68">
        <f>VLOOKUP($A131, Stat!$A$1:$C$1000, 2,0)</f>
        <v>38</v>
      </c>
      <c r="K131" s="68">
        <f>VLOOKUP($A131, Stat!$A$1:$C$1000, 3,0)</f>
        <v>5</v>
      </c>
      <c r="L131" s="71"/>
      <c r="P131" s="34" t="s">
        <v>900</v>
      </c>
      <c r="Q131" s="35"/>
      <c r="R131" s="35"/>
      <c r="S131" s="37">
        <v>0</v>
      </c>
      <c r="T131" s="37">
        <v>-1</v>
      </c>
      <c r="V131" s="37" t="s">
        <v>502</v>
      </c>
      <c r="X131" s="37">
        <v>1</v>
      </c>
    </row>
    <row r="132" spans="1:24" ht="13.15" customHeight="1" x14ac:dyDescent="0.2">
      <c r="A132" s="37">
        <v>131</v>
      </c>
      <c r="B132" s="37" t="s">
        <v>31</v>
      </c>
      <c r="C132" s="37" t="s">
        <v>916</v>
      </c>
      <c r="D132" s="37" t="s">
        <v>917</v>
      </c>
      <c r="E132" s="40" t="s">
        <v>41</v>
      </c>
      <c r="F132" s="34" t="s">
        <v>184</v>
      </c>
      <c r="G132" s="34"/>
      <c r="H132" s="34"/>
      <c r="I132" s="34"/>
      <c r="J132" s="68">
        <f>VLOOKUP($A132, Stat!$A$1:$C$1000, 2,0)</f>
        <v>27</v>
      </c>
      <c r="K132" s="68">
        <f>VLOOKUP($A132, Stat!$A$1:$C$1000, 3,0)</f>
        <v>12</v>
      </c>
      <c r="L132" s="33">
        <v>1</v>
      </c>
      <c r="P132" s="34" t="s">
        <v>901</v>
      </c>
      <c r="Q132" s="35"/>
      <c r="R132" s="35"/>
      <c r="S132" s="37">
        <v>50</v>
      </c>
      <c r="T132" s="37">
        <v>0</v>
      </c>
      <c r="V132" s="37" t="s">
        <v>502</v>
      </c>
      <c r="X132" s="37">
        <v>1</v>
      </c>
    </row>
    <row r="133" spans="1:24" ht="13.15" customHeight="1" x14ac:dyDescent="0.2">
      <c r="A133" s="37">
        <v>132</v>
      </c>
      <c r="B133" s="37" t="s">
        <v>31</v>
      </c>
      <c r="C133" s="37" t="s">
        <v>916</v>
      </c>
      <c r="D133" s="37" t="s">
        <v>921</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916</v>
      </c>
      <c r="D134" s="37" t="s">
        <v>921</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916</v>
      </c>
      <c r="D135" s="37" t="s">
        <v>921</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916</v>
      </c>
      <c r="D136" s="37" t="s">
        <v>921</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916</v>
      </c>
      <c r="D139" s="37" t="s">
        <v>918</v>
      </c>
      <c r="E139" s="40" t="s">
        <v>2</v>
      </c>
      <c r="F139" s="34" t="s">
        <v>184</v>
      </c>
      <c r="G139" s="34"/>
      <c r="H139" s="34"/>
      <c r="I139" s="34"/>
      <c r="J139" s="68">
        <f>VLOOKUP($A139, Stat!$A$1:$C$1000, 2,0)</f>
        <v>69</v>
      </c>
      <c r="K139" s="68">
        <f>VLOOKUP($A139, Stat!$A$1:$C$1000, 3,0)</f>
        <v>1</v>
      </c>
      <c r="L139" s="71"/>
      <c r="P139" s="34" t="s">
        <v>941</v>
      </c>
      <c r="Q139" s="35"/>
      <c r="R139" s="35"/>
      <c r="S139" s="37">
        <v>0</v>
      </c>
      <c r="T139" s="37">
        <v>-1</v>
      </c>
      <c r="V139" s="37" t="s">
        <v>503</v>
      </c>
      <c r="X139" s="37">
        <v>1</v>
      </c>
    </row>
    <row r="140" spans="1:24" ht="13.15" customHeight="1" x14ac:dyDescent="0.2">
      <c r="A140" s="37">
        <v>141</v>
      </c>
      <c r="B140" s="37" t="s">
        <v>31</v>
      </c>
      <c r="C140" s="37" t="s">
        <v>916</v>
      </c>
      <c r="D140" s="37" t="s">
        <v>918</v>
      </c>
      <c r="E140" s="40" t="s">
        <v>3</v>
      </c>
      <c r="F140" s="34" t="s">
        <v>184</v>
      </c>
      <c r="G140" s="34"/>
      <c r="H140" s="34"/>
      <c r="I140" s="34"/>
      <c r="J140" s="68">
        <f>VLOOKUP($A140, Stat!$A$1:$C$1000, 2,0)</f>
        <v>29</v>
      </c>
      <c r="K140" s="68">
        <f>VLOOKUP($A140, Stat!$A$1:$C$1000, 3,0)</f>
        <v>1</v>
      </c>
      <c r="L140" s="71"/>
      <c r="P140" s="34" t="s">
        <v>942</v>
      </c>
      <c r="Q140" s="35"/>
      <c r="R140" s="35"/>
      <c r="S140" s="37">
        <v>0</v>
      </c>
      <c r="T140" s="37">
        <v>-1</v>
      </c>
      <c r="V140" s="37" t="s">
        <v>503</v>
      </c>
      <c r="X140" s="37">
        <v>1</v>
      </c>
    </row>
    <row r="141" spans="1:24" ht="13.15" customHeight="1" x14ac:dyDescent="0.2">
      <c r="A141" s="37">
        <v>142</v>
      </c>
      <c r="B141" s="37" t="s">
        <v>31</v>
      </c>
      <c r="C141" s="37" t="s">
        <v>916</v>
      </c>
      <c r="D141" s="37" t="s">
        <v>918</v>
      </c>
      <c r="E141" s="40" t="s">
        <v>4</v>
      </c>
      <c r="F141" s="34" t="s">
        <v>184</v>
      </c>
      <c r="G141" s="34"/>
      <c r="H141" s="34"/>
      <c r="I141" s="34"/>
      <c r="J141" s="68">
        <f>VLOOKUP($A141, Stat!$A$1:$C$1000, 2,0)</f>
        <v>13</v>
      </c>
      <c r="K141" s="68">
        <f>VLOOKUP($A141, Stat!$A$1:$C$1000, 3,0)</f>
        <v>3</v>
      </c>
      <c r="L141" s="33">
        <v>1</v>
      </c>
      <c r="P141" s="34" t="s">
        <v>943</v>
      </c>
      <c r="Q141" s="35"/>
      <c r="R141" s="35"/>
      <c r="S141" s="37">
        <v>50</v>
      </c>
      <c r="T141" s="37">
        <v>0</v>
      </c>
      <c r="V141" s="37" t="s">
        <v>503</v>
      </c>
      <c r="X141" s="37">
        <v>1</v>
      </c>
    </row>
    <row r="142" spans="1:24" ht="13.15" customHeight="1" x14ac:dyDescent="0.2">
      <c r="A142" s="37">
        <v>143</v>
      </c>
      <c r="B142" s="37" t="s">
        <v>31</v>
      </c>
      <c r="C142" s="37" t="s">
        <v>916</v>
      </c>
      <c r="D142" s="37" t="s">
        <v>918</v>
      </c>
      <c r="E142" s="40" t="s">
        <v>41</v>
      </c>
      <c r="F142" s="34" t="s">
        <v>184</v>
      </c>
      <c r="G142" s="34"/>
      <c r="H142" s="34"/>
      <c r="I142" s="34"/>
      <c r="J142" s="68">
        <f>VLOOKUP($A142, Stat!$A$1:$C$1000, 2,0)</f>
        <v>6</v>
      </c>
      <c r="K142" s="68">
        <f>VLOOKUP($A142, Stat!$A$1:$C$1000, 3,0)</f>
        <v>4</v>
      </c>
      <c r="L142" s="33">
        <v>1</v>
      </c>
      <c r="P142" s="34" t="s">
        <v>944</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916</v>
      </c>
      <c r="D147" s="37" t="s">
        <v>924</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916</v>
      </c>
      <c r="D148" s="37" t="s">
        <v>924</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916</v>
      </c>
      <c r="D149" s="37" t="s">
        <v>924</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916</v>
      </c>
      <c r="D150" s="37" t="s">
        <v>924</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775</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906</v>
      </c>
      <c r="E174" s="40" t="s">
        <v>905</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906</v>
      </c>
      <c r="E175" s="40" t="s">
        <v>904</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906</v>
      </c>
      <c r="E176" s="40" t="s">
        <v>902</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906</v>
      </c>
      <c r="E177" s="40" t="s">
        <v>903</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906</v>
      </c>
      <c r="E178" s="40" t="s">
        <v>909</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906</v>
      </c>
      <c r="E179" s="40" t="s">
        <v>908</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907</v>
      </c>
      <c r="E180" s="40" t="s">
        <v>905</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907</v>
      </c>
      <c r="E181" s="40" t="s">
        <v>904</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907</v>
      </c>
      <c r="E182" s="40" t="s">
        <v>902</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907</v>
      </c>
      <c r="E183" s="40" t="s">
        <v>903</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907</v>
      </c>
      <c r="E184" s="40" t="s">
        <v>909</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907</v>
      </c>
      <c r="E185" s="40" t="s">
        <v>908</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774</v>
      </c>
      <c r="E186" s="40" t="s">
        <v>112</v>
      </c>
      <c r="F186" s="34" t="s">
        <v>186</v>
      </c>
      <c r="G186" s="34" t="s">
        <v>164</v>
      </c>
      <c r="H186" s="35"/>
      <c r="I186" s="34"/>
      <c r="J186" s="68">
        <f>VLOOKUP($A186, Stat!$A$1:$C$1000, 2,0)</f>
        <v>195</v>
      </c>
      <c r="K186" s="68">
        <f>VLOOKUP($A186, Stat!$A$1:$C$1000, 3,0)</f>
        <v>8</v>
      </c>
      <c r="L186" s="71"/>
      <c r="P186" s="34" t="s">
        <v>795</v>
      </c>
      <c r="Q186" s="35"/>
      <c r="R186" s="35"/>
      <c r="S186" s="37">
        <v>100</v>
      </c>
      <c r="T186" s="37">
        <v>0</v>
      </c>
      <c r="W186" s="37" t="s">
        <v>787</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949</v>
      </c>
      <c r="W187" s="37" t="s">
        <v>806</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949</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949</v>
      </c>
      <c r="X189" s="37">
        <v>1</v>
      </c>
    </row>
    <row r="190" spans="1:24" ht="13.15" customHeight="1" x14ac:dyDescent="0.2">
      <c r="A190" s="37">
        <v>191</v>
      </c>
      <c r="B190" s="37" t="s">
        <v>31</v>
      </c>
      <c r="C190" s="37" t="s">
        <v>64</v>
      </c>
      <c r="D190" s="37" t="s">
        <v>932</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933</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887</v>
      </c>
      <c r="D192" s="37" t="s">
        <v>863</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825</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825</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851</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848</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950</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781</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782</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771</v>
      </c>
      <c r="F218" s="34" t="s">
        <v>186</v>
      </c>
      <c r="G218" s="34" t="s">
        <v>164</v>
      </c>
      <c r="H218" s="35"/>
      <c r="I218" s="35"/>
      <c r="J218" s="68">
        <f>VLOOKUP($A218, Stat!$A$1:$C$1000, 2,0)</f>
        <v>14</v>
      </c>
      <c r="K218" s="68">
        <f>VLOOKUP($A218, Stat!$A$1:$C$1000, 3,0)</f>
        <v>7</v>
      </c>
      <c r="L218" s="33">
        <v>1</v>
      </c>
      <c r="P218" s="35"/>
      <c r="Q218" s="35"/>
      <c r="R218" s="35"/>
      <c r="S218" s="37">
        <v>50</v>
      </c>
      <c r="T218" s="37">
        <v>0</v>
      </c>
      <c r="W218" s="37" t="s">
        <v>783</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809</v>
      </c>
      <c r="E253" s="40" t="s">
        <v>811</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813</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813</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952</v>
      </c>
      <c r="E261" s="40" t="s">
        <v>311</v>
      </c>
      <c r="J261" s="68">
        <f>VLOOKUP($A261, Stat!$A$1:$C$1000, 2,0)</f>
        <v>318</v>
      </c>
      <c r="K261" s="68">
        <f>VLOOKUP($A261, Stat!$A$1:$C$1000, 3,0)</f>
        <v>3</v>
      </c>
      <c r="L261" s="71"/>
      <c r="S261" s="37">
        <v>0</v>
      </c>
      <c r="T261" s="37">
        <v>-1</v>
      </c>
      <c r="V261" s="37" t="s">
        <v>868</v>
      </c>
      <c r="X261" s="37">
        <v>1</v>
      </c>
    </row>
    <row r="262" spans="1:24" x14ac:dyDescent="0.2">
      <c r="A262" s="37">
        <v>269</v>
      </c>
      <c r="B262" s="37" t="s">
        <v>13</v>
      </c>
      <c r="C262" s="37" t="s">
        <v>326</v>
      </c>
      <c r="D262" s="37" t="s">
        <v>952</v>
      </c>
      <c r="E262" s="40" t="s">
        <v>312</v>
      </c>
      <c r="J262" s="68">
        <f>VLOOKUP($A262, Stat!$A$1:$C$1000, 2,0)</f>
        <v>51</v>
      </c>
      <c r="K262" s="68">
        <f>VLOOKUP($A262, Stat!$A$1:$C$1000, 3,0)</f>
        <v>7</v>
      </c>
      <c r="L262" s="33">
        <v>1</v>
      </c>
      <c r="S262" s="37">
        <v>0</v>
      </c>
      <c r="T262" s="37">
        <v>-1</v>
      </c>
      <c r="V262" s="37" t="s">
        <v>868</v>
      </c>
      <c r="X262" s="37">
        <v>1</v>
      </c>
    </row>
    <row r="263" spans="1:24" x14ac:dyDescent="0.2">
      <c r="A263" s="37">
        <v>270</v>
      </c>
      <c r="B263" s="37" t="s">
        <v>13</v>
      </c>
      <c r="C263" s="37" t="s">
        <v>326</v>
      </c>
      <c r="D263" s="37" t="s">
        <v>952</v>
      </c>
      <c r="E263" s="40" t="s">
        <v>313</v>
      </c>
      <c r="J263" s="68">
        <f>VLOOKUP($A263, Stat!$A$1:$C$1000, 2,0)</f>
        <v>25</v>
      </c>
      <c r="K263" s="68">
        <f>VLOOKUP($A263, Stat!$A$1:$C$1000, 3,0)</f>
        <v>5</v>
      </c>
      <c r="L263" s="33">
        <v>1</v>
      </c>
      <c r="S263" s="37">
        <v>0</v>
      </c>
      <c r="T263" s="37">
        <v>0</v>
      </c>
      <c r="V263" s="37" t="s">
        <v>868</v>
      </c>
      <c r="X263" s="37">
        <v>1</v>
      </c>
    </row>
    <row r="264" spans="1:24" ht="13.15" customHeight="1" x14ac:dyDescent="0.2">
      <c r="A264" s="37">
        <v>271</v>
      </c>
      <c r="B264" s="37" t="s">
        <v>13</v>
      </c>
      <c r="C264" s="37" t="s">
        <v>326</v>
      </c>
      <c r="D264" s="37" t="s">
        <v>952</v>
      </c>
      <c r="E264" s="40" t="s">
        <v>314</v>
      </c>
      <c r="J264" s="68">
        <f>VLOOKUP($A264, Stat!$A$1:$C$1000, 2,0)</f>
        <v>11</v>
      </c>
      <c r="K264" s="68">
        <f>VLOOKUP($A264, Stat!$A$1:$C$1000, 3,0)</f>
        <v>2</v>
      </c>
      <c r="L264" s="33">
        <v>1</v>
      </c>
      <c r="S264" s="37">
        <v>100</v>
      </c>
      <c r="T264" s="37">
        <v>0</v>
      </c>
      <c r="V264" s="37" t="s">
        <v>868</v>
      </c>
      <c r="X264" s="37">
        <v>1</v>
      </c>
    </row>
    <row r="265" spans="1:24" ht="13.15" customHeight="1" x14ac:dyDescent="0.2">
      <c r="A265" s="37">
        <v>272</v>
      </c>
      <c r="B265" s="37" t="s">
        <v>13</v>
      </c>
      <c r="C265" s="37" t="s">
        <v>326</v>
      </c>
      <c r="D265" s="37" t="s">
        <v>952</v>
      </c>
      <c r="E265" s="40" t="s">
        <v>179</v>
      </c>
      <c r="J265" s="68">
        <f>VLOOKUP($A265, Stat!$A$1:$C$1000, 2,0)</f>
        <v>39</v>
      </c>
      <c r="K265" s="68">
        <f>VLOOKUP($A265, Stat!$A$1:$C$1000, 3,0)</f>
        <v>15</v>
      </c>
      <c r="L265" s="33">
        <v>1</v>
      </c>
      <c r="S265" s="37">
        <v>100</v>
      </c>
      <c r="T265" s="37">
        <v>0</v>
      </c>
      <c r="V265" s="37" t="s">
        <v>868</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W268" s="37" t="s">
        <v>798</v>
      </c>
      <c r="X268" s="37">
        <v>1</v>
      </c>
    </row>
    <row r="269" spans="1:24" ht="13.15" customHeight="1" x14ac:dyDescent="0.2">
      <c r="A269" s="37">
        <v>276</v>
      </c>
      <c r="B269" s="37" t="s">
        <v>13</v>
      </c>
      <c r="C269" s="37" t="s">
        <v>761</v>
      </c>
      <c r="D269" s="37" t="s">
        <v>775</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W270" s="37" t="s">
        <v>799</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812</v>
      </c>
      <c r="E274" s="37" t="s">
        <v>811</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821</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818</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820</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784</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817</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796</v>
      </c>
      <c r="F285" s="83">
        <v>12</v>
      </c>
      <c r="I285" s="34" t="s">
        <v>350</v>
      </c>
      <c r="J285" s="68">
        <f>VLOOKUP($A285, Stat!$A$1:$C$1000, 2,0)</f>
        <v>0</v>
      </c>
      <c r="K285" s="68">
        <f>VLOOKUP($A285, Stat!$A$1:$C$1000, 3,0)</f>
        <v>0</v>
      </c>
      <c r="L285" s="33">
        <v>1</v>
      </c>
      <c r="S285" s="37">
        <v>50</v>
      </c>
      <c r="T285" s="37">
        <v>0</v>
      </c>
      <c r="W285" s="37" t="s">
        <v>797</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822</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816</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912</v>
      </c>
      <c r="E290" s="37" t="s">
        <v>881</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913</v>
      </c>
      <c r="E291" s="37" t="s">
        <v>884</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826</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V295" s="37" t="s">
        <v>533</v>
      </c>
      <c r="W295" s="37" t="s">
        <v>832</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887</v>
      </c>
      <c r="D299" s="37" t="s">
        <v>872</v>
      </c>
      <c r="E299" s="37" t="s">
        <v>876</v>
      </c>
      <c r="F299" s="33">
        <v>3</v>
      </c>
      <c r="S299" s="37">
        <v>0</v>
      </c>
      <c r="T299" s="37">
        <v>0</v>
      </c>
      <c r="V299" s="37" t="s">
        <v>671</v>
      </c>
    </row>
    <row r="300" spans="1:24" ht="13.15" customHeight="1" x14ac:dyDescent="0.2">
      <c r="A300" s="37">
        <v>312</v>
      </c>
      <c r="B300" s="37" t="s">
        <v>31</v>
      </c>
      <c r="C300" s="37" t="s">
        <v>887</v>
      </c>
      <c r="D300" s="37" t="s">
        <v>874</v>
      </c>
      <c r="E300" s="37" t="s">
        <v>876</v>
      </c>
      <c r="F300" s="33">
        <v>3</v>
      </c>
      <c r="S300" s="37">
        <v>0</v>
      </c>
      <c r="T300" s="37">
        <v>0</v>
      </c>
      <c r="V300" s="37" t="s">
        <v>671</v>
      </c>
    </row>
    <row r="301" spans="1:24" x14ac:dyDescent="0.2">
      <c r="A301" s="37">
        <v>313</v>
      </c>
      <c r="B301" s="37" t="s">
        <v>31</v>
      </c>
      <c r="C301" s="37" t="s">
        <v>887</v>
      </c>
      <c r="D301" s="37" t="s">
        <v>873</v>
      </c>
      <c r="E301" s="37" t="s">
        <v>876</v>
      </c>
      <c r="F301" s="33">
        <v>3</v>
      </c>
      <c r="P301" s="33">
        <v>311.40499999999997</v>
      </c>
      <c r="S301" s="37">
        <v>50</v>
      </c>
      <c r="T301" s="37">
        <v>0</v>
      </c>
      <c r="V301" s="37" t="s">
        <v>671</v>
      </c>
    </row>
    <row r="302" spans="1:24" x14ac:dyDescent="0.2">
      <c r="A302" s="37">
        <v>314</v>
      </c>
      <c r="B302" s="37" t="s">
        <v>31</v>
      </c>
      <c r="C302" s="37" t="s">
        <v>887</v>
      </c>
      <c r="D302" s="37" t="s">
        <v>875</v>
      </c>
      <c r="E302" s="37" t="s">
        <v>876</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785</v>
      </c>
      <c r="X305" s="37">
        <v>1</v>
      </c>
    </row>
    <row r="306" spans="1:24" x14ac:dyDescent="0.2">
      <c r="A306" s="37">
        <v>318</v>
      </c>
      <c r="B306" s="37" t="s">
        <v>13</v>
      </c>
      <c r="C306" s="37" t="s">
        <v>326</v>
      </c>
      <c r="D306" s="37" t="s">
        <v>244</v>
      </c>
      <c r="E306" s="37" t="s">
        <v>766</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805</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809</v>
      </c>
      <c r="E313" s="37" t="s">
        <v>810</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812</v>
      </c>
      <c r="E314" s="37" t="s">
        <v>810</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826</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763</v>
      </c>
      <c r="F321" s="33">
        <v>1</v>
      </c>
      <c r="J321" s="68">
        <f>VLOOKUP($A321, Stat!$A$1:$C$1000, 2,0)</f>
        <v>146</v>
      </c>
      <c r="K321" s="68">
        <f>VLOOKUP($A321, Stat!$A$1:$C$1000, 3,0)</f>
        <v>1</v>
      </c>
      <c r="L321" s="71"/>
      <c r="S321" s="37">
        <v>50</v>
      </c>
      <c r="T321" s="37">
        <v>0</v>
      </c>
      <c r="W321" s="37" t="s">
        <v>786</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861</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887</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887</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887</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887</v>
      </c>
      <c r="D334" s="37" t="s">
        <v>880</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850</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850</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952</v>
      </c>
      <c r="E337" s="37" t="s">
        <v>311</v>
      </c>
      <c r="J337" s="68">
        <f>VLOOKUP($A337, Stat!$A$1:$C$1000, 2,0)</f>
        <v>361</v>
      </c>
      <c r="K337" s="68">
        <f>VLOOKUP($A337, Stat!$A$1:$C$1000, 3,0)</f>
        <v>1</v>
      </c>
      <c r="L337" s="71"/>
      <c r="S337" s="37">
        <v>0</v>
      </c>
      <c r="T337" s="37">
        <v>-1</v>
      </c>
      <c r="V337" s="37" t="s">
        <v>868</v>
      </c>
      <c r="X337" s="37">
        <v>1</v>
      </c>
    </row>
    <row r="338" spans="1:24" x14ac:dyDescent="0.2">
      <c r="A338" s="37">
        <v>355</v>
      </c>
      <c r="B338" s="37" t="s">
        <v>13</v>
      </c>
      <c r="C338" s="37" t="s">
        <v>326</v>
      </c>
      <c r="D338" s="37" t="s">
        <v>952</v>
      </c>
      <c r="E338" s="37" t="s">
        <v>312</v>
      </c>
      <c r="J338" s="68">
        <f>VLOOKUP($A338, Stat!$A$1:$C$1000, 2,0)</f>
        <v>27</v>
      </c>
      <c r="K338" s="68">
        <f>VLOOKUP($A338, Stat!$A$1:$C$1000, 3,0)</f>
        <v>7</v>
      </c>
      <c r="S338" s="37">
        <v>50</v>
      </c>
      <c r="T338" s="37">
        <v>0</v>
      </c>
      <c r="V338" s="37" t="s">
        <v>868</v>
      </c>
      <c r="X338" s="37">
        <v>1</v>
      </c>
    </row>
    <row r="339" spans="1:24" x14ac:dyDescent="0.2">
      <c r="A339" s="37">
        <v>356</v>
      </c>
      <c r="B339" s="37" t="s">
        <v>13</v>
      </c>
      <c r="C339" s="37" t="s">
        <v>326</v>
      </c>
      <c r="D339" s="37" t="s">
        <v>952</v>
      </c>
      <c r="E339" s="37" t="s">
        <v>313</v>
      </c>
      <c r="J339" s="68">
        <f>VLOOKUP($A339, Stat!$A$1:$C$1000, 2,0)</f>
        <v>19</v>
      </c>
      <c r="K339" s="68">
        <f>VLOOKUP($A339, Stat!$A$1:$C$1000, 3,0)</f>
        <v>4</v>
      </c>
      <c r="L339" s="33">
        <v>1</v>
      </c>
      <c r="S339" s="37">
        <v>50</v>
      </c>
      <c r="T339" s="37">
        <v>0</v>
      </c>
      <c r="V339" s="37" t="s">
        <v>868</v>
      </c>
      <c r="X339" s="37">
        <v>1</v>
      </c>
    </row>
    <row r="340" spans="1:24" x14ac:dyDescent="0.2">
      <c r="A340" s="37">
        <v>357</v>
      </c>
      <c r="B340" s="37" t="s">
        <v>13</v>
      </c>
      <c r="C340" s="37" t="s">
        <v>326</v>
      </c>
      <c r="D340" s="37" t="s">
        <v>952</v>
      </c>
      <c r="E340" s="37" t="s">
        <v>314</v>
      </c>
      <c r="J340" s="68">
        <f>VLOOKUP($A340, Stat!$A$1:$C$1000, 2,0)</f>
        <v>8</v>
      </c>
      <c r="K340" s="68">
        <f>VLOOKUP($A340, Stat!$A$1:$C$1000, 3,0)</f>
        <v>4</v>
      </c>
      <c r="L340" s="33">
        <v>1</v>
      </c>
      <c r="S340" s="37">
        <v>100</v>
      </c>
      <c r="T340" s="37">
        <v>0</v>
      </c>
      <c r="V340" s="37" t="s">
        <v>868</v>
      </c>
      <c r="X340" s="37">
        <v>1</v>
      </c>
    </row>
    <row r="341" spans="1:24" x14ac:dyDescent="0.2">
      <c r="A341" s="37">
        <v>358</v>
      </c>
      <c r="B341" s="37" t="s">
        <v>13</v>
      </c>
      <c r="C341" s="37" t="s">
        <v>326</v>
      </c>
      <c r="D341" s="37" t="s">
        <v>952</v>
      </c>
      <c r="E341" s="37" t="s">
        <v>179</v>
      </c>
      <c r="J341" s="68">
        <f>VLOOKUP($A341, Stat!$A$1:$C$1000, 2,0)</f>
        <v>35</v>
      </c>
      <c r="K341" s="68">
        <f>VLOOKUP($A341, Stat!$A$1:$C$1000, 3,0)</f>
        <v>2</v>
      </c>
      <c r="S341" s="37">
        <v>100</v>
      </c>
      <c r="T341" s="37">
        <v>0</v>
      </c>
      <c r="V341" s="37" t="s">
        <v>868</v>
      </c>
      <c r="X341" s="37">
        <v>1</v>
      </c>
    </row>
    <row r="342" spans="1:24" x14ac:dyDescent="0.2">
      <c r="A342" s="37">
        <v>360</v>
      </c>
      <c r="B342" s="37" t="s">
        <v>31</v>
      </c>
      <c r="C342" s="37" t="s">
        <v>11</v>
      </c>
      <c r="D342" s="37" t="s">
        <v>612</v>
      </c>
      <c r="E342" s="37" t="s">
        <v>861</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861</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861</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861</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772</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932</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779</v>
      </c>
      <c r="D371" s="37" t="s">
        <v>770</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779</v>
      </c>
      <c r="D372" s="37" t="s">
        <v>770</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916</v>
      </c>
      <c r="D373" s="37" t="s">
        <v>923</v>
      </c>
      <c r="E373" s="37" t="s">
        <v>2</v>
      </c>
      <c r="F373" s="34" t="s">
        <v>184</v>
      </c>
      <c r="J373" s="33">
        <f>VLOOKUP($A373, Stat!$A$1:$C$1000, 2,0)</f>
        <v>15</v>
      </c>
      <c r="K373" s="33">
        <f>VLOOKUP($A373, Stat!$A$1:$C$1000, 3,0)</f>
        <v>0</v>
      </c>
      <c r="P373" s="34" t="s">
        <v>894</v>
      </c>
      <c r="S373" s="37">
        <v>0</v>
      </c>
      <c r="T373" s="37">
        <v>1</v>
      </c>
      <c r="V373" s="37" t="s">
        <v>508</v>
      </c>
      <c r="X373" s="37">
        <v>1</v>
      </c>
    </row>
    <row r="374" spans="1:24" x14ac:dyDescent="0.2">
      <c r="A374" s="37">
        <v>392</v>
      </c>
      <c r="B374" s="37" t="s">
        <v>31</v>
      </c>
      <c r="C374" s="37" t="s">
        <v>916</v>
      </c>
      <c r="D374" s="37" t="s">
        <v>923</v>
      </c>
      <c r="E374" s="37" t="s">
        <v>3</v>
      </c>
      <c r="F374" s="34" t="s">
        <v>184</v>
      </c>
      <c r="J374" s="33">
        <f>VLOOKUP($A374, Stat!$A$1:$C$1000, 2,0)</f>
        <v>1</v>
      </c>
      <c r="K374" s="33">
        <f>VLOOKUP($A374, Stat!$A$1:$C$1000, 3,0)</f>
        <v>0</v>
      </c>
      <c r="P374" s="34" t="s">
        <v>895</v>
      </c>
      <c r="S374" s="37">
        <v>0</v>
      </c>
      <c r="T374" s="37">
        <v>0</v>
      </c>
      <c r="V374" s="37" t="s">
        <v>508</v>
      </c>
      <c r="X374" s="37">
        <v>1</v>
      </c>
    </row>
    <row r="375" spans="1:24" x14ac:dyDescent="0.2">
      <c r="A375" s="37">
        <v>393</v>
      </c>
      <c r="B375" s="37" t="s">
        <v>31</v>
      </c>
      <c r="C375" s="37" t="s">
        <v>916</v>
      </c>
      <c r="D375" s="37" t="s">
        <v>923</v>
      </c>
      <c r="E375" s="37" t="s">
        <v>4</v>
      </c>
      <c r="F375" s="34" t="s">
        <v>184</v>
      </c>
      <c r="J375" s="33">
        <f>VLOOKUP($A375, Stat!$A$1:$C$1000, 2,0)</f>
        <v>5</v>
      </c>
      <c r="K375" s="33">
        <f>VLOOKUP($A375, Stat!$A$1:$C$1000, 3,0)</f>
        <v>1</v>
      </c>
      <c r="P375" s="34" t="s">
        <v>896</v>
      </c>
      <c r="S375" s="37">
        <v>50</v>
      </c>
      <c r="T375" s="37">
        <v>0</v>
      </c>
      <c r="V375" s="37" t="s">
        <v>508</v>
      </c>
      <c r="X375" s="37">
        <v>1</v>
      </c>
    </row>
    <row r="376" spans="1:24" x14ac:dyDescent="0.2">
      <c r="A376" s="37">
        <v>394</v>
      </c>
      <c r="B376" s="37" t="s">
        <v>31</v>
      </c>
      <c r="C376" s="37" t="s">
        <v>916</v>
      </c>
      <c r="D376" s="37" t="s">
        <v>923</v>
      </c>
      <c r="E376" s="37" t="s">
        <v>41</v>
      </c>
      <c r="F376" s="34" t="s">
        <v>184</v>
      </c>
      <c r="J376" s="33">
        <f>VLOOKUP($A376, Stat!$A$1:$C$1000, 2,0)</f>
        <v>1</v>
      </c>
      <c r="K376" s="33">
        <f>VLOOKUP($A376, Stat!$A$1:$C$1000, 3,0)</f>
        <v>0</v>
      </c>
      <c r="P376" s="34" t="s">
        <v>897</v>
      </c>
      <c r="S376" s="37">
        <v>100</v>
      </c>
      <c r="T376" s="37">
        <v>0</v>
      </c>
      <c r="V376" s="37" t="s">
        <v>508</v>
      </c>
      <c r="X376" s="37">
        <v>1</v>
      </c>
    </row>
    <row r="377" spans="1:24" x14ac:dyDescent="0.2">
      <c r="A377" s="37">
        <v>398</v>
      </c>
      <c r="B377" s="37" t="s">
        <v>31</v>
      </c>
      <c r="C377" s="37" t="s">
        <v>916</v>
      </c>
      <c r="D377" s="37" t="s">
        <v>925</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916</v>
      </c>
      <c r="D378" s="37" t="s">
        <v>925</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916</v>
      </c>
      <c r="D379" s="37" t="s">
        <v>925</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916</v>
      </c>
      <c r="D380" s="37" t="s">
        <v>925</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887</v>
      </c>
      <c r="D381" s="37" t="s">
        <v>870</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887</v>
      </c>
      <c r="D382" s="37" t="s">
        <v>870</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887</v>
      </c>
      <c r="D383" s="37" t="s">
        <v>870</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887</v>
      </c>
      <c r="D384" s="37" t="s">
        <v>872</v>
      </c>
      <c r="E384" s="37" t="s">
        <v>877</v>
      </c>
      <c r="F384" s="33">
        <v>3</v>
      </c>
      <c r="S384" s="37">
        <v>0</v>
      </c>
      <c r="T384" s="37">
        <v>0</v>
      </c>
      <c r="V384" s="37" t="s">
        <v>671</v>
      </c>
      <c r="W384" s="37" t="s">
        <v>672</v>
      </c>
    </row>
    <row r="385" spans="1:24" x14ac:dyDescent="0.2">
      <c r="A385" s="37">
        <v>406</v>
      </c>
      <c r="B385" s="37" t="s">
        <v>31</v>
      </c>
      <c r="C385" s="37" t="s">
        <v>887</v>
      </c>
      <c r="D385" s="37" t="s">
        <v>874</v>
      </c>
      <c r="E385" s="37" t="s">
        <v>877</v>
      </c>
      <c r="F385" s="33">
        <v>3</v>
      </c>
      <c r="S385" s="37">
        <v>0</v>
      </c>
      <c r="T385" s="37">
        <v>0</v>
      </c>
      <c r="V385" s="37" t="s">
        <v>671</v>
      </c>
      <c r="W385" s="37" t="s">
        <v>672</v>
      </c>
    </row>
    <row r="386" spans="1:24" x14ac:dyDescent="0.2">
      <c r="A386" s="37">
        <v>407</v>
      </c>
      <c r="B386" s="37" t="s">
        <v>31</v>
      </c>
      <c r="C386" s="37" t="s">
        <v>887</v>
      </c>
      <c r="D386" s="37" t="s">
        <v>873</v>
      </c>
      <c r="E386" s="37" t="s">
        <v>877</v>
      </c>
      <c r="F386" s="33">
        <v>3</v>
      </c>
      <c r="P386" s="33">
        <v>311.40499999999997</v>
      </c>
      <c r="S386" s="37">
        <v>50</v>
      </c>
      <c r="T386" s="37">
        <v>0</v>
      </c>
      <c r="V386" s="37" t="s">
        <v>671</v>
      </c>
      <c r="W386" s="37" t="s">
        <v>672</v>
      </c>
    </row>
    <row r="387" spans="1:24" x14ac:dyDescent="0.2">
      <c r="A387" s="37">
        <v>408</v>
      </c>
      <c r="B387" s="37" t="s">
        <v>31</v>
      </c>
      <c r="C387" s="37" t="s">
        <v>887</v>
      </c>
      <c r="D387" s="37" t="s">
        <v>875</v>
      </c>
      <c r="E387" s="37" t="s">
        <v>877</v>
      </c>
      <c r="F387" s="33">
        <v>3</v>
      </c>
      <c r="P387" s="33">
        <v>312.40600000000001</v>
      </c>
      <c r="S387" s="37">
        <v>50</v>
      </c>
      <c r="T387" s="37">
        <v>0</v>
      </c>
      <c r="V387" s="37" t="s">
        <v>671</v>
      </c>
      <c r="W387" s="37" t="s">
        <v>672</v>
      </c>
    </row>
    <row r="388" spans="1:24" x14ac:dyDescent="0.2">
      <c r="A388" s="37">
        <v>411</v>
      </c>
      <c r="B388" s="37" t="s">
        <v>31</v>
      </c>
      <c r="C388" s="37" t="s">
        <v>887</v>
      </c>
      <c r="D388" s="37" t="s">
        <v>871</v>
      </c>
      <c r="E388" s="37" t="s">
        <v>247</v>
      </c>
      <c r="F388" s="33">
        <v>3</v>
      </c>
      <c r="J388" s="33">
        <f>VLOOKUP($A388, Stat!$A$1:$C$1000, 2,0)</f>
        <v>7</v>
      </c>
      <c r="K388" s="33">
        <f>VLOOKUP($A388, Stat!$A$1:$C$1000, 3,0)</f>
        <v>4</v>
      </c>
      <c r="L388" s="33">
        <v>1</v>
      </c>
      <c r="S388" s="37">
        <v>50</v>
      </c>
      <c r="T388" s="37">
        <v>0</v>
      </c>
      <c r="U388" s="37">
        <v>5</v>
      </c>
      <c r="V388" s="37" t="s">
        <v>862</v>
      </c>
      <c r="W388" s="37" t="s">
        <v>249</v>
      </c>
      <c r="X388" s="37">
        <v>1</v>
      </c>
    </row>
    <row r="389" spans="1:24" x14ac:dyDescent="0.2">
      <c r="A389" s="37">
        <v>412</v>
      </c>
      <c r="B389" s="37" t="s">
        <v>31</v>
      </c>
      <c r="C389" s="37" t="s">
        <v>887</v>
      </c>
      <c r="D389" s="37" t="s">
        <v>871</v>
      </c>
      <c r="E389" s="37" t="s">
        <v>245</v>
      </c>
      <c r="F389" s="33">
        <v>3</v>
      </c>
      <c r="J389" s="33">
        <f>VLOOKUP($A389, Stat!$A$1:$C$1000, 2,0)</f>
        <v>0</v>
      </c>
      <c r="K389" s="33">
        <f>VLOOKUP($A389, Stat!$A$1:$C$1000, 3,0)</f>
        <v>0</v>
      </c>
      <c r="L389" s="33">
        <v>1</v>
      </c>
      <c r="S389" s="37">
        <v>50</v>
      </c>
      <c r="T389" s="37">
        <v>0</v>
      </c>
      <c r="U389" s="37">
        <v>5</v>
      </c>
      <c r="V389" s="37" t="s">
        <v>862</v>
      </c>
      <c r="W389" s="37" t="s">
        <v>248</v>
      </c>
      <c r="X389" s="37">
        <v>1</v>
      </c>
    </row>
    <row r="390" spans="1:24" x14ac:dyDescent="0.2">
      <c r="A390" s="37">
        <v>413</v>
      </c>
      <c r="B390" s="37" t="s">
        <v>31</v>
      </c>
      <c r="C390" s="37" t="s">
        <v>887</v>
      </c>
      <c r="D390" s="37" t="s">
        <v>871</v>
      </c>
      <c r="E390" s="37" t="s">
        <v>246</v>
      </c>
      <c r="F390" s="33">
        <v>3</v>
      </c>
      <c r="J390" s="33">
        <f>VLOOKUP($A390, Stat!$A$1:$C$1000, 2,0)</f>
        <v>2</v>
      </c>
      <c r="K390" s="33">
        <f>VLOOKUP($A390, Stat!$A$1:$C$1000, 3,0)</f>
        <v>1</v>
      </c>
      <c r="L390" s="33">
        <v>1</v>
      </c>
      <c r="N390" s="33">
        <v>999</v>
      </c>
      <c r="S390" s="37">
        <v>0</v>
      </c>
      <c r="T390" s="37">
        <v>0</v>
      </c>
      <c r="U390" s="37">
        <v>5</v>
      </c>
      <c r="V390" s="37" t="s">
        <v>862</v>
      </c>
      <c r="X390" s="37">
        <v>1</v>
      </c>
    </row>
    <row r="391" spans="1:24" x14ac:dyDescent="0.2">
      <c r="A391" s="37">
        <v>414</v>
      </c>
      <c r="B391" s="37" t="s">
        <v>31</v>
      </c>
      <c r="C391" s="37" t="s">
        <v>916</v>
      </c>
      <c r="D391" s="37" t="s">
        <v>935</v>
      </c>
      <c r="E391" s="37" t="s">
        <v>2</v>
      </c>
      <c r="F391" s="33">
        <v>5</v>
      </c>
      <c r="J391" s="33">
        <f>VLOOKUP($A391, Stat!$A$1:$C$1000, 2,0)</f>
        <v>72</v>
      </c>
      <c r="K391" s="33">
        <f>VLOOKUP($A391, Stat!$A$1:$C$1000, 3,0)</f>
        <v>5</v>
      </c>
      <c r="P391" s="33">
        <v>506</v>
      </c>
      <c r="S391" s="37">
        <v>0</v>
      </c>
      <c r="T391" s="37">
        <v>1</v>
      </c>
      <c r="U391" s="37">
        <v>35</v>
      </c>
      <c r="V391" s="37" t="s">
        <v>940</v>
      </c>
      <c r="X391" s="37">
        <v>1</v>
      </c>
    </row>
    <row r="392" spans="1:24" x14ac:dyDescent="0.2">
      <c r="A392" s="37">
        <v>415</v>
      </c>
      <c r="B392" s="37" t="s">
        <v>31</v>
      </c>
      <c r="C392" s="37" t="s">
        <v>916</v>
      </c>
      <c r="D392" s="37" t="s">
        <v>935</v>
      </c>
      <c r="E392" s="37" t="s">
        <v>3</v>
      </c>
      <c r="F392" s="33">
        <v>5</v>
      </c>
      <c r="J392" s="33">
        <f>VLOOKUP($A392, Stat!$A$1:$C$1000, 2,0)</f>
        <v>35</v>
      </c>
      <c r="K392" s="33">
        <f>VLOOKUP($A392, Stat!$A$1:$C$1000, 3,0)</f>
        <v>0</v>
      </c>
      <c r="P392" s="33">
        <v>507</v>
      </c>
      <c r="S392" s="37">
        <v>0</v>
      </c>
      <c r="T392" s="37">
        <v>1</v>
      </c>
      <c r="U392" s="37">
        <v>35</v>
      </c>
      <c r="V392" s="37" t="s">
        <v>940</v>
      </c>
      <c r="X392" s="37">
        <v>1</v>
      </c>
    </row>
    <row r="393" spans="1:24" x14ac:dyDescent="0.2">
      <c r="A393" s="37">
        <v>416</v>
      </c>
      <c r="B393" s="37" t="s">
        <v>31</v>
      </c>
      <c r="C393" s="37" t="s">
        <v>916</v>
      </c>
      <c r="D393" s="37" t="s">
        <v>935</v>
      </c>
      <c r="E393" s="37" t="s">
        <v>4</v>
      </c>
      <c r="F393" s="33">
        <v>5</v>
      </c>
      <c r="J393" s="33">
        <f>VLOOKUP($A393, Stat!$A$1:$C$1000, 2,0)</f>
        <v>23</v>
      </c>
      <c r="K393" s="33">
        <f>VLOOKUP($A393, Stat!$A$1:$C$1000, 3,0)</f>
        <v>0</v>
      </c>
      <c r="P393" s="33">
        <v>508</v>
      </c>
      <c r="S393" s="37">
        <v>0</v>
      </c>
      <c r="T393" s="37">
        <v>1</v>
      </c>
      <c r="U393" s="37">
        <v>35</v>
      </c>
      <c r="V393" s="37" t="s">
        <v>940</v>
      </c>
      <c r="X393" s="37">
        <v>1</v>
      </c>
    </row>
    <row r="394" spans="1:24" x14ac:dyDescent="0.2">
      <c r="A394" s="37">
        <v>417</v>
      </c>
      <c r="B394" s="37" t="s">
        <v>31</v>
      </c>
      <c r="C394" s="37" t="s">
        <v>916</v>
      </c>
      <c r="D394" s="37" t="s">
        <v>935</v>
      </c>
      <c r="E394" s="37" t="s">
        <v>41</v>
      </c>
      <c r="F394" s="33">
        <v>5</v>
      </c>
      <c r="J394" s="33">
        <f>VLOOKUP($A394, Stat!$A$1:$C$1000, 2,0)</f>
        <v>11</v>
      </c>
      <c r="K394" s="33">
        <f>VLOOKUP($A394, Stat!$A$1:$C$1000, 3,0)</f>
        <v>4</v>
      </c>
      <c r="P394" s="33">
        <v>509</v>
      </c>
      <c r="S394" s="37">
        <v>0</v>
      </c>
      <c r="T394" s="37">
        <v>1</v>
      </c>
      <c r="U394" s="37">
        <v>35</v>
      </c>
      <c r="V394" s="37" t="s">
        <v>940</v>
      </c>
      <c r="X394" s="37">
        <v>1</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952</v>
      </c>
      <c r="E398" s="37" t="s">
        <v>479</v>
      </c>
      <c r="J398" s="33">
        <f>VLOOKUP($A398, Stat!$A$1:$C$1000, 2,0)</f>
        <v>0</v>
      </c>
      <c r="K398" s="33">
        <f>VLOOKUP($A398, Stat!$A$1:$C$1000, 3,0)</f>
        <v>0</v>
      </c>
      <c r="L398" s="33">
        <v>1</v>
      </c>
      <c r="S398" s="37">
        <v>50</v>
      </c>
      <c r="T398" s="37">
        <v>0</v>
      </c>
      <c r="V398" s="37" t="s">
        <v>868</v>
      </c>
      <c r="X398" s="37">
        <v>1</v>
      </c>
    </row>
    <row r="399" spans="1:24" x14ac:dyDescent="0.2">
      <c r="A399" s="37">
        <v>422</v>
      </c>
      <c r="B399" s="37" t="s">
        <v>13</v>
      </c>
      <c r="C399" s="37" t="s">
        <v>326</v>
      </c>
      <c r="D399" s="37" t="s">
        <v>952</v>
      </c>
      <c r="E399" s="37" t="s">
        <v>479</v>
      </c>
      <c r="J399" s="33">
        <f>VLOOKUP($A399, Stat!$A$1:$C$1000, 2,0)</f>
        <v>10</v>
      </c>
      <c r="K399" s="33">
        <f>VLOOKUP($A399, Stat!$A$1:$C$1000, 3,0)</f>
        <v>0</v>
      </c>
      <c r="L399" s="33">
        <v>1</v>
      </c>
      <c r="S399" s="37">
        <v>100</v>
      </c>
      <c r="T399" s="37">
        <v>0</v>
      </c>
      <c r="V399" s="37" t="s">
        <v>868</v>
      </c>
      <c r="X399" s="37">
        <v>1</v>
      </c>
    </row>
    <row r="400" spans="1:24" x14ac:dyDescent="0.2">
      <c r="A400" s="37">
        <v>423</v>
      </c>
      <c r="B400" s="37" t="s">
        <v>13</v>
      </c>
      <c r="C400" s="37" t="s">
        <v>326</v>
      </c>
      <c r="D400" s="37" t="s">
        <v>952</v>
      </c>
      <c r="E400" s="37" t="s">
        <v>477</v>
      </c>
      <c r="J400" s="33">
        <f>VLOOKUP($A400, Stat!$A$1:$C$1000, 2,0)</f>
        <v>4</v>
      </c>
      <c r="K400" s="33">
        <f>VLOOKUP($A400, Stat!$A$1:$C$1000, 3,0)</f>
        <v>1</v>
      </c>
      <c r="L400" s="33">
        <v>1</v>
      </c>
      <c r="S400" s="37">
        <v>100</v>
      </c>
      <c r="T400" s="37">
        <v>0</v>
      </c>
      <c r="V400" s="37" t="s">
        <v>868</v>
      </c>
      <c r="X400" s="37">
        <v>1</v>
      </c>
    </row>
    <row r="401" spans="1:24" x14ac:dyDescent="0.2">
      <c r="A401" s="37">
        <v>424</v>
      </c>
      <c r="B401" s="37" t="s">
        <v>13</v>
      </c>
      <c r="C401" s="37" t="s">
        <v>326</v>
      </c>
      <c r="D401" s="37" t="s">
        <v>952</v>
      </c>
      <c r="E401" s="37" t="s">
        <v>477</v>
      </c>
      <c r="J401" s="33">
        <f>VLOOKUP($A401, Stat!$A$1:$C$1000, 2,0)</f>
        <v>3</v>
      </c>
      <c r="K401" s="33">
        <f>VLOOKUP($A401, Stat!$A$1:$C$1000, 3,0)</f>
        <v>0</v>
      </c>
      <c r="L401" s="33">
        <v>1</v>
      </c>
      <c r="S401" s="37">
        <v>100</v>
      </c>
      <c r="T401" s="37">
        <v>0</v>
      </c>
      <c r="V401" s="37" t="s">
        <v>868</v>
      </c>
      <c r="X401" s="37">
        <v>1</v>
      </c>
    </row>
    <row r="402" spans="1:24" x14ac:dyDescent="0.2">
      <c r="A402" s="37">
        <v>425</v>
      </c>
      <c r="B402" s="37" t="s">
        <v>13</v>
      </c>
      <c r="C402" s="37" t="s">
        <v>326</v>
      </c>
      <c r="D402" s="37" t="s">
        <v>952</v>
      </c>
      <c r="E402" s="37" t="s">
        <v>478</v>
      </c>
      <c r="J402" s="33">
        <f>VLOOKUP($A402, Stat!$A$1:$C$1000, 2,0)</f>
        <v>4</v>
      </c>
      <c r="K402" s="33">
        <f>VLOOKUP($A402, Stat!$A$1:$C$1000, 3,0)</f>
        <v>0</v>
      </c>
      <c r="L402" s="33">
        <v>1</v>
      </c>
      <c r="S402" s="37">
        <v>100</v>
      </c>
      <c r="T402" s="37">
        <v>0</v>
      </c>
      <c r="V402" s="37" t="s">
        <v>868</v>
      </c>
      <c r="X402" s="37">
        <v>1</v>
      </c>
    </row>
    <row r="403" spans="1:24" x14ac:dyDescent="0.2">
      <c r="A403" s="37">
        <v>426</v>
      </c>
      <c r="B403" s="37" t="s">
        <v>13</v>
      </c>
      <c r="C403" s="37" t="s">
        <v>326</v>
      </c>
      <c r="D403" s="37" t="s">
        <v>952</v>
      </c>
      <c r="E403" s="37" t="s">
        <v>478</v>
      </c>
      <c r="J403" s="33">
        <f>VLOOKUP($A403, Stat!$A$1:$C$1000, 2,0)</f>
        <v>0</v>
      </c>
      <c r="K403" s="33">
        <f>VLOOKUP($A403, Stat!$A$1:$C$1000, 3,0)</f>
        <v>0</v>
      </c>
      <c r="L403" s="33">
        <v>1</v>
      </c>
      <c r="S403" s="37">
        <v>100</v>
      </c>
      <c r="T403" s="37">
        <v>0</v>
      </c>
      <c r="V403" s="37" t="s">
        <v>868</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823</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823</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824</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824</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831</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916</v>
      </c>
      <c r="D453" s="37" t="s">
        <v>926</v>
      </c>
      <c r="E453" s="37" t="s">
        <v>2</v>
      </c>
      <c r="F453" s="33">
        <v>5</v>
      </c>
      <c r="L453" s="33">
        <v>1</v>
      </c>
      <c r="S453" s="37">
        <v>50</v>
      </c>
      <c r="T453" s="37">
        <v>0</v>
      </c>
      <c r="V453" s="37" t="s">
        <v>505</v>
      </c>
    </row>
    <row r="454" spans="1:24" x14ac:dyDescent="0.2">
      <c r="A454" s="37">
        <v>477</v>
      </c>
      <c r="B454" s="37" t="s">
        <v>31</v>
      </c>
      <c r="C454" s="37" t="s">
        <v>916</v>
      </c>
      <c r="D454" s="37" t="s">
        <v>926</v>
      </c>
      <c r="E454" s="37" t="s">
        <v>3</v>
      </c>
      <c r="F454" s="33">
        <v>5</v>
      </c>
      <c r="L454" s="33">
        <v>1</v>
      </c>
      <c r="S454" s="37">
        <v>50</v>
      </c>
      <c r="T454" s="37">
        <v>0</v>
      </c>
      <c r="V454" s="37" t="s">
        <v>505</v>
      </c>
    </row>
    <row r="455" spans="1:24" x14ac:dyDescent="0.2">
      <c r="A455" s="37">
        <v>478</v>
      </c>
      <c r="B455" s="37" t="s">
        <v>31</v>
      </c>
      <c r="C455" s="37" t="s">
        <v>916</v>
      </c>
      <c r="D455" s="37" t="s">
        <v>926</v>
      </c>
      <c r="E455" s="37" t="s">
        <v>4</v>
      </c>
      <c r="F455" s="33">
        <v>5</v>
      </c>
      <c r="L455" s="33">
        <v>1</v>
      </c>
      <c r="S455" s="37">
        <v>100</v>
      </c>
      <c r="T455" s="37">
        <v>0</v>
      </c>
      <c r="V455" s="37" t="s">
        <v>505</v>
      </c>
    </row>
    <row r="456" spans="1:24" x14ac:dyDescent="0.2">
      <c r="A456" s="37">
        <v>479</v>
      </c>
      <c r="B456" s="37" t="s">
        <v>31</v>
      </c>
      <c r="C456" s="37" t="s">
        <v>916</v>
      </c>
      <c r="D456" s="37" t="s">
        <v>926</v>
      </c>
      <c r="E456" s="37" t="s">
        <v>41</v>
      </c>
      <c r="F456" s="33">
        <v>5</v>
      </c>
      <c r="L456" s="33">
        <v>1</v>
      </c>
      <c r="S456" s="37">
        <v>100</v>
      </c>
      <c r="T456" s="37">
        <v>0</v>
      </c>
      <c r="V456" s="37" t="s">
        <v>505</v>
      </c>
    </row>
    <row r="457" spans="1:24" x14ac:dyDescent="0.2">
      <c r="A457" s="37">
        <v>481</v>
      </c>
      <c r="B457" s="37" t="s">
        <v>13</v>
      </c>
      <c r="C457" s="37" t="s">
        <v>53</v>
      </c>
      <c r="D457" s="37" t="s">
        <v>802</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802</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803</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803</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803</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803</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803</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803</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803</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803</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910</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910</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910</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910</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911</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911</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911</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911</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915</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831</v>
      </c>
      <c r="E481" s="37" t="s">
        <v>834</v>
      </c>
      <c r="F481" s="33">
        <v>1</v>
      </c>
      <c r="L481" s="33">
        <v>1</v>
      </c>
      <c r="S481" s="37">
        <v>50</v>
      </c>
      <c r="T481" s="37">
        <v>0</v>
      </c>
      <c r="W481" s="37" t="s">
        <v>888</v>
      </c>
    </row>
    <row r="482" spans="1:23" x14ac:dyDescent="0.2">
      <c r="A482" s="37">
        <v>506</v>
      </c>
      <c r="B482" s="37" t="s">
        <v>31</v>
      </c>
      <c r="C482" s="37" t="s">
        <v>916</v>
      </c>
      <c r="D482" s="37" t="s">
        <v>937</v>
      </c>
      <c r="E482" s="37" t="s">
        <v>2</v>
      </c>
      <c r="F482" s="33">
        <v>5</v>
      </c>
      <c r="L482" s="33">
        <v>1</v>
      </c>
      <c r="S482" s="37">
        <v>0</v>
      </c>
      <c r="T482" s="37">
        <v>1</v>
      </c>
      <c r="U482" s="37">
        <v>35</v>
      </c>
      <c r="V482" s="37" t="s">
        <v>939</v>
      </c>
    </row>
    <row r="483" spans="1:23" x14ac:dyDescent="0.2">
      <c r="A483" s="37">
        <v>507</v>
      </c>
      <c r="B483" s="37" t="s">
        <v>31</v>
      </c>
      <c r="C483" s="37" t="s">
        <v>916</v>
      </c>
      <c r="D483" s="37" t="s">
        <v>937</v>
      </c>
      <c r="E483" s="37" t="s">
        <v>3</v>
      </c>
      <c r="F483" s="33">
        <v>5</v>
      </c>
      <c r="L483" s="33">
        <v>1</v>
      </c>
      <c r="S483" s="37">
        <v>0</v>
      </c>
      <c r="T483" s="37">
        <v>1</v>
      </c>
      <c r="U483" s="37">
        <v>35</v>
      </c>
      <c r="V483" s="37" t="s">
        <v>939</v>
      </c>
    </row>
    <row r="484" spans="1:23" x14ac:dyDescent="0.2">
      <c r="A484" s="37">
        <v>508</v>
      </c>
      <c r="B484" s="37" t="s">
        <v>31</v>
      </c>
      <c r="C484" s="37" t="s">
        <v>916</v>
      </c>
      <c r="D484" s="37" t="s">
        <v>937</v>
      </c>
      <c r="E484" s="37" t="s">
        <v>4</v>
      </c>
      <c r="F484" s="33">
        <v>5</v>
      </c>
      <c r="L484" s="33">
        <v>1</v>
      </c>
      <c r="S484" s="37">
        <v>0</v>
      </c>
      <c r="T484" s="37">
        <v>1</v>
      </c>
      <c r="U484" s="37">
        <v>35</v>
      </c>
      <c r="V484" s="37" t="s">
        <v>939</v>
      </c>
    </row>
    <row r="485" spans="1:23" x14ac:dyDescent="0.2">
      <c r="A485" s="37">
        <v>509</v>
      </c>
      <c r="B485" s="37" t="s">
        <v>31</v>
      </c>
      <c r="C485" s="37" t="s">
        <v>916</v>
      </c>
      <c r="D485" s="37" t="s">
        <v>937</v>
      </c>
      <c r="E485" s="37" t="s">
        <v>41</v>
      </c>
      <c r="F485" s="33">
        <v>5</v>
      </c>
      <c r="L485" s="33">
        <v>1</v>
      </c>
      <c r="S485" s="37">
        <v>0</v>
      </c>
      <c r="T485" s="37">
        <v>1</v>
      </c>
      <c r="U485" s="37">
        <v>35</v>
      </c>
      <c r="V485" s="37" t="s">
        <v>939</v>
      </c>
    </row>
    <row r="486" spans="1:23" x14ac:dyDescent="0.2">
      <c r="A486" s="37">
        <v>510</v>
      </c>
      <c r="B486" s="37" t="s">
        <v>31</v>
      </c>
      <c r="C486" s="37" t="s">
        <v>916</v>
      </c>
      <c r="D486" s="37" t="s">
        <v>936</v>
      </c>
      <c r="E486" s="37" t="s">
        <v>2</v>
      </c>
      <c r="F486" s="33">
        <v>5</v>
      </c>
      <c r="L486" s="33">
        <v>1</v>
      </c>
      <c r="S486" s="37">
        <v>0</v>
      </c>
      <c r="T486" s="37">
        <v>1</v>
      </c>
      <c r="U486" s="37">
        <v>35</v>
      </c>
      <c r="V486" s="37" t="s">
        <v>938</v>
      </c>
    </row>
    <row r="487" spans="1:23" x14ac:dyDescent="0.2">
      <c r="A487" s="37">
        <v>511</v>
      </c>
      <c r="B487" s="37" t="s">
        <v>31</v>
      </c>
      <c r="C487" s="37" t="s">
        <v>916</v>
      </c>
      <c r="D487" s="37" t="s">
        <v>936</v>
      </c>
      <c r="E487" s="37" t="s">
        <v>3</v>
      </c>
      <c r="F487" s="33">
        <v>5</v>
      </c>
      <c r="L487" s="33">
        <v>1</v>
      </c>
      <c r="S487" s="37">
        <v>0</v>
      </c>
      <c r="T487" s="37">
        <v>1</v>
      </c>
      <c r="U487" s="37">
        <v>35</v>
      </c>
      <c r="V487" s="37" t="s">
        <v>938</v>
      </c>
    </row>
    <row r="488" spans="1:23" x14ac:dyDescent="0.2">
      <c r="A488" s="37">
        <v>512</v>
      </c>
      <c r="B488" s="37" t="s">
        <v>31</v>
      </c>
      <c r="C488" s="37" t="s">
        <v>916</v>
      </c>
      <c r="D488" s="37" t="s">
        <v>936</v>
      </c>
      <c r="E488" s="37" t="s">
        <v>4</v>
      </c>
      <c r="F488" s="33">
        <v>5</v>
      </c>
      <c r="L488" s="33">
        <v>1</v>
      </c>
      <c r="S488" s="37">
        <v>0</v>
      </c>
      <c r="T488" s="37">
        <v>1</v>
      </c>
      <c r="U488" s="37">
        <v>35</v>
      </c>
      <c r="V488" s="37" t="s">
        <v>938</v>
      </c>
    </row>
    <row r="489" spans="1:23" x14ac:dyDescent="0.2">
      <c r="A489" s="37">
        <v>513</v>
      </c>
      <c r="B489" s="37" t="s">
        <v>31</v>
      </c>
      <c r="C489" s="37" t="s">
        <v>916</v>
      </c>
      <c r="D489" s="37" t="s">
        <v>936</v>
      </c>
      <c r="E489" s="37" t="s">
        <v>41</v>
      </c>
      <c r="F489" s="33">
        <v>5</v>
      </c>
      <c r="L489" s="33">
        <v>1</v>
      </c>
      <c r="S489" s="37">
        <v>0</v>
      </c>
      <c r="T489" s="37">
        <v>1</v>
      </c>
      <c r="U489" s="37">
        <v>35</v>
      </c>
      <c r="V489" s="37" t="s">
        <v>938</v>
      </c>
    </row>
    <row r="490" spans="1:23" x14ac:dyDescent="0.2">
      <c r="A490" s="37">
        <v>137</v>
      </c>
      <c r="W490" s="37">
        <v>1</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2018-07-17T19:00:25Z</dcterms:modified>
</cp:coreProperties>
</file>