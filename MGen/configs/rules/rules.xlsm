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Data!$A$1:$T$357</definedName>
  </definedNames>
  <calcPr calcId="162913"/>
</workbook>
</file>

<file path=xl/calcChain.xml><?xml version="1.0" encoding="utf-8"?>
<calcChain xmlns="http://schemas.openxmlformats.org/spreadsheetml/2006/main">
  <c r="N338" i="4" l="1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8" i="4"/>
  <c r="N318" i="4"/>
  <c r="O212" i="4"/>
  <c r="N212" i="4"/>
  <c r="O280" i="4"/>
  <c r="N280" i="4"/>
  <c r="O78" i="4"/>
  <c r="N78" i="4"/>
  <c r="O226" i="4"/>
  <c r="N226" i="4"/>
  <c r="O112" i="4"/>
  <c r="N112" i="4"/>
  <c r="O72" i="4"/>
  <c r="N72" i="4"/>
  <c r="N344" i="4"/>
  <c r="O279" i="4"/>
  <c r="N279" i="4"/>
  <c r="O209" i="4"/>
  <c r="N209" i="4"/>
  <c r="O126" i="4"/>
  <c r="N126" i="4"/>
  <c r="O49" i="4"/>
  <c r="N49" i="4"/>
  <c r="O239" i="4"/>
  <c r="N239" i="4"/>
  <c r="O233" i="4"/>
  <c r="N233" i="4"/>
  <c r="O211" i="4"/>
  <c r="N211" i="4"/>
  <c r="O243" i="4"/>
  <c r="N243" i="4"/>
  <c r="O213" i="4"/>
  <c r="N213" i="4"/>
  <c r="O100" i="4"/>
  <c r="N100" i="4"/>
  <c r="O65" i="4"/>
  <c r="N65" i="4"/>
  <c r="O17" i="4"/>
  <c r="N17" i="4"/>
  <c r="O119" i="4"/>
  <c r="N119" i="4"/>
  <c r="O95" i="4"/>
  <c r="N95" i="4"/>
  <c r="O57" i="4"/>
  <c r="N57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7" i="4"/>
  <c r="N317" i="4"/>
  <c r="O235" i="4"/>
  <c r="N235" i="4"/>
  <c r="O231" i="4"/>
  <c r="N231" i="4"/>
  <c r="O48" i="4"/>
  <c r="N48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8" i="4"/>
  <c r="N278" i="4"/>
  <c r="O245" i="4"/>
  <c r="N245" i="4"/>
  <c r="O277" i="4"/>
  <c r="N277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<sst xmlns="http://schemas.openxmlformats.org/spreadsheetml/2006/main" count="2244" uniqueCount="565">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</sst>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2" activePane="bottomLeft" state="frozen"/>
      <selection activeCell="C37" sqref="C37"/>
      <selection pane="bottomLeft" activeCell="D38" sqref="C38:D39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0" t="s">
        <v>40</v>
      </c>
      <c r="E2" s="111"/>
      <c r="F2" s="111"/>
      <c r="G2" s="111"/>
      <c r="H2" s="111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08" t="s">
        <v>39</v>
      </c>
      <c r="B3" s="109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8"/>
      <c r="B4" s="109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8"/>
      <c r="B5" s="109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09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09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09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09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09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09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09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8"/>
      <c r="B13" s="109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8"/>
      <c r="B14" s="109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09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09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09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09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09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8"/>
      <c r="B20" s="109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8"/>
      <c r="B21" s="109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8"/>
      <c r="B22" s="109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8"/>
      <c r="B23" s="109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8"/>
      <c r="B24" s="109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8"/>
      <c r="B25" s="109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8"/>
      <c r="B26" s="109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8"/>
      <c r="B27" s="109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8"/>
      <c r="B28" s="114" t="s">
        <v>14</v>
      </c>
      <c r="C28" s="34" t="s">
        <v>386</v>
      </c>
      <c r="D28" s="117" t="s">
        <v>141</v>
      </c>
      <c r="E28" s="118"/>
      <c r="F28" s="117" t="s">
        <v>174</v>
      </c>
      <c r="G28" s="118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8"/>
      <c r="B29" s="116"/>
      <c r="C29" s="34" t="s">
        <v>409</v>
      </c>
      <c r="D29" s="112" t="s">
        <v>387</v>
      </c>
      <c r="E29" s="113"/>
      <c r="F29" s="112" t="s">
        <v>391</v>
      </c>
      <c r="G29" s="11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8"/>
      <c r="B30" s="109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8"/>
      <c r="B31" s="109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8"/>
      <c r="B32" s="109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8"/>
      <c r="B33" s="109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8"/>
      <c r="B34" s="109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8"/>
      <c r="B35" s="109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8"/>
      <c r="B36" s="114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8"/>
      <c r="B37" s="115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8"/>
      <c r="B38" s="116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8"/>
      <c r="B39" s="109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8"/>
      <c r="B40" s="109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8"/>
      <c r="B41" s="109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8"/>
      <c r="B42" s="109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8"/>
      <c r="B43" s="109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8" t="s">
        <v>41</v>
      </c>
      <c r="B44" s="109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8"/>
      <c r="B45" s="109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8"/>
      <c r="B46" s="109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8"/>
      <c r="B47" s="109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8"/>
      <c r="B48" s="109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8"/>
      <c r="B49" s="109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8"/>
      <c r="B50" s="109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8"/>
      <c r="B51" s="109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8"/>
      <c r="B52" s="109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8"/>
      <c r="B53" s="109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8"/>
      <c r="B54" s="109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09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09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09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09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09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09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09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09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09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09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09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09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09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09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09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09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09"/>
      <c r="C71" s="34" t="s">
        <v>68</v>
      </c>
      <c r="D71" s="78" t="s">
        <v>65</v>
      </c>
      <c r="E71" s="76" t="s">
        <v>475</v>
      </c>
      <c r="F71" s="78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09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09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09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09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09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09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09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09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09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09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09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09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4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5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5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5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5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6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09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09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09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09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09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09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09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09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09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2" activePane="bottomLeft" state="frozen"/>
      <selection pane="bottomLeft" activeCell="H2" sqref="H2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22"/>
      <c r="K2" s="51"/>
      <c r="L2" s="51"/>
      <c r="M2" s="51"/>
      <c r="N2" s="107">
        <f>VLOOKUP($A2, Stat!$A$1:$C$501, 2,0)</f>
        <v>701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22"/>
      <c r="K3" s="50"/>
      <c r="L3" s="51"/>
      <c r="M3" s="50" t="s">
        <v>270</v>
      </c>
      <c r="N3" s="107">
        <f>VLOOKUP($A3, Stat!$A$1:$C$501, 2,0)</f>
        <v>543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22"/>
      <c r="K4" s="51"/>
      <c r="L4" s="51"/>
      <c r="M4" s="51"/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22"/>
      <c r="K5" s="50"/>
      <c r="L5" s="51"/>
      <c r="M5" s="50" t="s">
        <v>270</v>
      </c>
      <c r="N5" s="107">
        <f>VLOOKUP($A5, Stat!$A$1:$C$501, 2,0)</f>
        <v>459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22"/>
      <c r="K6" s="51"/>
      <c r="L6" s="51"/>
      <c r="M6" s="51"/>
      <c r="N6" s="107">
        <f>VLOOKUP($A6, Stat!$A$1:$C$501, 2,0)</f>
        <v>393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22"/>
      <c r="N7" s="107">
        <f>VLOOKUP($A7, Stat!$A$1:$C$501, 2,0)</f>
        <v>327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22"/>
      <c r="K8" s="51"/>
      <c r="L8" s="51"/>
      <c r="M8" s="51"/>
      <c r="N8" s="107">
        <f>VLOOKUP($A8, Stat!$A$1:$C$501, 2,0)</f>
        <v>305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22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22"/>
      <c r="N10" s="107">
        <f>VLOOKUP($A10, Stat!$A$1:$C$501, 2,0)</f>
        <v>277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22"/>
      <c r="K11" s="50" t="s">
        <v>336</v>
      </c>
      <c r="L11" s="51"/>
      <c r="M11" s="51"/>
      <c r="N11" s="107">
        <f>VLOOKUP($A11, Stat!$A$1:$C$501, 2,0)</f>
        <v>191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22"/>
      <c r="I12" s="49">
        <v>999</v>
      </c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22"/>
      <c r="K13" s="51"/>
      <c r="L13" s="51"/>
      <c r="M13" s="51"/>
      <c r="N13" s="107">
        <f>VLOOKUP($A13, Stat!$A$1:$C$501, 2,0)</f>
        <v>187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531</v>
      </c>
      <c r="D14" s="53" t="s">
        <v>73</v>
      </c>
      <c r="E14" s="57" t="s">
        <v>543</v>
      </c>
      <c r="F14" s="51"/>
      <c r="H14" s="49">
        <v>1</v>
      </c>
      <c r="K14" s="51"/>
      <c r="L14" s="51"/>
      <c r="M14" s="51"/>
      <c r="N14" s="107">
        <f>VLOOKUP($A14, Stat!$A$1:$C$501, 2,0)</f>
        <v>176</v>
      </c>
      <c r="O14" s="107">
        <f>VLOOKUP($A14, Stat!$A$1:$C$501, 3,0)</f>
        <v>25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22"/>
      <c r="J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22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22"/>
      <c r="K17" s="51"/>
      <c r="L17" s="51"/>
      <c r="M17" s="51"/>
      <c r="N17" s="107">
        <f>VLOOKUP($A17, Stat!$A$1:$C$501, 2,0)</f>
        <v>170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22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159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22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22"/>
      <c r="K21" s="50"/>
      <c r="L21" s="51"/>
      <c r="M21" s="50" t="s">
        <v>270</v>
      </c>
      <c r="N21" s="107">
        <f>VLOOKUP($A21, Stat!$A$1:$C$501, 2,0)</f>
        <v>148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22"/>
      <c r="K22" s="51"/>
      <c r="L22" s="51"/>
      <c r="M22" s="51"/>
      <c r="N22" s="107">
        <f>VLOOKUP($A22, Stat!$A$1:$C$501, 2,0)</f>
        <v>147</v>
      </c>
      <c r="O22" s="107">
        <f>VLOOKUP($A22, Stat!$A$1:$C$501, 3,0)</f>
        <v>3</v>
      </c>
      <c r="P22" s="53">
        <v>0</v>
      </c>
      <c r="Q22" s="53">
        <v>0</v>
      </c>
      <c r="S22" s="53" t="s">
        <v>422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22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22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22"/>
      <c r="K25" s="50" t="s">
        <v>398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22"/>
      <c r="N26" s="107">
        <f>VLOOKUP($A26, Stat!$A$1:$C$501, 2,0)</f>
        <v>128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124</v>
      </c>
      <c r="O27" s="107">
        <f>VLOOKUP($A27, Stat!$A$1:$C$501, 3,0)</f>
        <v>38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22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22"/>
      <c r="K30" s="50" t="s">
        <v>335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96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96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87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83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81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68</v>
      </c>
      <c r="O47" s="107">
        <f>VLOOKUP($A47, Stat!$A$1:$C$501, 3,0)</f>
        <v>4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108</v>
      </c>
      <c r="B48" s="53" t="s">
        <v>39</v>
      </c>
      <c r="C48" s="53" t="s">
        <v>83</v>
      </c>
      <c r="D48" s="53" t="s">
        <v>126</v>
      </c>
      <c r="E48" s="57" t="s">
        <v>3</v>
      </c>
      <c r="F48" s="51"/>
      <c r="H48" s="49">
        <v>1</v>
      </c>
      <c r="K48" s="50" t="s">
        <v>264</v>
      </c>
      <c r="L48" s="51"/>
      <c r="M48" s="51"/>
      <c r="N48" s="107">
        <f>VLOOKUP($A48, Stat!$A$1:$C$501, 2,0)</f>
        <v>68</v>
      </c>
      <c r="O48" s="107">
        <f>VLOOKUP($A48, Stat!$A$1:$C$501, 3,0)</f>
        <v>0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49">
        <v>1</v>
      </c>
      <c r="K49" s="50" t="s">
        <v>260</v>
      </c>
      <c r="L49" s="51"/>
      <c r="M49" s="51"/>
      <c r="N49" s="107">
        <f>VLOOKUP($A49, Stat!$A$1:$C$501, 2,0)</f>
        <v>68</v>
      </c>
      <c r="O49" s="107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66</v>
      </c>
      <c r="O50" s="107">
        <f>VLOOKUP($A50, Stat!$A$1:$C$501, 3,0)</f>
        <v>0</v>
      </c>
      <c r="P50" s="53">
        <v>40</v>
      </c>
      <c r="Q50" s="53">
        <v>-1</v>
      </c>
      <c r="R50" s="53" t="s">
        <v>439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66</v>
      </c>
      <c r="O51" s="107">
        <f>VLOOKUP($A51, Stat!$A$1:$C$501, 3,0)</f>
        <v>1</v>
      </c>
      <c r="P51" s="53">
        <v>60</v>
      </c>
      <c r="Q51" s="53">
        <v>-1</v>
      </c>
      <c r="S51" s="53" t="s">
        <v>385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65</v>
      </c>
      <c r="O53" s="107">
        <f>VLOOKUP($A53, Stat!$A$1:$C$501, 3,0)</f>
        <v>16</v>
      </c>
      <c r="P53" s="53">
        <v>60</v>
      </c>
      <c r="Q53" s="53">
        <v>0</v>
      </c>
      <c r="R53" s="53" t="s">
        <v>456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65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63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49">
        <v>1</v>
      </c>
      <c r="K57" s="51"/>
      <c r="L57" s="51"/>
      <c r="M57" s="51"/>
      <c r="N57" s="107">
        <f>VLOOKUP($A57, Stat!$A$1:$C$501, 2,0)</f>
        <v>61</v>
      </c>
      <c r="O57" s="107">
        <f>VLOOKUP($A57, Stat!$A$1:$C$501, 3,0)</f>
        <v>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340</v>
      </c>
      <c r="E62" s="53" t="s">
        <v>321</v>
      </c>
      <c r="K62" s="49">
        <v>225</v>
      </c>
      <c r="N62" s="107">
        <f>VLOOKUP($A62, Stat!$A$1:$C$501, 2,0)</f>
        <v>57</v>
      </c>
      <c r="O62" s="107">
        <f>VLOOKUP($A62, Stat!$A$1:$C$501, 3,0)</f>
        <v>21</v>
      </c>
      <c r="P62" s="53">
        <v>0</v>
      </c>
      <c r="Q62" s="53">
        <v>1</v>
      </c>
      <c r="S62" s="53" t="s">
        <v>360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56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55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49">
        <v>1</v>
      </c>
      <c r="K65" s="51"/>
      <c r="L65" s="51"/>
      <c r="M65" s="51"/>
      <c r="N65" s="107">
        <f>VLOOKUP($A65, Stat!$A$1:$C$501, 2,0)</f>
        <v>55</v>
      </c>
      <c r="O65" s="107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49">
        <v>1</v>
      </c>
      <c r="K66" s="51"/>
      <c r="L66" s="51"/>
      <c r="M66" s="51"/>
      <c r="N66" s="107">
        <f>VLOOKUP($A66, Stat!$A$1:$C$501, 2,0)</f>
        <v>55</v>
      </c>
      <c r="O66" s="107">
        <f>VLOOKUP($A66, Stat!$A$1:$C$501, 3,0)</f>
        <v>0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51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51</v>
      </c>
      <c r="O68" s="107">
        <f>VLOOKUP($A68, Stat!$A$1:$C$501, 3,0)</f>
        <v>3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531</v>
      </c>
      <c r="D69" s="53" t="s">
        <v>538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50</v>
      </c>
      <c r="O69" s="107">
        <f>VLOOKUP($A69, Stat!$A$1:$C$501, 3,0)</f>
        <v>3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50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397</v>
      </c>
      <c r="E72" s="57" t="s">
        <v>4</v>
      </c>
      <c r="F72" s="51"/>
      <c r="K72" s="51"/>
      <c r="L72" s="51"/>
      <c r="M72" s="51"/>
      <c r="N72" s="107">
        <f>VLOOKUP($A72, Stat!$A$1:$C$501, 2,0)</f>
        <v>48</v>
      </c>
      <c r="O72" s="107">
        <f>VLOOKUP($A72, Stat!$A$1:$C$501, 3,0)</f>
        <v>0</v>
      </c>
      <c r="P72" s="53">
        <v>0</v>
      </c>
      <c r="Q72" s="53">
        <v>-1</v>
      </c>
      <c r="R72" s="53" t="s">
        <v>440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48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529</v>
      </c>
      <c r="E76" s="57" t="s">
        <v>546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H77" s="49">
        <v>1</v>
      </c>
      <c r="K77" s="50"/>
      <c r="L77" s="51"/>
      <c r="M77" s="51"/>
      <c r="N77" s="107">
        <f>VLOOKUP($A77, Stat!$A$1:$C$501, 2,0)</f>
        <v>47</v>
      </c>
      <c r="O77" s="107">
        <f>VLOOKUP($A77, Stat!$A$1:$C$501, 3,0)</f>
        <v>1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49">
        <v>1</v>
      </c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0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7">
        <f>VLOOKUP($A79, Stat!$A$1:$C$501, 2,0)</f>
        <v>47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382</v>
      </c>
      <c r="F80" s="51"/>
      <c r="G80" s="49">
        <v>1</v>
      </c>
      <c r="K80" s="51"/>
      <c r="L80" s="51"/>
      <c r="M80" s="51"/>
      <c r="N80" s="107">
        <f>VLOOKUP($A80, Stat!$A$1:$C$501, 2,0)</f>
        <v>46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46</v>
      </c>
      <c r="O81" s="107">
        <f>VLOOKUP($A81, Stat!$A$1:$C$501, 3,0)</f>
        <v>17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44</v>
      </c>
      <c r="O83" s="107">
        <f>VLOOKUP($A83, Stat!$A$1:$C$501, 3,0)</f>
        <v>7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520</v>
      </c>
      <c r="F84" s="51"/>
      <c r="K84" s="51"/>
      <c r="L84" s="51"/>
      <c r="M84" s="51"/>
      <c r="N84" s="107">
        <f>VLOOKUP($A84, Stat!$A$1:$C$501, 2,0)</f>
        <v>44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487</v>
      </c>
      <c r="E85" s="53" t="s">
        <v>555</v>
      </c>
      <c r="G85" s="49">
        <v>1</v>
      </c>
      <c r="N85" s="107">
        <f>VLOOKUP($A85, Stat!$A$1:$C$501, 2,0)</f>
        <v>44</v>
      </c>
      <c r="O85" s="107">
        <f>VLOOKUP($A85, Stat!$A$1:$C$501, 3,0)</f>
        <v>6</v>
      </c>
      <c r="P85" s="53">
        <v>60</v>
      </c>
      <c r="Q85" s="53">
        <v>0</v>
      </c>
      <c r="R85" s="53" t="s">
        <v>492</v>
      </c>
      <c r="S85" s="53" t="s">
        <v>495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44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42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40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531</v>
      </c>
      <c r="D92" s="53" t="s">
        <v>73</v>
      </c>
      <c r="E92" s="57" t="s">
        <v>544</v>
      </c>
      <c r="F92" s="51"/>
      <c r="H92" s="49">
        <v>1</v>
      </c>
      <c r="K92" s="51"/>
      <c r="L92" s="51"/>
      <c r="M92" s="51"/>
      <c r="N92" s="107">
        <f>VLOOKUP($A92, Stat!$A$1:$C$501, 2,0)</f>
        <v>39</v>
      </c>
      <c r="O92" s="107">
        <f>VLOOKUP($A92, Stat!$A$1:$C$501, 3,0)</f>
        <v>1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60</v>
      </c>
      <c r="Q93" s="53">
        <v>-1</v>
      </c>
      <c r="R93" s="53" t="s">
        <v>439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H95" s="49">
        <v>1</v>
      </c>
      <c r="K95" s="51"/>
      <c r="L95" s="51"/>
      <c r="M95" s="51"/>
      <c r="N95" s="107">
        <f>VLOOKUP($A95, Stat!$A$1:$C$501, 2,0)</f>
        <v>38</v>
      </c>
      <c r="O95" s="107">
        <f>VLOOKUP($A95, Stat!$A$1:$C$501, 3,0)</f>
        <v>1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529</v>
      </c>
      <c r="E98" s="57" t="s">
        <v>297</v>
      </c>
      <c r="H98" s="49">
        <v>1</v>
      </c>
      <c r="N98" s="107">
        <f>VLOOKUP($A98, Stat!$A$1:$C$501, 2,0)</f>
        <v>36</v>
      </c>
      <c r="O98" s="107">
        <f>VLOOKUP($A98, Stat!$A$1:$C$501, 3,0)</f>
        <v>9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36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H100" s="49">
        <v>1</v>
      </c>
      <c r="K100" s="50"/>
      <c r="L100" s="51"/>
      <c r="M100" s="51"/>
      <c r="N100" s="107">
        <f>VLOOKUP($A100, Stat!$A$1:$C$501, 2,0)</f>
        <v>36</v>
      </c>
      <c r="O100" s="107">
        <f>VLOOKUP($A100, Stat!$A$1:$C$501, 3,0)</f>
        <v>2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393</v>
      </c>
      <c r="H101" s="49">
        <v>1</v>
      </c>
      <c r="N101" s="107">
        <f>VLOOKUP($A101, Stat!$A$1:$C$501, 2,0)</f>
        <v>36</v>
      </c>
      <c r="O101" s="107">
        <f>VLOOKUP($A101, Stat!$A$1:$C$501, 3,0)</f>
        <v>3</v>
      </c>
      <c r="P101" s="53">
        <v>0</v>
      </c>
      <c r="Q101" s="53">
        <v>0</v>
      </c>
      <c r="S101" s="53" t="s">
        <v>395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340</v>
      </c>
      <c r="E103" s="53" t="s">
        <v>77</v>
      </c>
      <c r="N103" s="107">
        <f>VLOOKUP($A103, Stat!$A$1:$C$501, 2,0)</f>
        <v>35</v>
      </c>
      <c r="O103" s="107">
        <f>VLOOKUP($A103, Stat!$A$1:$C$501, 3,0)</f>
        <v>17</v>
      </c>
      <c r="P103" s="53">
        <v>60</v>
      </c>
      <c r="Q103" s="53">
        <v>0</v>
      </c>
      <c r="S103" s="53" t="s">
        <v>344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377</v>
      </c>
      <c r="F104" s="51"/>
      <c r="G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446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34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402</v>
      </c>
      <c r="E109" s="53" t="s">
        <v>469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464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398</v>
      </c>
      <c r="L111" s="51"/>
      <c r="M111" s="51"/>
      <c r="N111" s="107">
        <f>VLOOKUP($A111, Stat!$A$1:$C$501, 2,0)</f>
        <v>32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428</v>
      </c>
      <c r="E113" s="57" t="s">
        <v>549</v>
      </c>
      <c r="F113" s="51"/>
      <c r="H113" s="49">
        <v>1</v>
      </c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17</v>
      </c>
      <c r="P113" s="53">
        <v>30</v>
      </c>
      <c r="Q113" s="53">
        <v>0</v>
      </c>
      <c r="S113" s="53" t="s">
        <v>552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49">
        <v>1</v>
      </c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0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521</v>
      </c>
      <c r="E116" s="53" t="s">
        <v>522</v>
      </c>
      <c r="N116" s="107">
        <f>VLOOKUP($A116, Stat!$A$1:$C$501, 2,0)</f>
        <v>30</v>
      </c>
      <c r="O116" s="107">
        <f>VLOOKUP($A116, Stat!$A$1:$C$501, 3,0)</f>
        <v>0</v>
      </c>
      <c r="P116" s="53">
        <v>60</v>
      </c>
      <c r="Q116" s="53">
        <v>0</v>
      </c>
      <c r="S116" s="53" t="s">
        <v>525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30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131</v>
      </c>
      <c r="B119" s="53" t="s">
        <v>39</v>
      </c>
      <c r="C119" s="53" t="s">
        <v>83</v>
      </c>
      <c r="D119" s="53" t="s">
        <v>124</v>
      </c>
      <c r="E119" s="57" t="s">
        <v>51</v>
      </c>
      <c r="F119" s="51"/>
      <c r="H119" s="49">
        <v>1</v>
      </c>
      <c r="K119" s="51"/>
      <c r="L119" s="51"/>
      <c r="M119" s="51"/>
      <c r="N119" s="107">
        <f>VLOOKUP($A119, Stat!$A$1:$C$501, 2,0)</f>
        <v>29</v>
      </c>
      <c r="O119" s="107">
        <f>VLOOKUP($A119, Stat!$A$1:$C$501, 3,0)</f>
        <v>0</v>
      </c>
      <c r="P119" s="53">
        <v>100</v>
      </c>
      <c r="Q119" s="53">
        <v>0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321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322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498</v>
      </c>
      <c r="L122" s="49">
        <v>1</v>
      </c>
      <c r="N122" s="107">
        <f>VLOOKUP($A122, Stat!$A$1:$C$501, 2,0)</f>
        <v>29</v>
      </c>
      <c r="O122" s="107">
        <f>VLOOKUP($A122, Stat!$A$1:$C$501, 3,0)</f>
        <v>0</v>
      </c>
      <c r="P122" s="53">
        <v>0</v>
      </c>
      <c r="Q122" s="53">
        <v>0</v>
      </c>
      <c r="S122" s="53" t="s">
        <v>499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400</v>
      </c>
      <c r="L124" s="51"/>
      <c r="M124" s="51"/>
      <c r="N124" s="107">
        <f>VLOOKUP($A124, Stat!$A$1:$C$501, 2,0)</f>
        <v>29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402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557</v>
      </c>
      <c r="T125" s="53">
        <v>1</v>
      </c>
    </row>
    <row r="126" spans="1:20" ht="13.2" customHeight="1" x14ac:dyDescent="0.25">
      <c r="A126" s="53">
        <v>141</v>
      </c>
      <c r="B126" s="53" t="s">
        <v>39</v>
      </c>
      <c r="C126" s="53" t="s">
        <v>83</v>
      </c>
      <c r="D126" s="53" t="s">
        <v>125</v>
      </c>
      <c r="E126" s="57" t="s">
        <v>4</v>
      </c>
      <c r="F126" s="51"/>
      <c r="H126" s="49">
        <v>1</v>
      </c>
      <c r="K126" s="50" t="s">
        <v>261</v>
      </c>
      <c r="L126" s="51"/>
      <c r="M126" s="51"/>
      <c r="N126" s="107">
        <f>VLOOKUP($A126, Stat!$A$1:$C$501, 2,0)</f>
        <v>27</v>
      </c>
      <c r="O126" s="107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507</v>
      </c>
      <c r="E128" s="53" t="s">
        <v>509</v>
      </c>
      <c r="N128" s="107">
        <f>VLOOKUP($A128, Stat!$A$1:$C$501, 2,0)</f>
        <v>27</v>
      </c>
      <c r="O128" s="107">
        <f>VLOOKUP($A128, Stat!$A$1:$C$501, 3,0)</f>
        <v>0</v>
      </c>
      <c r="P128" s="53">
        <v>0</v>
      </c>
      <c r="Q128" s="53">
        <v>0</v>
      </c>
      <c r="S128" s="53" t="s">
        <v>512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27</v>
      </c>
      <c r="O129" s="107">
        <f>VLOOKUP($A129, Stat!$A$1:$C$501, 3,0)</f>
        <v>11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502</v>
      </c>
      <c r="E130" s="57" t="s">
        <v>50</v>
      </c>
      <c r="F130" s="51"/>
      <c r="H130" s="49">
        <v>1</v>
      </c>
      <c r="K130" s="50" t="s">
        <v>438</v>
      </c>
      <c r="L130" s="51"/>
      <c r="M130" s="51"/>
      <c r="N130" s="107">
        <f>VLOOKUP($A130, Stat!$A$1:$C$501, 2,0)</f>
        <v>27</v>
      </c>
      <c r="O130" s="107">
        <f>VLOOKUP($A130, Stat!$A$1:$C$501, 3,0)</f>
        <v>3</v>
      </c>
      <c r="P130" s="53">
        <v>60</v>
      </c>
      <c r="Q130" s="53">
        <v>0</v>
      </c>
      <c r="R130" s="53" t="s">
        <v>504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437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413</v>
      </c>
      <c r="F133" s="51"/>
      <c r="J133" s="49">
        <v>1</v>
      </c>
      <c r="K133" s="50" t="s">
        <v>420</v>
      </c>
      <c r="L133" s="51"/>
      <c r="M133" s="51"/>
      <c r="N133" s="107">
        <f>VLOOKUP($A133, Stat!$A$1:$C$501, 2,0)</f>
        <v>26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25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530</v>
      </c>
      <c r="E135" s="53" t="s">
        <v>297</v>
      </c>
      <c r="N135" s="107">
        <f>VLOOKUP($A135, Stat!$A$1:$C$501, 2,0)</f>
        <v>25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531</v>
      </c>
      <c r="D137" s="53" t="s">
        <v>75</v>
      </c>
      <c r="E137" s="57" t="s">
        <v>539</v>
      </c>
      <c r="F137" s="51"/>
      <c r="H137" s="49">
        <v>1</v>
      </c>
      <c r="K137" s="51"/>
      <c r="L137" s="51"/>
      <c r="M137" s="51"/>
      <c r="N137" s="107">
        <f>VLOOKUP($A137, Stat!$A$1:$C$501, 2,0)</f>
        <v>24</v>
      </c>
      <c r="O137" s="107">
        <f>VLOOKUP($A137, Stat!$A$1:$C$501, 3,0)</f>
        <v>1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529</v>
      </c>
      <c r="E138" s="57" t="s">
        <v>547</v>
      </c>
      <c r="H138" s="49">
        <v>1</v>
      </c>
      <c r="N138" s="107">
        <f>VLOOKUP($A138, Stat!$A$1:$C$501, 2,0)</f>
        <v>24</v>
      </c>
      <c r="O138" s="107">
        <f>VLOOKUP($A138, Stat!$A$1:$C$501, 3,0)</f>
        <v>4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23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459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553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1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429</v>
      </c>
      <c r="E147" s="53" t="s">
        <v>431</v>
      </c>
      <c r="H147" s="49">
        <v>1</v>
      </c>
      <c r="N147" s="107">
        <f>VLOOKUP($A147, Stat!$A$1:$C$501, 2,0)</f>
        <v>23</v>
      </c>
      <c r="O147" s="107">
        <f>VLOOKUP($A147, Stat!$A$1:$C$501, 3,0)</f>
        <v>4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22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22</v>
      </c>
      <c r="O149" s="107">
        <f>VLOOKUP($A149, Stat!$A$1:$C$501, 3,0)</f>
        <v>0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383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384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379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380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399</v>
      </c>
      <c r="L153" s="51"/>
      <c r="M153" s="51"/>
      <c r="N153" s="107">
        <f>VLOOKUP($A153, Stat!$A$1:$C$501, 2,0)</f>
        <v>22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445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458</v>
      </c>
      <c r="H155" s="49">
        <v>1</v>
      </c>
      <c r="N155" s="107">
        <f>VLOOKUP($A155, Stat!$A$1:$C$501, 2,0)</f>
        <v>21</v>
      </c>
      <c r="O155" s="107">
        <f>VLOOKUP($A155, Stat!$A$1:$C$501, 3,0)</f>
        <v>12</v>
      </c>
      <c r="P155" s="53">
        <v>60</v>
      </c>
      <c r="Q155" s="53">
        <v>0</v>
      </c>
      <c r="S155" s="53" t="s">
        <v>554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376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401</v>
      </c>
      <c r="L158" s="51"/>
      <c r="M158" s="50"/>
      <c r="N158" s="107">
        <f>VLOOKUP($A158, Stat!$A$1:$C$501, 2,0)</f>
        <v>21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401</v>
      </c>
      <c r="L159" s="51"/>
      <c r="M159" s="51"/>
      <c r="N159" s="107">
        <f>VLOOKUP($A159, Stat!$A$1:$C$501, 2,0)</f>
        <v>21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530</v>
      </c>
      <c r="E160" s="53" t="s">
        <v>546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531</v>
      </c>
      <c r="D164" s="53" t="s">
        <v>74</v>
      </c>
      <c r="E164" s="57" t="s">
        <v>542</v>
      </c>
      <c r="F164" s="51"/>
      <c r="H164" s="49">
        <v>1</v>
      </c>
      <c r="K164" s="51"/>
      <c r="L164" s="51"/>
      <c r="M164" s="51"/>
      <c r="N164" s="107">
        <f>VLOOKUP($A164, Stat!$A$1:$C$501, 2,0)</f>
        <v>19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428</v>
      </c>
      <c r="E166" s="53" t="s">
        <v>427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454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428</v>
      </c>
      <c r="E167" s="53" t="s">
        <v>528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455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530</v>
      </c>
      <c r="E168" s="53" t="s">
        <v>547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9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19</v>
      </c>
      <c r="O171" s="107">
        <f>VLOOKUP($A171, Stat!$A$1:$C$501, 3,0)</f>
        <v>16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386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19</v>
      </c>
      <c r="O173" s="107">
        <f>VLOOKUP($A173, Stat!$A$1:$C$501, 3,0)</f>
        <v>0</v>
      </c>
      <c r="P173" s="53">
        <v>0</v>
      </c>
      <c r="Q173" s="53">
        <v>0</v>
      </c>
      <c r="S173" s="53" t="s">
        <v>467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399</v>
      </c>
      <c r="L174" s="51"/>
      <c r="M174" s="50"/>
      <c r="N174" s="107">
        <f>VLOOKUP($A174, Stat!$A$1:$C$501, 2,0)</f>
        <v>19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456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18</v>
      </c>
      <c r="O179" s="107">
        <f>VLOOKUP($A179, Stat!$A$1:$C$501, 3,0)</f>
        <v>15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502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18</v>
      </c>
      <c r="O180" s="107">
        <f>VLOOKUP($A180, Stat!$A$1:$C$501, 3,0)</f>
        <v>0</v>
      </c>
      <c r="P180" s="53">
        <v>0</v>
      </c>
      <c r="Q180" s="53">
        <v>1</v>
      </c>
      <c r="R180" s="53" t="s">
        <v>504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457</v>
      </c>
      <c r="H181" s="49">
        <v>1</v>
      </c>
      <c r="N181" s="107">
        <f>VLOOKUP($A181, Stat!$A$1:$C$501, 2,0)</f>
        <v>17</v>
      </c>
      <c r="O181" s="107">
        <f>VLOOKUP($A181, Stat!$A$1:$C$501, 3,0)</f>
        <v>7</v>
      </c>
      <c r="P181" s="53">
        <v>60</v>
      </c>
      <c r="Q181" s="53">
        <v>0</v>
      </c>
      <c r="S181" s="53" t="s">
        <v>460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475</v>
      </c>
      <c r="F182" s="51"/>
      <c r="H182" s="49">
        <v>1</v>
      </c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3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515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507</v>
      </c>
      <c r="E184" s="53" t="s">
        <v>508</v>
      </c>
      <c r="N184" s="107">
        <f>VLOOKUP($A184, Stat!$A$1:$C$501, 2,0)</f>
        <v>17</v>
      </c>
      <c r="O184" s="107">
        <f>VLOOKUP($A184, Stat!$A$1:$C$501, 3,0)</f>
        <v>0</v>
      </c>
      <c r="P184" s="53">
        <v>0</v>
      </c>
      <c r="Q184" s="53">
        <v>0</v>
      </c>
      <c r="S184" s="53" t="s">
        <v>512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17</v>
      </c>
      <c r="O187" s="107">
        <f>VLOOKUP($A187, Stat!$A$1:$C$501, 3,0)</f>
        <v>1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337</v>
      </c>
      <c r="H192" s="49">
        <v>1</v>
      </c>
      <c r="N192" s="107">
        <f>VLOOKUP($A192, Stat!$A$1:$C$501, 2,0)</f>
        <v>15</v>
      </c>
      <c r="O192" s="107">
        <f>VLOOKUP($A192, Stat!$A$1:$C$501, 3,0)</f>
        <v>14</v>
      </c>
      <c r="P192" s="53">
        <v>60</v>
      </c>
      <c r="Q192" s="53">
        <v>0</v>
      </c>
      <c r="S192" s="53" t="s">
        <v>338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15</v>
      </c>
      <c r="O193" s="107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340</v>
      </c>
      <c r="E195" s="53" t="s">
        <v>182</v>
      </c>
      <c r="N195" s="107">
        <f>VLOOKUP($A195, Stat!$A$1:$C$501, 2,0)</f>
        <v>15</v>
      </c>
      <c r="O195" s="107">
        <f>VLOOKUP($A195, Stat!$A$1:$C$501, 3,0)</f>
        <v>5</v>
      </c>
      <c r="P195" s="53">
        <v>40</v>
      </c>
      <c r="Q195" s="53">
        <v>1</v>
      </c>
      <c r="S195" s="53" t="s">
        <v>343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558</v>
      </c>
      <c r="E197" s="53" t="s">
        <v>52</v>
      </c>
      <c r="H197" s="49">
        <v>1</v>
      </c>
      <c r="N197" s="107">
        <f>VLOOKUP($A197, Stat!$A$1:$C$501, 2,0)</f>
        <v>15</v>
      </c>
      <c r="O197" s="107">
        <f>VLOOKUP($A197, Stat!$A$1:$C$501, 3,0)</f>
        <v>12</v>
      </c>
      <c r="P197" s="53">
        <v>60</v>
      </c>
      <c r="Q197" s="53">
        <v>0</v>
      </c>
      <c r="S197" s="53" t="s">
        <v>559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374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400</v>
      </c>
      <c r="L199" s="51"/>
      <c r="M199" s="50"/>
      <c r="N199" s="107">
        <f>VLOOKUP($A199, Stat!$A$1:$C$501, 2,0)</f>
        <v>15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369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416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340</v>
      </c>
      <c r="E204" s="53" t="s">
        <v>347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362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332</v>
      </c>
      <c r="E205" s="53" t="s">
        <v>69</v>
      </c>
      <c r="L205" s="49">
        <v>1</v>
      </c>
      <c r="N205" s="107">
        <f>VLOOKUP($A205, Stat!$A$1:$C$501, 2,0)</f>
        <v>14</v>
      </c>
      <c r="O205" s="107">
        <f>VLOOKUP($A205, Stat!$A$1:$C$501, 3,0)</f>
        <v>1</v>
      </c>
      <c r="P205" s="53">
        <v>40</v>
      </c>
      <c r="Q205" s="53">
        <v>0</v>
      </c>
      <c r="R205" s="53" t="s">
        <v>371</v>
      </c>
      <c r="S205" s="53" t="s">
        <v>358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423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456</v>
      </c>
      <c r="S207" s="53" t="s">
        <v>424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13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12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334</v>
      </c>
      <c r="E211" s="53" t="s">
        <v>352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150</v>
      </c>
      <c r="B212" s="53" t="s">
        <v>39</v>
      </c>
      <c r="C212" s="53" t="s">
        <v>83</v>
      </c>
      <c r="D212" s="53" t="s">
        <v>279</v>
      </c>
      <c r="E212" s="57" t="s">
        <v>5</v>
      </c>
      <c r="F212" s="51"/>
      <c r="H212" s="49">
        <v>1</v>
      </c>
      <c r="K212" s="50" t="s">
        <v>287</v>
      </c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60</v>
      </c>
      <c r="Q212" s="53">
        <v>0</v>
      </c>
      <c r="R212" s="53" t="s">
        <v>280</v>
      </c>
      <c r="T212" s="53">
        <v>1</v>
      </c>
    </row>
    <row r="213" spans="1:20" ht="13.2" customHeight="1" x14ac:dyDescent="0.25">
      <c r="A213" s="53">
        <v>135</v>
      </c>
      <c r="B213" s="53" t="s">
        <v>39</v>
      </c>
      <c r="C213" s="53" t="s">
        <v>83</v>
      </c>
      <c r="D213" s="53" t="s">
        <v>127</v>
      </c>
      <c r="E213" s="57" t="s">
        <v>51</v>
      </c>
      <c r="F213" s="51"/>
      <c r="H213" s="49">
        <v>1</v>
      </c>
      <c r="K213" s="51"/>
      <c r="L213" s="51"/>
      <c r="M213" s="51"/>
      <c r="N213" s="107">
        <f>VLOOKUP($A213, Stat!$A$1:$C$501, 2,0)</f>
        <v>12</v>
      </c>
      <c r="O213" s="107">
        <f>VLOOKUP($A213, Stat!$A$1:$C$501, 3,0)</f>
        <v>0</v>
      </c>
      <c r="P213" s="53">
        <v>100</v>
      </c>
      <c r="Q213" s="53">
        <v>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409</v>
      </c>
      <c r="E214" s="53" t="s">
        <v>387</v>
      </c>
      <c r="N214" s="107">
        <f>VLOOKUP($A214, Stat!$A$1:$C$501, 2,0)</f>
        <v>12</v>
      </c>
      <c r="O214" s="107">
        <f>VLOOKUP($A214, Stat!$A$1:$C$501, 3,0)</f>
        <v>0</v>
      </c>
      <c r="P214" s="53">
        <v>60</v>
      </c>
      <c r="Q214" s="53">
        <v>0</v>
      </c>
      <c r="S214" s="53" t="s">
        <v>366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449</v>
      </c>
      <c r="F215" s="51"/>
      <c r="K215" s="51"/>
      <c r="L215" s="51"/>
      <c r="M215" s="51"/>
      <c r="N215" s="107">
        <f>VLOOKUP($A215, Stat!$A$1:$C$501, 2,0)</f>
        <v>11</v>
      </c>
      <c r="O215" s="107">
        <f>VLOOKUP($A215, Stat!$A$1:$C$501, 3,0)</f>
        <v>1</v>
      </c>
      <c r="P215" s="53">
        <v>60</v>
      </c>
      <c r="Q215" s="53">
        <v>0</v>
      </c>
      <c r="S215" s="53" t="s">
        <v>453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529</v>
      </c>
      <c r="E216" s="57" t="s">
        <v>548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370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318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3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8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397</v>
      </c>
      <c r="E226" s="57" t="s">
        <v>51</v>
      </c>
      <c r="F226" s="51"/>
      <c r="K226" s="51"/>
      <c r="L226" s="51"/>
      <c r="M226" s="51"/>
      <c r="N226" s="107">
        <f>VLOOKUP($A226, Stat!$A$1:$C$501, 2,0)</f>
        <v>10</v>
      </c>
      <c r="O226" s="107">
        <f>VLOOKUP($A226, Stat!$A$1:$C$501, 3,0)</f>
        <v>0</v>
      </c>
      <c r="P226" s="53">
        <v>100</v>
      </c>
      <c r="Q226" s="53">
        <v>-1</v>
      </c>
      <c r="R226" s="53" t="s">
        <v>440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334</v>
      </c>
      <c r="E228" s="53" t="s">
        <v>534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532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109</v>
      </c>
      <c r="B231" s="53" t="s">
        <v>39</v>
      </c>
      <c r="C231" s="53" t="s">
        <v>83</v>
      </c>
      <c r="D231" s="53" t="s">
        <v>126</v>
      </c>
      <c r="E231" s="57" t="s">
        <v>4</v>
      </c>
      <c r="F231" s="51"/>
      <c r="H231" s="49">
        <v>1</v>
      </c>
      <c r="K231" s="50" t="s">
        <v>265</v>
      </c>
      <c r="L231" s="51"/>
      <c r="M231" s="51"/>
      <c r="N231" s="107">
        <f>VLOOKUP($A231, Stat!$A$1:$C$501, 2,0)</f>
        <v>10</v>
      </c>
      <c r="O231" s="107">
        <f>VLOOKUP($A231, Stat!$A$1:$C$501, 3,0)</f>
        <v>0</v>
      </c>
      <c r="P231" s="53">
        <v>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334</v>
      </c>
      <c r="E233" s="53" t="s">
        <v>353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414</v>
      </c>
      <c r="F234" s="51"/>
      <c r="J234" s="49">
        <v>1</v>
      </c>
      <c r="K234" s="50" t="s">
        <v>418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110</v>
      </c>
      <c r="B235" s="53" t="s">
        <v>39</v>
      </c>
      <c r="C235" s="53" t="s">
        <v>83</v>
      </c>
      <c r="D235" s="53" t="s">
        <v>126</v>
      </c>
      <c r="E235" s="57" t="s">
        <v>5</v>
      </c>
      <c r="F235" s="51"/>
      <c r="H235" s="49">
        <v>1</v>
      </c>
      <c r="K235" s="50" t="s">
        <v>266</v>
      </c>
      <c r="L235" s="51"/>
      <c r="M235" s="51"/>
      <c r="N235" s="107">
        <f>VLOOKUP($A235, Stat!$A$1:$C$501, 2,0)</f>
        <v>9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526</v>
      </c>
      <c r="E238" s="53" t="s">
        <v>477</v>
      </c>
      <c r="N238" s="107">
        <f>VLOOKUP($A238, Stat!$A$1:$C$501, 2,0)</f>
        <v>9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365</v>
      </c>
      <c r="H239" s="49">
        <v>1</v>
      </c>
      <c r="N239" s="107">
        <f>VLOOKUP($A239, Stat!$A$1:$C$501, 2,0)</f>
        <v>9</v>
      </c>
      <c r="O239" s="107">
        <f>VLOOKUP($A239, Stat!$A$1:$C$501, 3,0)</f>
        <v>7</v>
      </c>
      <c r="P239" s="53">
        <v>0</v>
      </c>
      <c r="Q239" s="53">
        <v>0</v>
      </c>
      <c r="S239" s="53" t="s">
        <v>474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8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341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342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334</v>
      </c>
      <c r="E243" s="53" t="s">
        <v>535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533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1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320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340</v>
      </c>
      <c r="E249" s="53" t="s">
        <v>478</v>
      </c>
      <c r="H249" s="49">
        <v>1</v>
      </c>
      <c r="N249" s="107">
        <f>VLOOKUP($A249, Stat!$A$1:$C$501, 2,0)</f>
        <v>7</v>
      </c>
      <c r="O249" s="107">
        <f>VLOOKUP($A249, Stat!$A$1:$C$501, 3,0)</f>
        <v>5</v>
      </c>
      <c r="P249" s="53">
        <v>60</v>
      </c>
      <c r="Q249" s="53">
        <v>0</v>
      </c>
      <c r="S249" s="53" t="s">
        <v>483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389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373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448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429</v>
      </c>
      <c r="E253" s="53" t="s">
        <v>430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433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7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506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412</v>
      </c>
      <c r="F260" s="51"/>
      <c r="J260" s="49">
        <v>1</v>
      </c>
      <c r="K260" s="50" t="s">
        <v>417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340</v>
      </c>
      <c r="E264" s="53" t="s">
        <v>481</v>
      </c>
      <c r="H264" s="49">
        <v>1</v>
      </c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S264" s="53" t="s">
        <v>484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526</v>
      </c>
      <c r="E265" s="53" t="s">
        <v>378</v>
      </c>
      <c r="N265" s="107">
        <f>VLOOKUP($A265, Stat!$A$1:$C$501, 2,0)</f>
        <v>6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374</v>
      </c>
      <c r="E267" s="57" t="s">
        <v>478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479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487</v>
      </c>
      <c r="E269" s="53" t="s">
        <v>488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492</v>
      </c>
      <c r="S269" s="53" t="s">
        <v>494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409</v>
      </c>
      <c r="E271" s="53" t="s">
        <v>391</v>
      </c>
      <c r="N271" s="107">
        <f>VLOOKUP($A271, Stat!$A$1:$C$501, 2,0)</f>
        <v>6</v>
      </c>
      <c r="O271" s="107">
        <f>VLOOKUP($A271, Stat!$A$1:$C$501, 3,0)</f>
        <v>0</v>
      </c>
      <c r="P271" s="53">
        <v>60</v>
      </c>
      <c r="Q271" s="53">
        <v>0</v>
      </c>
      <c r="S271" s="53" t="s">
        <v>367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531</v>
      </c>
      <c r="D272" s="53" t="s">
        <v>538</v>
      </c>
      <c r="E272" s="57" t="s">
        <v>537</v>
      </c>
      <c r="F272" s="51"/>
      <c r="H272" s="49">
        <v>1</v>
      </c>
      <c r="K272" s="51"/>
      <c r="L272" s="51"/>
      <c r="M272" s="51"/>
      <c r="N272" s="107">
        <f>VLOOKUP($A272, Stat!$A$1:$C$501, 2,0)</f>
        <v>5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435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5</v>
      </c>
      <c r="O276" s="107">
        <f>VLOOKUP($A276, Stat!$A$1:$C$501, 3,0)</f>
        <v>4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64</v>
      </c>
      <c r="B277" s="53" t="s">
        <v>39</v>
      </c>
      <c r="C277" s="53" t="s">
        <v>83</v>
      </c>
      <c r="D277" s="53" t="s">
        <v>259</v>
      </c>
      <c r="E277" s="57" t="s">
        <v>4</v>
      </c>
      <c r="F277" s="51"/>
      <c r="H277" s="49">
        <v>1</v>
      </c>
      <c r="K277" s="50" t="s">
        <v>282</v>
      </c>
      <c r="L277" s="51"/>
      <c r="M277" s="51"/>
      <c r="N277" s="107">
        <f>VLOOKUP($A277, Stat!$A$1:$C$501, 2,0)</f>
        <v>5</v>
      </c>
      <c r="O277" s="107">
        <f>VLOOKUP($A277, Stat!$A$1:$C$501, 3,0)</f>
        <v>0</v>
      </c>
      <c r="P277" s="53">
        <v>0</v>
      </c>
      <c r="Q277" s="53">
        <v>0</v>
      </c>
      <c r="T277" s="53">
        <v>1</v>
      </c>
    </row>
    <row r="278" spans="1:20" x14ac:dyDescent="0.25">
      <c r="A278" s="53">
        <v>66</v>
      </c>
      <c r="B278" s="53" t="s">
        <v>39</v>
      </c>
      <c r="C278" s="53" t="s">
        <v>83</v>
      </c>
      <c r="D278" s="53" t="s">
        <v>259</v>
      </c>
      <c r="E278" s="57" t="s">
        <v>51</v>
      </c>
      <c r="F278" s="51"/>
      <c r="H278" s="49">
        <v>1</v>
      </c>
      <c r="K278" s="50" t="s">
        <v>284</v>
      </c>
      <c r="L278" s="51"/>
      <c r="M278" s="51"/>
      <c r="N278" s="107">
        <f>VLOOKUP($A278, Stat!$A$1:$C$501, 2,0)</f>
        <v>5</v>
      </c>
      <c r="O278" s="107">
        <f>VLOOKUP($A278, Stat!$A$1:$C$501, 3,0)</f>
        <v>0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143</v>
      </c>
      <c r="B279" s="53" t="s">
        <v>39</v>
      </c>
      <c r="C279" s="53" t="s">
        <v>83</v>
      </c>
      <c r="D279" s="53" t="s">
        <v>125</v>
      </c>
      <c r="E279" s="57" t="s">
        <v>51</v>
      </c>
      <c r="F279" s="51"/>
      <c r="H279" s="49">
        <v>1</v>
      </c>
      <c r="K279" s="50" t="s">
        <v>263</v>
      </c>
      <c r="L279" s="51"/>
      <c r="M279" s="51"/>
      <c r="N279" s="107">
        <f>VLOOKUP($A279, Stat!$A$1:$C$501, 2,0)</f>
        <v>5</v>
      </c>
      <c r="O279" s="107">
        <f>VLOOKUP($A279, Stat!$A$1:$C$501, 3,0)</f>
        <v>0</v>
      </c>
      <c r="P279" s="53">
        <v>100</v>
      </c>
      <c r="Q279" s="53">
        <v>0</v>
      </c>
      <c r="T279" s="53">
        <v>1</v>
      </c>
    </row>
    <row r="280" spans="1:20" x14ac:dyDescent="0.25">
      <c r="A280" s="53">
        <v>149</v>
      </c>
      <c r="B280" s="53" t="s">
        <v>39</v>
      </c>
      <c r="C280" s="53" t="s">
        <v>83</v>
      </c>
      <c r="D280" s="53" t="s">
        <v>279</v>
      </c>
      <c r="E280" s="57" t="s">
        <v>4</v>
      </c>
      <c r="F280" s="51"/>
      <c r="H280" s="49">
        <v>1</v>
      </c>
      <c r="K280" s="50" t="s">
        <v>286</v>
      </c>
      <c r="L280" s="51"/>
      <c r="M280" s="51"/>
      <c r="N280" s="107">
        <f>VLOOKUP($A280, Stat!$A$1:$C$501, 2,0)</f>
        <v>5</v>
      </c>
      <c r="O280" s="107">
        <f>VLOOKUP($A280, Stat!$A$1:$C$501, 3,0)</f>
        <v>0</v>
      </c>
      <c r="P280" s="53">
        <v>0</v>
      </c>
      <c r="Q280" s="53">
        <v>0</v>
      </c>
      <c r="R280" s="53" t="s">
        <v>280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487</v>
      </c>
      <c r="E282" s="53" t="s">
        <v>491</v>
      </c>
      <c r="N282" s="107">
        <f>VLOOKUP($A282, Stat!$A$1:$C$501, 2,0)</f>
        <v>5</v>
      </c>
      <c r="O282" s="107">
        <f>VLOOKUP($A282, Stat!$A$1:$C$501, 3,0)</f>
        <v>4</v>
      </c>
      <c r="P282" s="53">
        <v>60</v>
      </c>
      <c r="Q282" s="53">
        <v>0</v>
      </c>
      <c r="R282" s="53" t="s">
        <v>492</v>
      </c>
      <c r="S282" s="53" t="s">
        <v>497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339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345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428</v>
      </c>
      <c r="E285" s="53" t="s">
        <v>451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436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462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463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530</v>
      </c>
      <c r="E287" s="53" t="s">
        <v>548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2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396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319</v>
      </c>
      <c r="E293" s="53" t="s">
        <v>500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501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319</v>
      </c>
      <c r="E294" s="53" t="s">
        <v>461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378</v>
      </c>
      <c r="N295" s="107">
        <f>VLOOKUP($A295, Stat!$A$1:$C$501, 2,0)</f>
        <v>4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526</v>
      </c>
      <c r="E296" s="53" t="s">
        <v>527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4</v>
      </c>
      <c r="O297" s="107">
        <f>VLOOKUP($A297, Stat!$A$1:$C$501, 3,0)</f>
        <v>3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4</v>
      </c>
      <c r="O298" s="107">
        <f>VLOOKUP($A298, Stat!$A$1:$C$501, 3,0)</f>
        <v>3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531</v>
      </c>
      <c r="D299" s="53" t="s">
        <v>538</v>
      </c>
      <c r="E299" s="57" t="s">
        <v>540</v>
      </c>
      <c r="F299" s="51"/>
      <c r="H299" s="49">
        <v>1</v>
      </c>
      <c r="K299" s="51"/>
      <c r="L299" s="51"/>
      <c r="M299" s="51"/>
      <c r="N299" s="107">
        <f>VLOOKUP($A299, Stat!$A$1:$C$501, 2,0)</f>
        <v>3</v>
      </c>
      <c r="O299" s="107">
        <f>VLOOKUP($A299, Stat!$A$1:$C$501, 3,0)</f>
        <v>1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517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368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415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442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340</v>
      </c>
      <c r="E307" s="53" t="s">
        <v>348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361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340</v>
      </c>
      <c r="E308" s="53" t="s">
        <v>349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363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21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507</v>
      </c>
      <c r="E310" s="53" t="s">
        <v>510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512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374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334</v>
      </c>
      <c r="E314" s="53" t="s">
        <v>350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354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513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456</v>
      </c>
      <c r="S315" s="53" t="s">
        <v>514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404</v>
      </c>
      <c r="E316" s="53" t="s">
        <v>471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473</v>
      </c>
      <c r="T316" s="53">
        <v>1</v>
      </c>
    </row>
    <row r="317" spans="1:20" ht="13.2" customHeight="1" x14ac:dyDescent="0.25">
      <c r="A317" s="53">
        <v>111</v>
      </c>
      <c r="B317" s="53" t="s">
        <v>39</v>
      </c>
      <c r="C317" s="53" t="s">
        <v>83</v>
      </c>
      <c r="D317" s="53" t="s">
        <v>126</v>
      </c>
      <c r="E317" s="57" t="s">
        <v>51</v>
      </c>
      <c r="F317" s="51"/>
      <c r="H317" s="49">
        <v>1</v>
      </c>
      <c r="K317" s="50" t="s">
        <v>267</v>
      </c>
      <c r="L317" s="51"/>
      <c r="M317" s="51"/>
      <c r="N317" s="107">
        <f>VLOOKUP($A317, Stat!$A$1:$C$501, 2,0)</f>
        <v>2</v>
      </c>
      <c r="O317" s="107">
        <f>VLOOKUP($A317, Stat!$A$1:$C$501, 3,0)</f>
        <v>0</v>
      </c>
      <c r="P317" s="53">
        <v>100</v>
      </c>
      <c r="Q317" s="53">
        <v>0</v>
      </c>
      <c r="T317" s="53">
        <v>1</v>
      </c>
    </row>
    <row r="318" spans="1:20" ht="13.2" customHeight="1" x14ac:dyDescent="0.25">
      <c r="A318" s="53">
        <v>151</v>
      </c>
      <c r="B318" s="53" t="s">
        <v>39</v>
      </c>
      <c r="C318" s="53" t="s">
        <v>83</v>
      </c>
      <c r="D318" s="53" t="s">
        <v>279</v>
      </c>
      <c r="E318" s="57" t="s">
        <v>51</v>
      </c>
      <c r="F318" s="51"/>
      <c r="H318" s="49">
        <v>1</v>
      </c>
      <c r="K318" s="50" t="s">
        <v>288</v>
      </c>
      <c r="L318" s="51"/>
      <c r="M318" s="51"/>
      <c r="N318" s="107">
        <f>VLOOKUP($A318, Stat!$A$1:$C$501, 2,0)</f>
        <v>2</v>
      </c>
      <c r="O318" s="107">
        <f>VLOOKUP($A318, Stat!$A$1:$C$501, 3,0)</f>
        <v>0</v>
      </c>
      <c r="P318" s="53">
        <v>100</v>
      </c>
      <c r="Q318" s="53">
        <v>0</v>
      </c>
      <c r="R318" s="53" t="s">
        <v>280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319</v>
      </c>
      <c r="E320" s="57" t="s">
        <v>323</v>
      </c>
      <c r="F320" s="51"/>
      <c r="H320" s="122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359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461</v>
      </c>
      <c r="H321" s="121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H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374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487</v>
      </c>
      <c r="E324" s="53" t="s">
        <v>489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492</v>
      </c>
      <c r="S324" s="53" t="s">
        <v>496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372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334</v>
      </c>
      <c r="E328" s="53" t="s">
        <v>351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346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404</v>
      </c>
      <c r="E329" s="57" t="s">
        <v>536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1</v>
      </c>
      <c r="O329" s="107">
        <f>VLOOKUP($A329, Stat!$A$1:$C$501, 3,0)</f>
        <v>0</v>
      </c>
      <c r="P329" s="53">
        <v>30</v>
      </c>
      <c r="Q329" s="53">
        <v>0</v>
      </c>
      <c r="S329" s="53" t="s">
        <v>551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404</v>
      </c>
      <c r="E330" s="53" t="s">
        <v>470</v>
      </c>
      <c r="F330" s="49">
        <v>1</v>
      </c>
      <c r="H330" s="49">
        <v>1</v>
      </c>
      <c r="N330" s="107">
        <f>VLOOKUP($A330, Stat!$A$1:$C$501, 2,0)</f>
        <v>1</v>
      </c>
      <c r="O330" s="121">
        <f>VLOOKUP($A330, Stat!$A$1:$C$501, 3,0)</f>
        <v>1</v>
      </c>
      <c r="P330" s="53">
        <v>30</v>
      </c>
      <c r="Q330" s="53">
        <v>0</v>
      </c>
      <c r="S330" s="53" t="s">
        <v>472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21"/>
      <c r="K333" s="51"/>
      <c r="L333" s="50" t="s">
        <v>272</v>
      </c>
      <c r="M333" s="51"/>
      <c r="N333" s="107">
        <f>VLOOKUP($A333, Stat!$A$1:$C$501, 2,0)</f>
        <v>1</v>
      </c>
      <c r="O333" s="121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319</v>
      </c>
      <c r="E334" s="53" t="s">
        <v>254</v>
      </c>
      <c r="H334" s="121"/>
      <c r="L334" s="49">
        <v>1</v>
      </c>
      <c r="N334" s="107">
        <f>VLOOKUP($A334, Stat!$A$1:$C$501, 2,0)</f>
        <v>1</v>
      </c>
      <c r="O334" s="121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22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390</v>
      </c>
      <c r="H336" s="122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503</v>
      </c>
      <c r="E338" s="53" t="s">
        <v>50</v>
      </c>
      <c r="H338" s="120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505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21"/>
      <c r="K339" s="51"/>
      <c r="L339" s="51"/>
      <c r="M339" s="51"/>
      <c r="N339" s="121">
        <f>VLOOKUP($A339, Stat!$A$1:$C$501, 3,0)</f>
        <v>0</v>
      </c>
      <c r="O339" s="121">
        <f>VLOOKUP($A339, Stat!$A$1:$C$501, 3,0)</f>
        <v>0</v>
      </c>
      <c r="P339" s="53">
        <v>0</v>
      </c>
      <c r="Q339" s="53">
        <v>0</v>
      </c>
      <c r="R339" s="53" t="s">
        <v>439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21"/>
      <c r="K340" s="51"/>
      <c r="L340" s="51"/>
      <c r="M340" s="51"/>
      <c r="N340" s="121">
        <f>VLOOKUP($A340, Stat!$A$1:$C$501, 3,0)</f>
        <v>0</v>
      </c>
      <c r="O340" s="121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21"/>
      <c r="K341" s="51"/>
      <c r="L341" s="51"/>
      <c r="M341" s="51"/>
      <c r="N341" s="121">
        <f>VLOOKUP($A341, Stat!$A$1:$C$501, 2,0)</f>
        <v>0</v>
      </c>
      <c r="O341" s="121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21"/>
      <c r="K342" s="51"/>
      <c r="L342" s="51"/>
      <c r="M342" s="51"/>
      <c r="N342" s="121">
        <f>VLOOKUP($A342, Stat!$A$1:$C$501, 2,0)</f>
        <v>0</v>
      </c>
      <c r="O342" s="121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21"/>
      <c r="I343" s="49">
        <v>999</v>
      </c>
      <c r="K343" s="50"/>
      <c r="L343" s="51"/>
      <c r="M343" s="51"/>
      <c r="N343" s="121">
        <f>VLOOKUP($A343, Stat!$A$1:$C$501, 2,0)</f>
        <v>0</v>
      </c>
      <c r="O343" s="121">
        <f>VLOOKUP($A343, Stat!$A$1:$C$501, 2,0)</f>
        <v>0</v>
      </c>
      <c r="P343" s="53">
        <v>60</v>
      </c>
      <c r="Q343" s="53">
        <v>0</v>
      </c>
      <c r="S343" s="53" t="s">
        <v>444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397</v>
      </c>
      <c r="E344" s="57" t="s">
        <v>3</v>
      </c>
      <c r="F344" s="51"/>
      <c r="H344" s="121"/>
      <c r="K344" s="51"/>
      <c r="L344" s="51"/>
      <c r="M344" s="51"/>
      <c r="N344" s="107">
        <f>VLOOKUP($A344, Stat!$A$1:$C$501, 2,0)</f>
        <v>0</v>
      </c>
      <c r="O344" s="121">
        <f>VLOOKUP($A344, Stat!$A$1:$C$501, 3,0)</f>
        <v>0</v>
      </c>
      <c r="P344" s="53">
        <v>0</v>
      </c>
      <c r="Q344" s="53">
        <v>-1</v>
      </c>
      <c r="R344" s="53" t="s">
        <v>440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21"/>
      <c r="K345" s="51"/>
      <c r="L345" s="51"/>
      <c r="M345" s="51"/>
      <c r="N345" s="121">
        <f>VLOOKUP($A345, Stat!$A$1:$C$501, 2,0)</f>
        <v>0</v>
      </c>
      <c r="O345" s="121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21"/>
      <c r="K346" s="51"/>
      <c r="L346" s="51"/>
      <c r="M346" s="51"/>
      <c r="N346" s="121">
        <f>VLOOKUP($A346, Stat!$A$1:$C$501, 2,0)</f>
        <v>0</v>
      </c>
      <c r="O346" s="121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21">
        <f>VLOOKUP($A347, Stat!$A$1:$C$501, 3,0)</f>
        <v>0</v>
      </c>
      <c r="O347" s="121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0</v>
      </c>
      <c r="O348" s="107">
        <f>VLOOKUP($A348, Stat!$A$1:$C$501, 3,0)</f>
        <v>0</v>
      </c>
      <c r="P348" s="53">
        <v>60</v>
      </c>
      <c r="Q348" s="53">
        <v>0</v>
      </c>
      <c r="S348" s="53" t="s">
        <v>516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465</v>
      </c>
      <c r="H349" s="49">
        <v>1</v>
      </c>
      <c r="N349" s="121">
        <f>VLOOKUP($A349, Stat!$A$1:$C$501, 2,0)</f>
        <v>0</v>
      </c>
      <c r="O349" s="121">
        <f>VLOOKUP($A349, Stat!$A$1:$C$501, 2,0)</f>
        <v>0</v>
      </c>
      <c r="P349" s="53">
        <v>0</v>
      </c>
      <c r="Q349" s="53">
        <v>1</v>
      </c>
      <c r="S349" s="53" t="s">
        <v>466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21"/>
      <c r="K350" s="51"/>
      <c r="L350" s="51"/>
      <c r="M350" s="51"/>
      <c r="N350" s="107">
        <f>VLOOKUP($A350, Stat!$A$1:$C$501, 2,0)</f>
        <v>0</v>
      </c>
      <c r="O350" s="121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21"/>
      <c r="K351" s="51"/>
      <c r="L351" s="51"/>
      <c r="M351" s="51"/>
      <c r="N351" s="107">
        <f>VLOOKUP($A351, Stat!$A$1:$C$501, 2,0)</f>
        <v>0</v>
      </c>
      <c r="O351" s="121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20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20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20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20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21">
        <f>VLOOKUP($A356, Stat!$A$1:$C$501, 2,0)</f>
        <v>0</v>
      </c>
      <c r="O356" s="121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0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7"/>
      <c r="O358" s="107"/>
    </row>
  </sheetData>
  <autoFilter ref="A1:T357">
    <sortState ref="A2:T357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83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460</v>
      </c>
      <c r="C10" s="106">
        <v>1</v>
      </c>
    </row>
    <row r="11" spans="1:3" x14ac:dyDescent="0.25">
      <c r="A11" s="106">
        <v>9</v>
      </c>
      <c r="B11" s="106">
        <v>124</v>
      </c>
      <c r="C11" s="106">
        <v>38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87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34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147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40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459</v>
      </c>
      <c r="C59" s="106">
        <v>1</v>
      </c>
    </row>
    <row r="60" spans="1:3" x14ac:dyDescent="0.25">
      <c r="A60" s="106">
        <v>58</v>
      </c>
      <c r="B60" s="106">
        <v>159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55</v>
      </c>
      <c r="C62" s="106">
        <v>0</v>
      </c>
    </row>
    <row r="63" spans="1:3" x14ac:dyDescent="0.25">
      <c r="A63" s="106">
        <v>61</v>
      </c>
      <c r="B63" s="106">
        <v>47</v>
      </c>
      <c r="C63" s="106">
        <v>1</v>
      </c>
    </row>
    <row r="64" spans="1:3" x14ac:dyDescent="0.25">
      <c r="A64" s="106">
        <v>62</v>
      </c>
      <c r="B64" s="106">
        <v>30</v>
      </c>
      <c r="C64" s="106">
        <v>0</v>
      </c>
    </row>
    <row r="65" spans="1:3" x14ac:dyDescent="0.25">
      <c r="A65" s="106">
        <v>63</v>
      </c>
      <c r="B65" s="106">
        <v>22</v>
      </c>
      <c r="C65" s="106">
        <v>0</v>
      </c>
    </row>
    <row r="66" spans="1:3" x14ac:dyDescent="0.25">
      <c r="A66" s="106">
        <v>64</v>
      </c>
      <c r="B66" s="106">
        <v>5</v>
      </c>
      <c r="C66" s="106">
        <v>0</v>
      </c>
    </row>
    <row r="67" spans="1:3" x14ac:dyDescent="0.25">
      <c r="A67" s="106">
        <v>65</v>
      </c>
      <c r="B67" s="106">
        <v>7</v>
      </c>
      <c r="C67" s="106">
        <v>1</v>
      </c>
    </row>
    <row r="68" spans="1:3" x14ac:dyDescent="0.25">
      <c r="A68" s="106">
        <v>66</v>
      </c>
      <c r="B68" s="106">
        <v>5</v>
      </c>
      <c r="C68" s="106">
        <v>0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63</v>
      </c>
      <c r="C71" s="106">
        <v>16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543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81</v>
      </c>
      <c r="C81" s="106">
        <v>0</v>
      </c>
    </row>
    <row r="82" spans="1:3" x14ac:dyDescent="0.25">
      <c r="A82" s="106">
        <v>80</v>
      </c>
      <c r="B82" s="106">
        <v>305</v>
      </c>
      <c r="C82" s="106">
        <v>2</v>
      </c>
    </row>
    <row r="83" spans="1:3" x14ac:dyDescent="0.25">
      <c r="A83" s="106">
        <v>81</v>
      </c>
      <c r="B83" s="106">
        <v>56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191</v>
      </c>
      <c r="C85" s="106">
        <v>5</v>
      </c>
    </row>
    <row r="86" spans="1:3" x14ac:dyDescent="0.25">
      <c r="A86" s="106">
        <v>84</v>
      </c>
      <c r="B86" s="106">
        <v>96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148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10</v>
      </c>
      <c r="C111" s="106">
        <v>0</v>
      </c>
    </row>
    <row r="112" spans="1:3" x14ac:dyDescent="0.25">
      <c r="A112" s="106">
        <v>110</v>
      </c>
      <c r="B112" s="106">
        <v>9</v>
      </c>
      <c r="C112" s="106">
        <v>1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21</v>
      </c>
      <c r="C117" s="106">
        <v>0</v>
      </c>
    </row>
    <row r="118" spans="1:3" x14ac:dyDescent="0.25">
      <c r="A118" s="106">
        <v>116</v>
      </c>
      <c r="B118" s="106">
        <v>42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0</v>
      </c>
    </row>
    <row r="132" spans="1:3" x14ac:dyDescent="0.25">
      <c r="A132" s="106">
        <v>130</v>
      </c>
      <c r="B132" s="106">
        <v>38</v>
      </c>
      <c r="C132" s="106">
        <v>1</v>
      </c>
    </row>
    <row r="133" spans="1:3" x14ac:dyDescent="0.25">
      <c r="A133" s="106">
        <v>131</v>
      </c>
      <c r="B133" s="106">
        <v>29</v>
      </c>
      <c r="C133" s="106">
        <v>0</v>
      </c>
    </row>
    <row r="134" spans="1:3" x14ac:dyDescent="0.25">
      <c r="A134" s="106">
        <v>132</v>
      </c>
      <c r="B134" s="106">
        <v>170</v>
      </c>
      <c r="C134" s="106">
        <v>0</v>
      </c>
    </row>
    <row r="135" spans="1:3" x14ac:dyDescent="0.25">
      <c r="A135" s="106">
        <v>133</v>
      </c>
      <c r="B135" s="106">
        <v>55</v>
      </c>
      <c r="C135" s="106">
        <v>0</v>
      </c>
    </row>
    <row r="136" spans="1:3" x14ac:dyDescent="0.25">
      <c r="A136" s="106">
        <v>134</v>
      </c>
      <c r="B136" s="106">
        <v>36</v>
      </c>
      <c r="C136" s="106">
        <v>2</v>
      </c>
    </row>
    <row r="137" spans="1:3" x14ac:dyDescent="0.25">
      <c r="A137" s="106">
        <v>135</v>
      </c>
      <c r="B137" s="106">
        <v>12</v>
      </c>
      <c r="C137" s="106">
        <v>0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0</v>
      </c>
    </row>
    <row r="143" spans="1:3" x14ac:dyDescent="0.25">
      <c r="A143" s="106">
        <v>141</v>
      </c>
      <c r="B143" s="106">
        <v>27</v>
      </c>
      <c r="C143" s="106">
        <v>0</v>
      </c>
    </row>
    <row r="144" spans="1:3" x14ac:dyDescent="0.25">
      <c r="A144" s="106">
        <v>142</v>
      </c>
      <c r="B144" s="106">
        <v>13</v>
      </c>
      <c r="C144" s="106">
        <v>1</v>
      </c>
    </row>
    <row r="145" spans="1:3" x14ac:dyDescent="0.25">
      <c r="A145" s="106">
        <v>143</v>
      </c>
      <c r="B145" s="106">
        <v>5</v>
      </c>
      <c r="C145" s="106">
        <v>0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0</v>
      </c>
    </row>
    <row r="151" spans="1:3" x14ac:dyDescent="0.25">
      <c r="A151" s="106">
        <v>149</v>
      </c>
      <c r="B151" s="106">
        <v>5</v>
      </c>
      <c r="C151" s="106">
        <v>0</v>
      </c>
    </row>
    <row r="152" spans="1:3" x14ac:dyDescent="0.25">
      <c r="A152" s="106">
        <v>150</v>
      </c>
      <c r="B152" s="106">
        <v>12</v>
      </c>
      <c r="C152" s="106">
        <v>3</v>
      </c>
    </row>
    <row r="153" spans="1:3" x14ac:dyDescent="0.25">
      <c r="A153" s="106">
        <v>151</v>
      </c>
      <c r="B153" s="106">
        <v>2</v>
      </c>
      <c r="C153" s="106">
        <v>0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701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19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0</v>
      </c>
      <c r="C218" s="106">
        <v>0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4</v>
      </c>
      <c r="C224" s="106">
        <v>2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393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11</v>
      </c>
      <c r="C238" s="106">
        <v>8</v>
      </c>
    </row>
    <row r="239" spans="1:3" x14ac:dyDescent="0.25">
      <c r="A239" s="106">
        <v>237</v>
      </c>
      <c r="B239" s="106">
        <v>19</v>
      </c>
      <c r="C239" s="106">
        <v>16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277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36</v>
      </c>
      <c r="C274" s="106">
        <v>9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4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36</v>
      </c>
      <c r="C307" s="106">
        <v>3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23</v>
      </c>
      <c r="C321" s="106">
        <v>4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128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29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327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25</v>
      </c>
      <c r="C360" s="106">
        <v>4</v>
      </c>
    </row>
    <row r="361" spans="1:3" x14ac:dyDescent="0.25">
      <c r="A361" s="106">
        <v>359</v>
      </c>
      <c r="B361" s="106">
        <v>0</v>
      </c>
      <c r="C361" s="106">
        <v>0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2017-12-01T06:55:01Z</dcterms:modified>
</cp:coreProperties>
</file>