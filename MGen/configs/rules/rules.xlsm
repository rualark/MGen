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50" i="4" l="1"/>
  <c r="G350" i="4"/>
  <c r="H349" i="4"/>
  <c r="G349" i="4"/>
  <c r="H347" i="4"/>
  <c r="G347" i="4"/>
  <c r="H345" i="4"/>
  <c r="G345" i="4"/>
  <c r="H344" i="4"/>
  <c r="G344" i="4"/>
  <c r="H343" i="4"/>
  <c r="G343" i="4"/>
  <c r="H341" i="4"/>
  <c r="G341" i="4"/>
  <c r="H340" i="4"/>
  <c r="G340" i="4"/>
  <c r="H334" i="4"/>
  <c r="G334" i="4"/>
  <c r="H330" i="4"/>
  <c r="G330" i="4"/>
  <c r="H327" i="4"/>
  <c r="G327" i="4"/>
  <c r="H326" i="4"/>
  <c r="G326" i="4"/>
  <c r="H322" i="4"/>
  <c r="G322" i="4"/>
  <c r="H321" i="4"/>
  <c r="G321" i="4"/>
  <c r="H313" i="4"/>
  <c r="G313" i="4"/>
  <c r="H312" i="4"/>
  <c r="G312" i="4"/>
  <c r="H311" i="4"/>
  <c r="G311" i="4"/>
  <c r="H342" i="4"/>
  <c r="G342" i="4"/>
  <c r="H307" i="4"/>
  <c r="G307" i="4"/>
  <c r="H303" i="4"/>
  <c r="G303" i="4"/>
  <c r="H291" i="4"/>
  <c r="G291" i="4"/>
  <c r="H310" i="4"/>
  <c r="G310" i="4"/>
  <c r="H276" i="4"/>
  <c r="G276" i="4"/>
  <c r="H309" i="4"/>
  <c r="G309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302" i="4"/>
  <c r="G302" i="4"/>
  <c r="H8" i="4"/>
  <c r="G8" i="4"/>
  <c r="H301" i="4"/>
  <c r="G301" i="4"/>
  <c r="H346" i="4"/>
  <c r="G346" i="4"/>
  <c r="H338" i="4"/>
  <c r="G338" i="4"/>
  <c r="H299" i="4"/>
  <c r="G299" i="4"/>
  <c r="H308" i="4"/>
  <c r="G308" i="4"/>
  <c r="H294" i="4"/>
  <c r="G294" i="4"/>
  <c r="H296" i="4"/>
  <c r="G296" i="4"/>
  <c r="H250" i="4"/>
  <c r="G250" i="4"/>
  <c r="H154" i="4"/>
  <c r="G154" i="4"/>
  <c r="H150" i="4"/>
  <c r="G150" i="4"/>
  <c r="H284" i="4"/>
  <c r="G284" i="4"/>
  <c r="H283" i="4"/>
  <c r="G283" i="4"/>
  <c r="H335" i="4"/>
  <c r="G335" i="4"/>
  <c r="H282" i="4"/>
  <c r="G282" i="4"/>
  <c r="H293" i="4"/>
  <c r="G293" i="4"/>
  <c r="H287" i="4"/>
  <c r="G287" i="4"/>
  <c r="H280" i="4"/>
  <c r="G280" i="4"/>
  <c r="H279" i="4"/>
  <c r="G279" i="4"/>
  <c r="H243" i="4"/>
  <c r="G243" i="4"/>
  <c r="H231" i="4"/>
  <c r="G231" i="4"/>
  <c r="H216" i="4"/>
  <c r="G216" i="4"/>
  <c r="H278" i="4"/>
  <c r="G278" i="4"/>
  <c r="H183" i="4"/>
  <c r="G183" i="4"/>
  <c r="H158" i="4"/>
  <c r="G158" i="4"/>
  <c r="H152" i="4"/>
  <c r="G152" i="4"/>
  <c r="H89" i="4"/>
  <c r="G89" i="4"/>
  <c r="H265" i="4"/>
  <c r="G265" i="4"/>
  <c r="H352" i="4"/>
  <c r="G352" i="4"/>
  <c r="H329" i="4"/>
  <c r="G329" i="4"/>
  <c r="H264" i="4"/>
  <c r="G264" i="4"/>
  <c r="H263" i="4"/>
  <c r="G263" i="4"/>
  <c r="H262" i="4"/>
  <c r="G262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261" i="4"/>
  <c r="G261" i="4"/>
  <c r="H260" i="4"/>
  <c r="G260" i="4"/>
  <c r="H339" i="4"/>
  <c r="G339" i="4"/>
  <c r="H320" i="4"/>
  <c r="G320" i="4"/>
  <c r="H275" i="4"/>
  <c r="G275" i="4"/>
  <c r="H259" i="4"/>
  <c r="G259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258" i="4"/>
  <c r="G258" i="4"/>
  <c r="H257" i="4"/>
  <c r="G257" i="4"/>
  <c r="H336" i="4"/>
  <c r="G336" i="4"/>
  <c r="H333" i="4"/>
  <c r="G333" i="4"/>
  <c r="H256" i="4"/>
  <c r="G256" i="4"/>
  <c r="H255" i="4"/>
  <c r="G255" i="4"/>
  <c r="H298" i="4"/>
  <c r="G298" i="4"/>
  <c r="H206" i="4"/>
  <c r="G206" i="4"/>
  <c r="H277" i="4"/>
  <c r="G277" i="4"/>
  <c r="H273" i="4"/>
  <c r="G273" i="4"/>
  <c r="H225" i="4"/>
  <c r="G225" i="4"/>
  <c r="H205" i="4"/>
  <c r="G205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04" i="4"/>
  <c r="G204" i="4"/>
  <c r="H203" i="4"/>
  <c r="G203" i="4"/>
  <c r="H245" i="4"/>
  <c r="G245" i="4"/>
  <c r="H239" i="4"/>
  <c r="G239" i="4"/>
  <c r="H210" i="4"/>
  <c r="G210" i="4"/>
  <c r="H202" i="4"/>
  <c r="G202" i="4"/>
  <c r="H201" i="4"/>
  <c r="G201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197" i="4"/>
  <c r="G197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195" i="4"/>
  <c r="G195" i="4"/>
  <c r="H270" i="4"/>
  <c r="G270" i="4"/>
  <c r="H194" i="4"/>
  <c r="G194" i="4"/>
  <c r="H254" i="4"/>
  <c r="G254" i="4"/>
  <c r="H229" i="4"/>
  <c r="G229" i="4"/>
  <c r="H173" i="4"/>
  <c r="G173" i="4"/>
  <c r="H164" i="4"/>
  <c r="G164" i="4"/>
  <c r="H193" i="4"/>
  <c r="G193" i="4"/>
  <c r="H108" i="4"/>
  <c r="G108" i="4"/>
  <c r="H85" i="4"/>
  <c r="G85" i="4"/>
  <c r="H192" i="4"/>
  <c r="G192" i="4"/>
  <c r="H191" i="4"/>
  <c r="G191" i="4"/>
  <c r="H190" i="4"/>
  <c r="G190" i="4"/>
  <c r="H235" i="4"/>
  <c r="G235" i="4"/>
  <c r="H153" i="4"/>
  <c r="G153" i="4"/>
  <c r="H149" i="4"/>
  <c r="G149" i="4"/>
  <c r="H136" i="4"/>
  <c r="G136" i="4"/>
  <c r="H134" i="4"/>
  <c r="G134" i="4"/>
  <c r="H189" i="4"/>
  <c r="G189" i="4"/>
  <c r="H358" i="4"/>
  <c r="G358" i="4"/>
  <c r="H314" i="4"/>
  <c r="G314" i="4"/>
  <c r="H188" i="4"/>
  <c r="G188" i="4"/>
  <c r="H141" i="4"/>
  <c r="G141" i="4"/>
  <c r="H331" i="4"/>
  <c r="G331" i="4"/>
  <c r="H146" i="4"/>
  <c r="G146" i="4"/>
  <c r="H297" i="4"/>
  <c r="G297" i="4"/>
  <c r="H292" i="4"/>
  <c r="G292" i="4"/>
  <c r="H145" i="4"/>
  <c r="G145" i="4"/>
  <c r="H144" i="4"/>
  <c r="G144" i="4"/>
  <c r="H143" i="4"/>
  <c r="G143" i="4"/>
  <c r="H288" i="4"/>
  <c r="G288" i="4"/>
  <c r="H285" i="4"/>
  <c r="G285" i="4"/>
  <c r="H131" i="4"/>
  <c r="G131" i="4"/>
  <c r="H242" i="4"/>
  <c r="G242" i="4"/>
  <c r="H220" i="4"/>
  <c r="G220" i="4"/>
  <c r="H219" i="4"/>
  <c r="G219" i="4"/>
  <c r="H127" i="4"/>
  <c r="G127" i="4"/>
  <c r="H42" i="4"/>
  <c r="G42" i="4"/>
  <c r="H213" i="4"/>
  <c r="G213" i="4"/>
  <c r="H122" i="4"/>
  <c r="G122" i="4"/>
  <c r="H159" i="4"/>
  <c r="G159" i="4"/>
  <c r="H121" i="4"/>
  <c r="G121" i="4"/>
  <c r="H323" i="4"/>
  <c r="G323" i="4"/>
  <c r="H227" i="4"/>
  <c r="G227" i="4"/>
  <c r="H222" i="4"/>
  <c r="G222" i="4"/>
  <c r="H120" i="4"/>
  <c r="G120" i="4"/>
  <c r="H162" i="4"/>
  <c r="G162" i="4"/>
  <c r="H119" i="4"/>
  <c r="G119" i="4"/>
  <c r="H24" i="4"/>
  <c r="G24" i="4"/>
  <c r="H2" i="4"/>
  <c r="G2" i="4"/>
  <c r="H118" i="4"/>
  <c r="G118" i="4"/>
  <c r="H253" i="4"/>
  <c r="G253" i="4"/>
  <c r="H247" i="4"/>
  <c r="G247" i="4"/>
  <c r="H160" i="4"/>
  <c r="G160" i="4"/>
  <c r="H68" i="4"/>
  <c r="G68" i="4"/>
  <c r="H117" i="4"/>
  <c r="G117" i="4"/>
  <c r="H355" i="4"/>
  <c r="G355" i="4"/>
  <c r="H317" i="4"/>
  <c r="G317" i="4"/>
  <c r="H316" i="4"/>
  <c r="G316" i="4"/>
  <c r="H237" i="4"/>
  <c r="G237" i="4"/>
  <c r="H209" i="4"/>
  <c r="G209" i="4"/>
  <c r="H116" i="4"/>
  <c r="G116" i="4"/>
  <c r="H52" i="4"/>
  <c r="G52" i="4"/>
  <c r="H115" i="4"/>
  <c r="G11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3" i="4"/>
  <c r="G113" i="4"/>
  <c r="H112" i="4"/>
  <c r="G112" i="4"/>
  <c r="H111" i="4"/>
  <c r="G111" i="4"/>
  <c r="H300" i="4"/>
  <c r="G300" i="4"/>
  <c r="H110" i="4"/>
  <c r="G110" i="4"/>
  <c r="H107" i="4"/>
  <c r="G107" i="4"/>
  <c r="H63" i="4"/>
  <c r="G63" i="4"/>
  <c r="H324" i="4"/>
  <c r="G324" i="4"/>
  <c r="H166" i="4"/>
  <c r="G166" i="4"/>
  <c r="H124" i="4"/>
  <c r="G124" i="4"/>
  <c r="H74" i="4"/>
  <c r="G74" i="4"/>
  <c r="H106" i="4"/>
  <c r="G106" i="4"/>
  <c r="H105" i="4"/>
  <c r="G105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103" i="4"/>
  <c r="G103" i="4"/>
  <c r="H102" i="4"/>
  <c r="G102" i="4"/>
  <c r="H246" i="4"/>
  <c r="G246" i="4"/>
  <c r="H140" i="4"/>
  <c r="G140" i="4"/>
  <c r="H41" i="4"/>
  <c r="G41" i="4"/>
  <c r="H38" i="4"/>
  <c r="G38" i="4"/>
  <c r="H20" i="4"/>
  <c r="G20" i="4"/>
  <c r="H3" i="4"/>
  <c r="G3" i="4"/>
  <c r="H101" i="4"/>
  <c r="G101" i="4"/>
  <c r="H241" i="4"/>
  <c r="G241" i="4"/>
  <c r="H130" i="4"/>
  <c r="G130" i="4"/>
  <c r="H100" i="4"/>
  <c r="G100" i="4"/>
  <c r="H99" i="4"/>
  <c r="G99" i="4"/>
  <c r="H97" i="4"/>
  <c r="G97" i="4"/>
  <c r="H96" i="4"/>
  <c r="G96" i="4"/>
  <c r="H95" i="4"/>
  <c r="G95" i="4"/>
  <c r="H165" i="4"/>
  <c r="G165" i="4"/>
  <c r="H62" i="4"/>
  <c r="G62" i="4"/>
  <c r="H184" i="4"/>
  <c r="G184" i="4"/>
  <c r="H94" i="4"/>
  <c r="G94" i="4"/>
  <c r="H75" i="4"/>
  <c r="G75" i="4"/>
  <c r="H328" i="4"/>
  <c r="G328" i="4"/>
  <c r="H178" i="4"/>
  <c r="G178" i="4"/>
  <c r="H123" i="4"/>
  <c r="G123" i="4"/>
  <c r="H93" i="4"/>
  <c r="G93" i="4"/>
  <c r="H181" i="4"/>
  <c r="G181" i="4"/>
  <c r="H92" i="4"/>
  <c r="G92" i="4"/>
  <c r="H289" i="4"/>
  <c r="G289" i="4"/>
  <c r="H88" i="4"/>
  <c r="G88" i="4"/>
  <c r="H18" i="4"/>
  <c r="G18" i="4"/>
  <c r="H11" i="4"/>
  <c r="G11" i="4"/>
  <c r="H133" i="4"/>
  <c r="G133" i="4"/>
  <c r="H79" i="4"/>
  <c r="G79" i="4"/>
  <c r="H271" i="4"/>
  <c r="G271" i="4"/>
  <c r="H228" i="4"/>
  <c r="G228" i="4"/>
  <c r="H129" i="4"/>
  <c r="G129" i="4"/>
  <c r="H17" i="4"/>
  <c r="G17" i="4"/>
  <c r="H304" i="4"/>
  <c r="G304" i="4"/>
  <c r="H77" i="4"/>
  <c r="G77" i="4"/>
  <c r="H73" i="4"/>
  <c r="G73" i="4"/>
  <c r="H72" i="4"/>
  <c r="G72" i="4"/>
  <c r="H348" i="4"/>
  <c r="G348" i="4"/>
  <c r="H35" i="4"/>
  <c r="G35" i="4"/>
  <c r="H70" i="4"/>
  <c r="G70" i="4"/>
  <c r="H281" i="4"/>
  <c r="G281" i="4"/>
  <c r="H59" i="4"/>
  <c r="G59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56" i="4"/>
  <c r="G56" i="4"/>
  <c r="H82" i="4"/>
  <c r="G82" i="4"/>
  <c r="H61" i="4"/>
  <c r="G61" i="4"/>
  <c r="H180" i="4"/>
  <c r="G180" i="4"/>
  <c r="H55" i="4"/>
  <c r="G55" i="4"/>
  <c r="H25" i="4"/>
  <c r="G25" i="4"/>
  <c r="H315" i="4"/>
  <c r="G315" i="4"/>
  <c r="H34" i="4"/>
  <c r="G34" i="4"/>
  <c r="H54" i="4"/>
  <c r="G54" i="4"/>
  <c r="H53" i="4"/>
  <c r="G53" i="4"/>
  <c r="H33" i="4"/>
  <c r="G33" i="4"/>
  <c r="H60" i="4"/>
  <c r="G60" i="4"/>
  <c r="H132" i="4"/>
  <c r="G132" i="4"/>
  <c r="H286" i="4"/>
  <c r="G286" i="4"/>
  <c r="H81" i="4"/>
  <c r="G81" i="4"/>
  <c r="H50" i="4"/>
  <c r="G50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49" i="4"/>
  <c r="G49" i="4"/>
  <c r="H47" i="4"/>
  <c r="G47" i="4"/>
  <c r="H46" i="4"/>
  <c r="G46" i="4"/>
  <c r="H78" i="4"/>
  <c r="G78" i="4"/>
  <c r="H139" i="4"/>
  <c r="G139" i="4"/>
  <c r="H175" i="4"/>
  <c r="G175" i="4"/>
  <c r="H45" i="4"/>
  <c r="G45" i="4"/>
  <c r="H240" i="4"/>
  <c r="G240" i="4"/>
  <c r="H305" i="4"/>
  <c r="G305" i="4"/>
  <c r="H44" i="4"/>
  <c r="G44" i="4"/>
  <c r="H43" i="4"/>
  <c r="G43" i="4"/>
  <c r="H40" i="4"/>
  <c r="G40" i="4"/>
  <c r="H7" i="4"/>
  <c r="G7" i="4"/>
  <c r="H36" i="4"/>
  <c r="G36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2" i="4"/>
  <c r="G32" i="4"/>
  <c r="H31" i="4"/>
  <c r="G31" i="4"/>
  <c r="H30" i="4"/>
  <c r="G30" i="4"/>
  <c r="H86" i="4"/>
  <c r="G86" i="4"/>
  <c r="H98" i="4"/>
  <c r="G98" i="4"/>
  <c r="H39" i="4"/>
  <c r="G39" i="4"/>
  <c r="H29" i="4"/>
  <c r="G29" i="4"/>
  <c r="H58" i="4"/>
  <c r="G58" i="4"/>
  <c r="H67" i="4"/>
  <c r="G67" i="4"/>
  <c r="H27" i="4"/>
  <c r="G27" i="4"/>
  <c r="H26" i="4"/>
  <c r="G26" i="4"/>
  <c r="H15" i="4"/>
  <c r="G15" i="4"/>
  <c r="H22" i="4"/>
  <c r="G22" i="4"/>
  <c r="H83" i="4"/>
  <c r="G83" i="4"/>
  <c r="H19" i="4"/>
  <c r="G19" i="4"/>
  <c r="H6" i="4"/>
  <c r="G6" i="4"/>
  <c r="H267" i="4"/>
  <c r="G267" i="4"/>
  <c r="H5" i="4"/>
  <c r="G5" i="4"/>
  <c r="H80" i="4"/>
  <c r="G80" i="4"/>
  <c r="H353" i="4"/>
  <c r="G353" i="4"/>
  <c r="H224" i="4"/>
  <c r="G224" i="4"/>
  <c r="H9" i="4"/>
  <c r="G9" i="4"/>
  <c r="H57" i="4"/>
  <c r="G57" i="4"/>
  <c r="H4" i="4"/>
  <c r="G4" i="4"/>
  <c r="H168" i="4"/>
  <c r="G168" i="4"/>
  <c r="H356" i="4" l="1"/>
  <c r="G35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10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0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G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7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5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<sst xmlns="http://schemas.openxmlformats.org/spreadsheetml/2006/main" count="2250" uniqueCount="567">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</sst>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9" activePane="bottomLeft" state="frozen"/>
      <selection activeCell="C37" sqref="C37"/>
      <selection pane="bottomLeft" activeCell="G32" sqref="G3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58"/>
  <sheetViews>
    <sheetView tabSelected="1" zoomScale="130" zoomScaleNormal="130" workbookViewId="0">
      <pane ySplit="1" topLeftCell="A88" activePane="bottomLeft" state="frozen"/>
      <selection pane="bottomLeft" activeCell="H99" sqref="H99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hidden="1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hidden="1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77</v>
      </c>
      <c r="B4" s="53" t="s">
        <v>41</v>
      </c>
      <c r="C4" s="53" t="s">
        <v>18</v>
      </c>
      <c r="D4" s="53" t="s">
        <v>97</v>
      </c>
      <c r="E4" s="57" t="s">
        <v>272</v>
      </c>
      <c r="F4" s="50" t="s">
        <v>272</v>
      </c>
      <c r="G4" s="107">
        <f>VLOOKUP($A4, Stat!$A$1:$C$501, 2,0)</f>
        <v>523</v>
      </c>
      <c r="H4" s="107">
        <f>VLOOKUP($A4, Stat!$A$1:$C$501, 3,0)</f>
        <v>0</v>
      </c>
      <c r="I4" s="110"/>
      <c r="M4" s="50"/>
      <c r="N4" s="51"/>
      <c r="O4" s="50" t="s">
        <v>270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29</v>
      </c>
      <c r="B5" s="53" t="s">
        <v>39</v>
      </c>
      <c r="C5" s="53" t="s">
        <v>16</v>
      </c>
      <c r="D5" s="53" t="s">
        <v>16</v>
      </c>
      <c r="E5" s="57" t="s">
        <v>116</v>
      </c>
      <c r="F5" s="51"/>
      <c r="G5" s="107">
        <f>VLOOKUP($A5, Stat!$A$1:$C$501, 2,0)</f>
        <v>282</v>
      </c>
      <c r="H5" s="107">
        <f>VLOOKUP($A5, Stat!$A$1:$C$501, 3,0)</f>
        <v>0</v>
      </c>
      <c r="I5" s="110"/>
      <c r="M5" s="51"/>
      <c r="N5" s="51"/>
      <c r="O5" s="51"/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42</v>
      </c>
      <c r="B6" s="53" t="s">
        <v>39</v>
      </c>
      <c r="C6" s="53" t="s">
        <v>87</v>
      </c>
      <c r="D6" s="53" t="s">
        <v>99</v>
      </c>
      <c r="E6" s="57" t="s">
        <v>3</v>
      </c>
      <c r="F6" s="51"/>
      <c r="G6" s="107">
        <f>VLOOKUP($A6, Stat!$A$1:$C$501, 2,0)</f>
        <v>182</v>
      </c>
      <c r="H6" s="107">
        <f>VLOOKUP($A6, Stat!$A$1:$C$501, 3,0)</f>
        <v>0</v>
      </c>
      <c r="I6" s="110"/>
      <c r="K6" s="49">
        <v>999</v>
      </c>
      <c r="M6" s="51"/>
      <c r="N6" s="51"/>
      <c r="O6" s="51"/>
      <c r="P6" s="53">
        <v>0</v>
      </c>
      <c r="Q6" s="53">
        <v>-1</v>
      </c>
      <c r="R6" s="53" t="s">
        <v>88</v>
      </c>
      <c r="T6" s="53">
        <v>1</v>
      </c>
    </row>
    <row r="7" spans="1:20" ht="13.2" hidden="1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hidden="1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hidden="1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hidden="1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hidden="1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hidden="1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hidden="1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hidden="1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hidden="1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hidden="1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511</v>
      </c>
      <c r="T16" s="53">
        <v>1</v>
      </c>
    </row>
    <row r="17" spans="1:20" ht="13.2" hidden="1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511</v>
      </c>
      <c r="T17" s="53">
        <v>1</v>
      </c>
    </row>
    <row r="18" spans="1:20" ht="13.2" hidden="1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59</v>
      </c>
      <c r="B19" s="53" t="s">
        <v>39</v>
      </c>
      <c r="C19" s="53" t="s">
        <v>83</v>
      </c>
      <c r="D19" s="53" t="s">
        <v>128</v>
      </c>
      <c r="E19" s="57" t="s">
        <v>3</v>
      </c>
      <c r="F19" s="51"/>
      <c r="G19" s="107">
        <f>VLOOKUP($A19, Stat!$A$1:$C$501, 2,0)</f>
        <v>179</v>
      </c>
      <c r="H19" s="107">
        <f>VLOOKUP($A19, Stat!$A$1:$C$501, 3,0)</f>
        <v>0</v>
      </c>
      <c r="I19" s="110"/>
      <c r="M19" s="51"/>
      <c r="N19" s="51"/>
      <c r="O19" s="51"/>
      <c r="P19" s="53">
        <v>0</v>
      </c>
      <c r="Q19" s="53">
        <v>1</v>
      </c>
      <c r="T19" s="53">
        <v>1</v>
      </c>
    </row>
    <row r="20" spans="1:20" ht="13.2" hidden="1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504</v>
      </c>
      <c r="T20" s="53">
        <v>1</v>
      </c>
    </row>
    <row r="21" spans="1:20" ht="13.2" hidden="1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hidden="1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hidden="1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hidden="1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hidden="1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193</v>
      </c>
      <c r="B26" s="53" t="s">
        <v>39</v>
      </c>
      <c r="C26" s="53" t="s">
        <v>15</v>
      </c>
      <c r="D26" s="53" t="s">
        <v>56</v>
      </c>
      <c r="E26" s="57" t="s">
        <v>143</v>
      </c>
      <c r="F26" s="51"/>
      <c r="G26" s="107">
        <f>VLOOKUP($A26, Stat!$A$1:$C$501, 2,0)</f>
        <v>164</v>
      </c>
      <c r="H26" s="107">
        <f>VLOOKUP($A26, Stat!$A$1:$C$501, 3,0)</f>
        <v>0</v>
      </c>
      <c r="I26" s="110"/>
      <c r="L26" s="49">
        <v>1</v>
      </c>
      <c r="M26" s="51"/>
      <c r="N26" s="51"/>
      <c r="O26" s="51"/>
      <c r="P26" s="53">
        <v>0</v>
      </c>
      <c r="Q26" s="53">
        <v>1</v>
      </c>
      <c r="S26" s="53" t="s">
        <v>385</v>
      </c>
      <c r="T26" s="53">
        <v>1</v>
      </c>
    </row>
    <row r="27" spans="1:20" ht="13.2" customHeight="1" x14ac:dyDescent="0.25">
      <c r="A27" s="53">
        <v>132</v>
      </c>
      <c r="B27" s="53" t="s">
        <v>39</v>
      </c>
      <c r="C27" s="53" t="s">
        <v>83</v>
      </c>
      <c r="D27" s="53" t="s">
        <v>127</v>
      </c>
      <c r="E27" s="57" t="s">
        <v>3</v>
      </c>
      <c r="F27" s="51"/>
      <c r="G27" s="107">
        <f>VLOOKUP($A27, Stat!$A$1:$C$501, 2,0)</f>
        <v>166</v>
      </c>
      <c r="H27" s="107">
        <f>VLOOKUP($A27, Stat!$A$1:$C$501, 3,0)</f>
        <v>0</v>
      </c>
      <c r="I27" s="110"/>
      <c r="M27" s="51"/>
      <c r="N27" s="51"/>
      <c r="O27" s="51"/>
      <c r="P27" s="53">
        <v>0</v>
      </c>
      <c r="Q27" s="53">
        <v>-1</v>
      </c>
      <c r="T27" s="53">
        <v>1</v>
      </c>
    </row>
    <row r="28" spans="1:20" ht="13.2" hidden="1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35</v>
      </c>
      <c r="B29" s="53" t="s">
        <v>41</v>
      </c>
      <c r="C29" s="53" t="s">
        <v>64</v>
      </c>
      <c r="D29" s="53" t="s">
        <v>95</v>
      </c>
      <c r="E29" s="57" t="s">
        <v>136</v>
      </c>
      <c r="F29" s="51"/>
      <c r="G29" s="107">
        <f>VLOOKUP($A29, Stat!$A$1:$C$501, 2,0)</f>
        <v>144</v>
      </c>
      <c r="H29" s="107">
        <f>VLOOKUP($A29, Stat!$A$1:$C$501, 3,0)</f>
        <v>0</v>
      </c>
      <c r="I29" s="110"/>
      <c r="K29" s="49">
        <v>999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128</v>
      </c>
      <c r="B30" s="53" t="s">
        <v>39</v>
      </c>
      <c r="C30" s="53" t="s">
        <v>83</v>
      </c>
      <c r="D30" s="53" t="s">
        <v>124</v>
      </c>
      <c r="E30" s="57" t="s">
        <v>3</v>
      </c>
      <c r="F30" s="51"/>
      <c r="G30" s="107">
        <f>VLOOKUP($A30, Stat!$A$1:$C$501, 2,0)</f>
        <v>126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112</v>
      </c>
      <c r="B31" s="53" t="s">
        <v>39</v>
      </c>
      <c r="C31" s="53" t="s">
        <v>86</v>
      </c>
      <c r="D31" s="53" t="s">
        <v>2</v>
      </c>
      <c r="E31" s="57" t="s">
        <v>3</v>
      </c>
      <c r="F31" s="50"/>
      <c r="G31" s="107">
        <f>VLOOKUP($A31, Stat!$A$1:$C$501, 2,0)</f>
        <v>129</v>
      </c>
      <c r="H31" s="107">
        <f>VLOOKUP($A31, Stat!$A$1:$C$501, 3,0)</f>
        <v>0</v>
      </c>
      <c r="I31" s="110"/>
      <c r="M31" s="50" t="s">
        <v>398</v>
      </c>
      <c r="N31" s="51"/>
      <c r="O31" s="50"/>
      <c r="P31" s="53">
        <v>0</v>
      </c>
      <c r="Q31" s="53">
        <v>-1</v>
      </c>
      <c r="T31" s="53">
        <v>1</v>
      </c>
    </row>
    <row r="32" spans="1:20" ht="13.2" customHeight="1" x14ac:dyDescent="0.25">
      <c r="A32" s="53">
        <v>335</v>
      </c>
      <c r="B32" s="53" t="s">
        <v>41</v>
      </c>
      <c r="C32" s="53" t="s">
        <v>64</v>
      </c>
      <c r="D32" s="53" t="s">
        <v>428</v>
      </c>
      <c r="E32" s="53" t="s">
        <v>485</v>
      </c>
      <c r="F32" s="49">
        <v>1</v>
      </c>
      <c r="G32" s="107">
        <f>VLOOKUP($A32, Stat!$A$1:$C$501, 2,0)</f>
        <v>113</v>
      </c>
      <c r="H32" s="107">
        <f>VLOOKUP($A32, Stat!$A$1:$C$501, 3,0)</f>
        <v>0</v>
      </c>
      <c r="I32" s="110"/>
      <c r="P32" s="53">
        <v>30</v>
      </c>
      <c r="Q32" s="53">
        <v>0</v>
      </c>
      <c r="S32" s="53" t="s">
        <v>486</v>
      </c>
      <c r="T32" s="53">
        <v>1</v>
      </c>
    </row>
    <row r="33" spans="1:20" ht="13.2" hidden="1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hidden="1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hidden="1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120</v>
      </c>
      <c r="B36" s="53" t="s">
        <v>39</v>
      </c>
      <c r="C36" s="53" t="s">
        <v>87</v>
      </c>
      <c r="D36" s="53" t="s">
        <v>98</v>
      </c>
      <c r="E36" s="57" t="s">
        <v>3</v>
      </c>
      <c r="F36" s="51"/>
      <c r="G36" s="107">
        <f>VLOOKUP($A36, Stat!$A$1:$C$501, 2,0)</f>
        <v>83</v>
      </c>
      <c r="H36" s="107">
        <f>VLOOKUP($A36, Stat!$A$1:$C$501, 3,0)</f>
        <v>0</v>
      </c>
      <c r="K36" s="49">
        <v>999</v>
      </c>
      <c r="M36" s="50"/>
      <c r="N36" s="51"/>
      <c r="O36" s="51"/>
      <c r="P36" s="53">
        <v>0</v>
      </c>
      <c r="Q36" s="53">
        <v>-1</v>
      </c>
      <c r="T36" s="53">
        <v>1</v>
      </c>
    </row>
    <row r="37" spans="1:20" ht="13.2" hidden="1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hidden="1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hidden="1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79</v>
      </c>
      <c r="B40" s="53" t="s">
        <v>39</v>
      </c>
      <c r="C40" s="53" t="s">
        <v>15</v>
      </c>
      <c r="D40" s="53" t="s">
        <v>56</v>
      </c>
      <c r="E40" s="57" t="s">
        <v>146</v>
      </c>
      <c r="F40" s="51"/>
      <c r="G40" s="107">
        <f>VLOOKUP($A40, Stat!$A$1:$C$501, 2,0)</f>
        <v>76</v>
      </c>
      <c r="H40" s="107">
        <f>VLOOKUP($A40, Stat!$A$1:$C$501, 3,0)</f>
        <v>0</v>
      </c>
      <c r="L40" s="49">
        <v>1</v>
      </c>
      <c r="M40" s="51"/>
      <c r="N40" s="51"/>
      <c r="O40" s="51"/>
      <c r="P40" s="53">
        <v>30</v>
      </c>
      <c r="Q40" s="53">
        <v>-1</v>
      </c>
      <c r="S40" s="53" t="s">
        <v>385</v>
      </c>
      <c r="T40" s="53">
        <v>1</v>
      </c>
    </row>
    <row r="41" spans="1:20" ht="13.2" hidden="1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hidden="1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G43" s="107">
        <f>VLOOKUP($A43, Stat!$A$1:$C$501, 2,0)</f>
        <v>77</v>
      </c>
      <c r="H43" s="107">
        <f>VLOOKUP($A43, Stat!$A$1:$C$501, 3,0)</f>
        <v>0</v>
      </c>
      <c r="M43" s="51"/>
      <c r="N43" s="51"/>
      <c r="O43" s="51"/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108</v>
      </c>
      <c r="B45" s="53" t="s">
        <v>39</v>
      </c>
      <c r="C45" s="53" t="s">
        <v>83</v>
      </c>
      <c r="D45" s="53" t="s">
        <v>126</v>
      </c>
      <c r="E45" s="57" t="s">
        <v>3</v>
      </c>
      <c r="F45" s="51"/>
      <c r="G45" s="107">
        <f>VLOOKUP($A45, Stat!$A$1:$C$501, 2,0)</f>
        <v>68</v>
      </c>
      <c r="H45" s="107">
        <f>VLOOKUP($A45, Stat!$A$1:$C$501, 3,0)</f>
        <v>0</v>
      </c>
      <c r="I45" s="110"/>
      <c r="M45" s="50" t="s">
        <v>264</v>
      </c>
      <c r="N45" s="51"/>
      <c r="O45" s="51"/>
      <c r="P45" s="53">
        <v>0</v>
      </c>
      <c r="Q45" s="53">
        <v>-1</v>
      </c>
      <c r="T45" s="53">
        <v>1</v>
      </c>
    </row>
    <row r="46" spans="1:20" ht="13.2" customHeight="1" x14ac:dyDescent="0.25">
      <c r="A46" s="53">
        <v>102</v>
      </c>
      <c r="B46" s="53" t="s">
        <v>39</v>
      </c>
      <c r="C46" s="53" t="s">
        <v>87</v>
      </c>
      <c r="D46" s="53" t="s">
        <v>82</v>
      </c>
      <c r="E46" s="57" t="s">
        <v>5</v>
      </c>
      <c r="F46" s="51"/>
      <c r="G46" s="107">
        <f>VLOOKUP($A46, Stat!$A$1:$C$501, 2,0)</f>
        <v>63</v>
      </c>
      <c r="H46" s="107">
        <f>VLOOKUP($A46, Stat!$A$1:$C$501, 3,0)</f>
        <v>0</v>
      </c>
      <c r="M46" s="51"/>
      <c r="N46" s="51"/>
      <c r="O46" s="51"/>
      <c r="P46" s="53">
        <v>40</v>
      </c>
      <c r="Q46" s="53">
        <v>-1</v>
      </c>
      <c r="R46" s="53" t="s">
        <v>439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G47" s="107">
        <f>VLOOKUP($A47, Stat!$A$1:$C$501, 2,0)</f>
        <v>64</v>
      </c>
      <c r="H47" s="107">
        <f>VLOOKUP($A47, Stat!$A$1:$C$501, 3,0)</f>
        <v>0</v>
      </c>
      <c r="K47" s="49">
        <v>999</v>
      </c>
      <c r="M47" s="51"/>
      <c r="N47" s="51"/>
      <c r="O47" s="51"/>
      <c r="P47" s="53">
        <v>40</v>
      </c>
      <c r="Q47" s="53">
        <v>-1</v>
      </c>
      <c r="R47" s="53" t="s">
        <v>88</v>
      </c>
      <c r="T47" s="53">
        <v>1</v>
      </c>
    </row>
    <row r="48" spans="1:20" ht="13.2" hidden="1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204</v>
      </c>
      <c r="B49" s="53" t="s">
        <v>39</v>
      </c>
      <c r="C49" s="53" t="s">
        <v>86</v>
      </c>
      <c r="D49" s="53" t="s">
        <v>191</v>
      </c>
      <c r="E49" s="57" t="s">
        <v>3</v>
      </c>
      <c r="F49" s="51"/>
      <c r="G49" s="107">
        <f>VLOOKUP($A49, Stat!$A$1:$C$501, 2,0)</f>
        <v>62</v>
      </c>
      <c r="H49" s="107">
        <f>VLOOKUP($A49, Stat!$A$1:$C$501, 3,0)</f>
        <v>0</v>
      </c>
      <c r="M49" s="51"/>
      <c r="N49" s="51"/>
      <c r="O49" s="51"/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46</v>
      </c>
      <c r="B50" s="53" t="s">
        <v>41</v>
      </c>
      <c r="C50" s="53" t="s">
        <v>64</v>
      </c>
      <c r="D50" s="53" t="s">
        <v>95</v>
      </c>
      <c r="E50" s="57" t="s">
        <v>135</v>
      </c>
      <c r="F50" s="51"/>
      <c r="G50" s="107">
        <f>VLOOKUP($A50, Stat!$A$1:$C$501, 2,0)</f>
        <v>55</v>
      </c>
      <c r="H50" s="107">
        <f>VLOOKUP($A50, Stat!$A$1:$C$501, 3,0)</f>
        <v>0</v>
      </c>
      <c r="M50" s="51"/>
      <c r="N50" s="51"/>
      <c r="O50" s="51"/>
      <c r="P50" s="53">
        <v>60</v>
      </c>
      <c r="Q50" s="53">
        <v>-1</v>
      </c>
      <c r="T50" s="53">
        <v>1</v>
      </c>
    </row>
    <row r="51" spans="1:20" ht="13.2" hidden="1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hidden="1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121</v>
      </c>
      <c r="B53" s="53" t="s">
        <v>39</v>
      </c>
      <c r="C53" s="53" t="s">
        <v>87</v>
      </c>
      <c r="D53" s="53" t="s">
        <v>98</v>
      </c>
      <c r="E53" s="57" t="s">
        <v>4</v>
      </c>
      <c r="F53" s="51"/>
      <c r="G53" s="107">
        <f>VLOOKUP($A53, Stat!$A$1:$C$501, 2,0)</f>
        <v>50</v>
      </c>
      <c r="H53" s="107">
        <f>VLOOKUP($A53, Stat!$A$1:$C$501, 3,0)</f>
        <v>0</v>
      </c>
      <c r="K53" s="49">
        <v>999</v>
      </c>
      <c r="M53" s="50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31</v>
      </c>
      <c r="B54" s="53" t="s">
        <v>39</v>
      </c>
      <c r="C54" s="53" t="s">
        <v>16</v>
      </c>
      <c r="D54" s="53" t="s">
        <v>16</v>
      </c>
      <c r="E54" s="57" t="s">
        <v>50</v>
      </c>
      <c r="F54" s="51"/>
      <c r="G54" s="107">
        <f>VLOOKUP($A54, Stat!$A$1:$C$501, 2,0)</f>
        <v>44</v>
      </c>
      <c r="H54" s="107">
        <f>VLOOKUP($A54, Stat!$A$1:$C$501, 3,0)</f>
        <v>0</v>
      </c>
      <c r="M54" s="50" t="s">
        <v>314</v>
      </c>
      <c r="N54" s="51"/>
      <c r="O54" s="51"/>
      <c r="P54" s="53">
        <v>100</v>
      </c>
      <c r="Q54" s="53">
        <v>0</v>
      </c>
      <c r="T54" s="53">
        <v>1</v>
      </c>
    </row>
    <row r="55" spans="1:20" ht="13.2" customHeight="1" x14ac:dyDescent="0.25">
      <c r="A55" s="53">
        <v>145</v>
      </c>
      <c r="B55" s="53" t="s">
        <v>39</v>
      </c>
      <c r="C55" s="53" t="s">
        <v>87</v>
      </c>
      <c r="D55" s="53" t="s">
        <v>397</v>
      </c>
      <c r="E55" s="57" t="s">
        <v>4</v>
      </c>
      <c r="F55" s="51"/>
      <c r="G55" s="107">
        <f>VLOOKUP($A55, Stat!$A$1:$C$501, 2,0)</f>
        <v>46</v>
      </c>
      <c r="H55" s="107">
        <f>VLOOKUP($A55, Stat!$A$1:$C$501, 3,0)</f>
        <v>0</v>
      </c>
      <c r="M55" s="51"/>
      <c r="N55" s="51"/>
      <c r="O55" s="51"/>
      <c r="P55" s="53">
        <v>0</v>
      </c>
      <c r="Q55" s="53">
        <v>-1</v>
      </c>
      <c r="R55" s="53" t="s">
        <v>440</v>
      </c>
      <c r="T55" s="53">
        <v>1</v>
      </c>
    </row>
    <row r="56" spans="1:20" ht="13.2" customHeight="1" x14ac:dyDescent="0.25">
      <c r="A56" s="53">
        <v>117</v>
      </c>
      <c r="B56" s="53" t="s">
        <v>39</v>
      </c>
      <c r="C56" s="53" t="s">
        <v>86</v>
      </c>
      <c r="D56" s="53" t="s">
        <v>171</v>
      </c>
      <c r="E56" s="57" t="s">
        <v>4</v>
      </c>
      <c r="F56" s="51"/>
      <c r="G56" s="107">
        <f>VLOOKUP($A56, Stat!$A$1:$C$501, 2,0)</f>
        <v>45</v>
      </c>
      <c r="H56" s="107">
        <f>VLOOKUP($A56, Stat!$A$1:$C$501, 3,0)</f>
        <v>0</v>
      </c>
      <c r="M56" s="50" t="s">
        <v>399</v>
      </c>
      <c r="N56" s="51"/>
      <c r="O56" s="51"/>
      <c r="P56" s="53">
        <v>0</v>
      </c>
      <c r="Q56" s="53">
        <v>-1</v>
      </c>
      <c r="R56" s="53" t="s">
        <v>172</v>
      </c>
      <c r="T56" s="53">
        <v>1</v>
      </c>
    </row>
    <row r="57" spans="1:20" ht="13.2" hidden="1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hidden="1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53</v>
      </c>
      <c r="B59" s="53" t="s">
        <v>39</v>
      </c>
      <c r="C59" s="53" t="s">
        <v>87</v>
      </c>
      <c r="D59" s="53" t="s">
        <v>85</v>
      </c>
      <c r="E59" s="57" t="s">
        <v>3</v>
      </c>
      <c r="F59" s="51"/>
      <c r="G59" s="107">
        <f>VLOOKUP($A59, Stat!$A$1:$C$501, 2,0)</f>
        <v>35</v>
      </c>
      <c r="H59" s="107">
        <f>VLOOKUP($A59, Stat!$A$1:$C$501, 3,0)</f>
        <v>0</v>
      </c>
      <c r="M59" s="51"/>
      <c r="N59" s="51"/>
      <c r="O59" s="51"/>
      <c r="P59" s="53">
        <v>0</v>
      </c>
      <c r="Q59" s="53">
        <v>-1</v>
      </c>
      <c r="T59" s="53">
        <v>1</v>
      </c>
    </row>
    <row r="60" spans="1:20" ht="13.2" hidden="1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hidden="1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hidden="1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hidden="1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hidden="1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hidden="1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hidden="1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hidden="1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hidden="1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hidden="1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116</v>
      </c>
      <c r="B70" s="53" t="s">
        <v>39</v>
      </c>
      <c r="C70" s="53" t="s">
        <v>86</v>
      </c>
      <c r="D70" s="53" t="s">
        <v>171</v>
      </c>
      <c r="E70" s="57" t="s">
        <v>3</v>
      </c>
      <c r="F70" s="51"/>
      <c r="G70" s="107">
        <f>VLOOKUP($A70, Stat!$A$1:$C$501, 2,0)</f>
        <v>38</v>
      </c>
      <c r="H70" s="107">
        <f>VLOOKUP($A70, Stat!$A$1:$C$501, 3,0)</f>
        <v>0</v>
      </c>
      <c r="M70" s="50" t="s">
        <v>398</v>
      </c>
      <c r="N70" s="51"/>
      <c r="O70" s="51"/>
      <c r="P70" s="53">
        <v>0</v>
      </c>
      <c r="Q70" s="53">
        <v>-1</v>
      </c>
      <c r="R70" s="53" t="s">
        <v>172</v>
      </c>
      <c r="T70" s="53">
        <v>1</v>
      </c>
    </row>
    <row r="71" spans="1:20" ht="13.2" hidden="1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55</v>
      </c>
      <c r="B72" s="53" t="s">
        <v>39</v>
      </c>
      <c r="C72" s="53" t="s">
        <v>87</v>
      </c>
      <c r="D72" s="53" t="s">
        <v>85</v>
      </c>
      <c r="E72" s="57" t="s">
        <v>5</v>
      </c>
      <c r="F72" s="51"/>
      <c r="G72" s="107">
        <f>VLOOKUP($A72, Stat!$A$1:$C$501, 2,0)</f>
        <v>36</v>
      </c>
      <c r="H72" s="107">
        <f>VLOOKUP($A72, Stat!$A$1:$C$501, 3,0)</f>
        <v>0</v>
      </c>
      <c r="M72" s="51"/>
      <c r="N72" s="51"/>
      <c r="O72" s="51"/>
      <c r="P72" s="53">
        <v>40</v>
      </c>
      <c r="Q72" s="53">
        <v>-1</v>
      </c>
      <c r="T72" s="53">
        <v>1</v>
      </c>
    </row>
    <row r="73" spans="1:20" ht="13.2" customHeight="1" x14ac:dyDescent="0.25">
      <c r="A73" s="53">
        <v>89</v>
      </c>
      <c r="B73" s="53" t="s">
        <v>41</v>
      </c>
      <c r="C73" s="53" t="s">
        <v>64</v>
      </c>
      <c r="D73" s="53" t="s">
        <v>79</v>
      </c>
      <c r="E73" s="57" t="s">
        <v>311</v>
      </c>
      <c r="F73" s="51"/>
      <c r="G73" s="107">
        <f>VLOOKUP($A73, Stat!$A$1:$C$501, 2,0)</f>
        <v>39</v>
      </c>
      <c r="H73" s="107">
        <f>VLOOKUP($A73, Stat!$A$1:$C$501, 3,0)</f>
        <v>0</v>
      </c>
      <c r="M73" s="51"/>
      <c r="N73" s="51"/>
      <c r="O73" s="51"/>
      <c r="P73" s="53">
        <v>0</v>
      </c>
      <c r="Q73" s="53">
        <v>1</v>
      </c>
      <c r="R73" s="53" t="s">
        <v>80</v>
      </c>
      <c r="T73" s="53">
        <v>1</v>
      </c>
    </row>
    <row r="74" spans="1:20" ht="13.2" hidden="1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hidden="1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552</v>
      </c>
      <c r="T75" s="53">
        <v>1</v>
      </c>
    </row>
    <row r="76" spans="1:20" ht="13.2" hidden="1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103</v>
      </c>
      <c r="B77" s="53" t="s">
        <v>39</v>
      </c>
      <c r="C77" s="53" t="s">
        <v>87</v>
      </c>
      <c r="D77" s="53" t="s">
        <v>82</v>
      </c>
      <c r="E77" s="57" t="s">
        <v>51</v>
      </c>
      <c r="F77" s="51"/>
      <c r="G77" s="107">
        <f>VLOOKUP($A77, Stat!$A$1:$C$501, 2,0)</f>
        <v>39</v>
      </c>
      <c r="H77" s="107">
        <f>VLOOKUP($A77, Stat!$A$1:$C$501, 3,0)</f>
        <v>0</v>
      </c>
      <c r="M77" s="51"/>
      <c r="N77" s="51"/>
      <c r="O77" s="51"/>
      <c r="P77" s="53">
        <v>60</v>
      </c>
      <c r="Q77" s="53">
        <v>-1</v>
      </c>
      <c r="R77" s="53" t="s">
        <v>439</v>
      </c>
      <c r="T77" s="53">
        <v>1</v>
      </c>
    </row>
    <row r="78" spans="1:20" ht="13.2" hidden="1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70</v>
      </c>
      <c r="B79" s="53" t="s">
        <v>39</v>
      </c>
      <c r="C79" s="53" t="s">
        <v>7</v>
      </c>
      <c r="D79" s="53" t="s">
        <v>226</v>
      </c>
      <c r="E79" s="57" t="s">
        <v>311</v>
      </c>
      <c r="F79" s="51"/>
      <c r="G79" s="107">
        <f>VLOOKUP($A79, Stat!$A$1:$C$501, 2,0)</f>
        <v>35</v>
      </c>
      <c r="H79" s="107">
        <f>VLOOKUP($A79, Stat!$A$1:$C$501, 3,0)</f>
        <v>0</v>
      </c>
      <c r="L79" s="49">
        <v>1</v>
      </c>
      <c r="M79" s="51"/>
      <c r="N79" s="51"/>
      <c r="O79" s="51"/>
      <c r="P79" s="53">
        <v>60</v>
      </c>
      <c r="Q79" s="53">
        <v>0</v>
      </c>
      <c r="T79" s="53">
        <v>1</v>
      </c>
    </row>
    <row r="80" spans="1:20" ht="13.2" hidden="1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hidden="1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hidden="1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hidden="1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hidden="1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hidden="1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453</v>
      </c>
      <c r="T85" s="53">
        <v>1</v>
      </c>
    </row>
    <row r="86" spans="1:20" ht="13.2" hidden="1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hidden="1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93</v>
      </c>
      <c r="B88" s="53" t="s">
        <v>41</v>
      </c>
      <c r="C88" s="53" t="s">
        <v>64</v>
      </c>
      <c r="D88" s="53" t="s">
        <v>164</v>
      </c>
      <c r="E88" s="57" t="s">
        <v>272</v>
      </c>
      <c r="F88" s="51"/>
      <c r="G88" s="107">
        <f>VLOOKUP($A88, Stat!$A$1:$C$501, 2,0)</f>
        <v>33</v>
      </c>
      <c r="H88" s="107">
        <f>VLOOKUP($A88, Stat!$A$1:$C$501, 3,0)</f>
        <v>0</v>
      </c>
      <c r="L88" s="49">
        <v>1</v>
      </c>
      <c r="M88" s="51"/>
      <c r="N88" s="51"/>
      <c r="O88" s="51"/>
      <c r="P88" s="53">
        <v>0</v>
      </c>
      <c r="Q88" s="53">
        <v>0</v>
      </c>
      <c r="R88" s="53" t="s">
        <v>137</v>
      </c>
      <c r="T88" s="53">
        <v>1</v>
      </c>
    </row>
    <row r="89" spans="1:20" ht="13.2" hidden="1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hidden="1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hidden="1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5</v>
      </c>
      <c r="B92" s="53" t="s">
        <v>39</v>
      </c>
      <c r="C92" s="53" t="s">
        <v>14</v>
      </c>
      <c r="D92" s="53" t="s">
        <v>386</v>
      </c>
      <c r="E92" s="57" t="s">
        <v>174</v>
      </c>
      <c r="F92" s="51"/>
      <c r="G92" s="107">
        <f>VLOOKUP($A92, Stat!$A$1:$C$501, 2,0)</f>
        <v>34</v>
      </c>
      <c r="H92" s="107">
        <f>VLOOKUP($A92, Stat!$A$1:$C$501, 3,0)</f>
        <v>0</v>
      </c>
      <c r="J92" s="49">
        <v>1</v>
      </c>
      <c r="M92" s="51"/>
      <c r="N92" s="51"/>
      <c r="O92" s="51"/>
      <c r="P92" s="53">
        <v>0</v>
      </c>
      <c r="Q92" s="53">
        <v>0</v>
      </c>
      <c r="S92" s="53" t="s">
        <v>468</v>
      </c>
      <c r="T92" s="53">
        <v>1</v>
      </c>
    </row>
    <row r="93" spans="1:20" ht="13.2" customHeight="1" x14ac:dyDescent="0.25">
      <c r="A93" s="53">
        <v>258</v>
      </c>
      <c r="B93" s="53" t="s">
        <v>41</v>
      </c>
      <c r="C93" s="53" t="s">
        <v>251</v>
      </c>
      <c r="D93" s="53" t="s">
        <v>319</v>
      </c>
      <c r="E93" s="53" t="s">
        <v>321</v>
      </c>
      <c r="G93" s="107">
        <f>VLOOKUP($A93, Stat!$A$1:$C$501, 2,0)</f>
        <v>31</v>
      </c>
      <c r="H93" s="107">
        <f>VLOOKUP($A93, Stat!$A$1:$C$501, 3,0)</f>
        <v>0</v>
      </c>
      <c r="N93" s="49">
        <v>1</v>
      </c>
      <c r="P93" s="53">
        <v>0</v>
      </c>
      <c r="Q93" s="53">
        <v>1</v>
      </c>
      <c r="S93" s="53" t="s">
        <v>328</v>
      </c>
      <c r="T93" s="53">
        <v>1</v>
      </c>
    </row>
    <row r="94" spans="1:20" ht="13.2" customHeight="1" x14ac:dyDescent="0.25">
      <c r="A94" s="53">
        <v>146</v>
      </c>
      <c r="B94" s="53" t="s">
        <v>39</v>
      </c>
      <c r="C94" s="53" t="s">
        <v>87</v>
      </c>
      <c r="D94" s="53" t="s">
        <v>397</v>
      </c>
      <c r="E94" s="57" t="s">
        <v>5</v>
      </c>
      <c r="F94" s="51"/>
      <c r="G94" s="107">
        <f>VLOOKUP($A94, Stat!$A$1:$C$501, 2,0)</f>
        <v>30</v>
      </c>
      <c r="H94" s="107">
        <f>VLOOKUP($A94, Stat!$A$1:$C$501, 3,0)</f>
        <v>0</v>
      </c>
      <c r="M94" s="51"/>
      <c r="N94" s="51"/>
      <c r="O94" s="51"/>
      <c r="P94" s="53">
        <v>40</v>
      </c>
      <c r="Q94" s="53">
        <v>-1</v>
      </c>
      <c r="R94" s="53" t="s">
        <v>440</v>
      </c>
      <c r="T94" s="53">
        <v>1</v>
      </c>
    </row>
    <row r="95" spans="1:20" ht="13.2" customHeight="1" x14ac:dyDescent="0.25">
      <c r="A95" s="53">
        <v>206</v>
      </c>
      <c r="B95" s="53" t="s">
        <v>39</v>
      </c>
      <c r="C95" s="53" t="s">
        <v>86</v>
      </c>
      <c r="D95" s="53" t="s">
        <v>191</v>
      </c>
      <c r="E95" s="57" t="s">
        <v>5</v>
      </c>
      <c r="F95" s="51"/>
      <c r="G95" s="107">
        <f>VLOOKUP($A95, Stat!$A$1:$C$501, 2,0)</f>
        <v>28</v>
      </c>
      <c r="H95" s="107">
        <f>VLOOKUP($A95, Stat!$A$1:$C$501, 3,0)</f>
        <v>0</v>
      </c>
      <c r="M95" s="51"/>
      <c r="N95" s="51"/>
      <c r="O95" s="51"/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341</v>
      </c>
      <c r="B96" s="53" t="s">
        <v>41</v>
      </c>
      <c r="C96" s="53" t="s">
        <v>208</v>
      </c>
      <c r="D96" s="53" t="s">
        <v>196</v>
      </c>
      <c r="E96" s="53" t="s">
        <v>498</v>
      </c>
      <c r="G96" s="107">
        <f>VLOOKUP($A96, Stat!$A$1:$C$501, 2,0)</f>
        <v>25</v>
      </c>
      <c r="H96" s="107">
        <f>VLOOKUP($A96, Stat!$A$1:$C$501, 3,0)</f>
        <v>0</v>
      </c>
      <c r="N96" s="49">
        <v>1</v>
      </c>
      <c r="P96" s="53">
        <v>0</v>
      </c>
      <c r="Q96" s="53">
        <v>0</v>
      </c>
      <c r="S96" s="53" t="s">
        <v>499</v>
      </c>
      <c r="T96" s="53">
        <v>1</v>
      </c>
    </row>
    <row r="97" spans="1:20" ht="13.2" customHeight="1" x14ac:dyDescent="0.25">
      <c r="A97" s="53">
        <v>350</v>
      </c>
      <c r="B97" s="53" t="s">
        <v>41</v>
      </c>
      <c r="C97" s="53" t="s">
        <v>60</v>
      </c>
      <c r="D97" s="53" t="s">
        <v>521</v>
      </c>
      <c r="E97" s="53" t="s">
        <v>522</v>
      </c>
      <c r="G97" s="107">
        <f>VLOOKUP($A97, Stat!$A$1:$C$501, 2,0)</f>
        <v>30</v>
      </c>
      <c r="H97" s="107">
        <f>VLOOKUP($A97, Stat!$A$1:$C$501, 3,0)</f>
        <v>0</v>
      </c>
      <c r="P97" s="53">
        <v>60</v>
      </c>
      <c r="Q97" s="53">
        <v>0</v>
      </c>
      <c r="S97" s="53" t="s">
        <v>525</v>
      </c>
      <c r="T97" s="53">
        <v>1</v>
      </c>
    </row>
    <row r="98" spans="1:20" ht="13.2" hidden="1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26</v>
      </c>
      <c r="B99" s="53" t="s">
        <v>39</v>
      </c>
      <c r="C99" s="53" t="s">
        <v>15</v>
      </c>
      <c r="D99" s="53" t="s">
        <v>56</v>
      </c>
      <c r="E99" s="57" t="s">
        <v>94</v>
      </c>
      <c r="F99" s="51"/>
      <c r="G99" s="107">
        <f>VLOOKUP($A99, Stat!$A$1:$C$501, 2,0)</f>
        <v>29</v>
      </c>
      <c r="H99" s="107">
        <f>VLOOKUP($A99, Stat!$A$1:$C$501, 3,0)</f>
        <v>0</v>
      </c>
      <c r="L99" s="49">
        <v>1</v>
      </c>
      <c r="M99" s="51"/>
      <c r="N99" s="51"/>
      <c r="O99" s="51"/>
      <c r="P99" s="53">
        <v>60</v>
      </c>
      <c r="Q99" s="53">
        <v>-1</v>
      </c>
      <c r="S99" s="53" t="s">
        <v>230</v>
      </c>
      <c r="T99" s="53">
        <v>1</v>
      </c>
    </row>
    <row r="100" spans="1:20" ht="13.2" customHeight="1" x14ac:dyDescent="0.25">
      <c r="A100" s="53">
        <v>118</v>
      </c>
      <c r="B100" s="53" t="s">
        <v>39</v>
      </c>
      <c r="C100" s="53" t="s">
        <v>86</v>
      </c>
      <c r="D100" s="53" t="s">
        <v>171</v>
      </c>
      <c r="E100" s="57" t="s">
        <v>5</v>
      </c>
      <c r="F100" s="51"/>
      <c r="G100" s="107">
        <f>VLOOKUP($A100, Stat!$A$1:$C$501, 2,0)</f>
        <v>29</v>
      </c>
      <c r="H100" s="107">
        <f>VLOOKUP($A100, Stat!$A$1:$C$501, 3,0)</f>
        <v>0</v>
      </c>
      <c r="I100" s="109"/>
      <c r="M100" s="50" t="s">
        <v>400</v>
      </c>
      <c r="N100" s="51"/>
      <c r="O100" s="51"/>
      <c r="P100" s="53">
        <v>60</v>
      </c>
      <c r="Q100" s="53">
        <v>-1</v>
      </c>
      <c r="R100" s="53" t="s">
        <v>172</v>
      </c>
      <c r="T100" s="53">
        <v>1</v>
      </c>
    </row>
    <row r="101" spans="1:20" ht="13.2" customHeight="1" x14ac:dyDescent="0.25">
      <c r="A101" s="53">
        <v>256</v>
      </c>
      <c r="B101" s="53" t="s">
        <v>41</v>
      </c>
      <c r="C101" s="53" t="s">
        <v>251</v>
      </c>
      <c r="D101" s="53" t="s">
        <v>252</v>
      </c>
      <c r="E101" s="53" t="s">
        <v>321</v>
      </c>
      <c r="G101" s="107">
        <f>VLOOKUP($A101, Stat!$A$1:$C$501, 2,0)</f>
        <v>29</v>
      </c>
      <c r="H101" s="107">
        <f>VLOOKUP($A101, Stat!$A$1:$C$501, 3,0)</f>
        <v>0</v>
      </c>
      <c r="I101" s="109"/>
      <c r="N101" s="49">
        <v>1</v>
      </c>
      <c r="P101" s="53">
        <v>0</v>
      </c>
      <c r="Q101" s="53">
        <v>1</v>
      </c>
      <c r="S101" s="53" t="s">
        <v>322</v>
      </c>
      <c r="T101" s="53">
        <v>1</v>
      </c>
    </row>
    <row r="102" spans="1:20" ht="13.2" customHeight="1" x14ac:dyDescent="0.25">
      <c r="A102" s="53">
        <v>345</v>
      </c>
      <c r="B102" s="53" t="s">
        <v>39</v>
      </c>
      <c r="C102" s="53" t="s">
        <v>15</v>
      </c>
      <c r="D102" s="53" t="s">
        <v>507</v>
      </c>
      <c r="E102" s="53" t="s">
        <v>509</v>
      </c>
      <c r="G102" s="107">
        <f>VLOOKUP($A102, Stat!$A$1:$C$501, 2,0)</f>
        <v>27</v>
      </c>
      <c r="H102" s="107">
        <f>VLOOKUP($A102, Stat!$A$1:$C$501, 3,0)</f>
        <v>0</v>
      </c>
      <c r="I102" s="110"/>
      <c r="P102" s="53">
        <v>0</v>
      </c>
      <c r="Q102" s="53">
        <v>0</v>
      </c>
      <c r="S102" s="53" t="s">
        <v>512</v>
      </c>
      <c r="T102" s="53">
        <v>1</v>
      </c>
    </row>
    <row r="103" spans="1:20" ht="13.2" customHeight="1" x14ac:dyDescent="0.25">
      <c r="A103" s="53">
        <v>25</v>
      </c>
      <c r="B103" s="53" t="s">
        <v>39</v>
      </c>
      <c r="C103" s="53" t="s">
        <v>7</v>
      </c>
      <c r="D103" s="53" t="s">
        <v>169</v>
      </c>
      <c r="E103" s="57" t="s">
        <v>413</v>
      </c>
      <c r="F103" s="51"/>
      <c r="G103" s="107">
        <f>VLOOKUP($A103, Stat!$A$1:$C$501, 2,0)</f>
        <v>22</v>
      </c>
      <c r="H103" s="107">
        <f>VLOOKUP($A103, Stat!$A$1:$C$501, 3,0)</f>
        <v>0</v>
      </c>
      <c r="I103" s="110"/>
      <c r="L103" s="49">
        <v>1</v>
      </c>
      <c r="M103" s="50" t="s">
        <v>420</v>
      </c>
      <c r="N103" s="51"/>
      <c r="O103" s="51"/>
      <c r="P103" s="53">
        <v>60</v>
      </c>
      <c r="Q103" s="53">
        <v>0</v>
      </c>
      <c r="S103" s="53" t="s">
        <v>229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I104" s="109"/>
      <c r="M104" s="51"/>
      <c r="N104" s="51"/>
      <c r="O104" s="51"/>
      <c r="P104" s="53">
        <v>10</v>
      </c>
      <c r="Q104" s="53">
        <v>-1</v>
      </c>
      <c r="T104" s="53">
        <v>1</v>
      </c>
    </row>
    <row r="105" spans="1:20" ht="13.2" customHeight="1" x14ac:dyDescent="0.25">
      <c r="A105" s="53">
        <v>54</v>
      </c>
      <c r="B105" s="53" t="s">
        <v>39</v>
      </c>
      <c r="C105" s="53" t="s">
        <v>87</v>
      </c>
      <c r="D105" s="53" t="s">
        <v>85</v>
      </c>
      <c r="E105" s="57" t="s">
        <v>4</v>
      </c>
      <c r="F105" s="51"/>
      <c r="G105" s="107">
        <f>VLOOKUP($A105, Stat!$A$1:$C$501, 2,0)</f>
        <v>20</v>
      </c>
      <c r="H105" s="107">
        <f>VLOOKUP($A105, Stat!$A$1:$C$501, 3,0)</f>
        <v>0</v>
      </c>
      <c r="I105" s="109"/>
      <c r="M105" s="51"/>
      <c r="N105" s="51"/>
      <c r="O105" s="51"/>
      <c r="P105" s="53">
        <v>10</v>
      </c>
      <c r="Q105" s="53">
        <v>-1</v>
      </c>
      <c r="T105" s="53">
        <v>1</v>
      </c>
    </row>
    <row r="106" spans="1:20" ht="13.2" customHeight="1" x14ac:dyDescent="0.25">
      <c r="A106" s="53">
        <v>56</v>
      </c>
      <c r="B106" s="53" t="s">
        <v>39</v>
      </c>
      <c r="C106" s="53" t="s">
        <v>87</v>
      </c>
      <c r="D106" s="53" t="s">
        <v>85</v>
      </c>
      <c r="E106" s="57" t="s">
        <v>51</v>
      </c>
      <c r="F106" s="51"/>
      <c r="G106" s="107">
        <f>VLOOKUP($A106, Stat!$A$1:$C$501, 2,0)</f>
        <v>22</v>
      </c>
      <c r="H106" s="107">
        <f>VLOOKUP($A106, Stat!$A$1:$C$501, 3,0)</f>
        <v>0</v>
      </c>
      <c r="I106" s="109"/>
      <c r="M106" s="51"/>
      <c r="N106" s="51"/>
      <c r="O106" s="51"/>
      <c r="P106" s="53">
        <v>60</v>
      </c>
      <c r="Q106" s="53">
        <v>-1</v>
      </c>
      <c r="T106" s="53">
        <v>1</v>
      </c>
    </row>
    <row r="107" spans="1:20" ht="13.2" customHeight="1" x14ac:dyDescent="0.25">
      <c r="A107" s="53">
        <v>72</v>
      </c>
      <c r="B107" s="53" t="s">
        <v>39</v>
      </c>
      <c r="C107" s="53" t="s">
        <v>15</v>
      </c>
      <c r="D107" s="53" t="s">
        <v>24</v>
      </c>
      <c r="E107" s="57" t="s">
        <v>383</v>
      </c>
      <c r="F107" s="51"/>
      <c r="G107" s="107">
        <f>VLOOKUP($A107, Stat!$A$1:$C$501, 2,0)</f>
        <v>22</v>
      </c>
      <c r="H107" s="107">
        <f>VLOOKUP($A107, Stat!$A$1:$C$501, 3,0)</f>
        <v>0</v>
      </c>
      <c r="I107" s="110"/>
      <c r="M107" s="51"/>
      <c r="N107" s="51"/>
      <c r="O107" s="51"/>
      <c r="P107" s="53">
        <v>60</v>
      </c>
      <c r="Q107" s="53">
        <v>0</v>
      </c>
      <c r="S107" s="53" t="s">
        <v>232</v>
      </c>
      <c r="T107" s="53">
        <v>1</v>
      </c>
    </row>
    <row r="108" spans="1:20" ht="13.2" hidden="1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hidden="1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73</v>
      </c>
      <c r="B110" s="53" t="s">
        <v>39</v>
      </c>
      <c r="C110" s="53" t="s">
        <v>15</v>
      </c>
      <c r="D110" s="53" t="s">
        <v>24</v>
      </c>
      <c r="E110" s="57" t="s">
        <v>384</v>
      </c>
      <c r="F110" s="51"/>
      <c r="G110" s="107">
        <f>VLOOKUP($A110, Stat!$A$1:$C$501, 2,0)</f>
        <v>22</v>
      </c>
      <c r="H110" s="107">
        <f>VLOOKUP($A110, Stat!$A$1:$C$501, 3,0)</f>
        <v>0</v>
      </c>
      <c r="I110" s="110"/>
      <c r="M110" s="51"/>
      <c r="N110" s="51"/>
      <c r="O110" s="51"/>
      <c r="P110" s="53">
        <v>60</v>
      </c>
      <c r="Q110" s="53">
        <v>0</v>
      </c>
      <c r="S110" s="53" t="s">
        <v>232</v>
      </c>
      <c r="T110" s="53">
        <v>1</v>
      </c>
    </row>
    <row r="111" spans="1:20" ht="13.2" customHeight="1" x14ac:dyDescent="0.25">
      <c r="A111" s="53">
        <v>39</v>
      </c>
      <c r="B111" s="53" t="s">
        <v>39</v>
      </c>
      <c r="C111" s="53" t="s">
        <v>15</v>
      </c>
      <c r="D111" s="53" t="s">
        <v>168</v>
      </c>
      <c r="E111" s="57" t="s">
        <v>376</v>
      </c>
      <c r="F111" s="51"/>
      <c r="G111" s="107">
        <f>VLOOKUP($A111, Stat!$A$1:$C$501, 2,0)</f>
        <v>21</v>
      </c>
      <c r="H111" s="107">
        <f>VLOOKUP($A111, Stat!$A$1:$C$501, 3,0)</f>
        <v>0</v>
      </c>
      <c r="I111" s="110"/>
      <c r="M111" s="51"/>
      <c r="N111" s="51"/>
      <c r="O111" s="51"/>
      <c r="P111" s="53">
        <v>60</v>
      </c>
      <c r="Q111" s="53">
        <v>0</v>
      </c>
      <c r="R111" s="53" t="s">
        <v>78</v>
      </c>
      <c r="T111" s="53">
        <v>1</v>
      </c>
    </row>
    <row r="112" spans="1:20" ht="13.2" customHeight="1" x14ac:dyDescent="0.25">
      <c r="A112" s="53">
        <v>95</v>
      </c>
      <c r="B112" s="53" t="s">
        <v>41</v>
      </c>
      <c r="C112" s="53" t="s">
        <v>64</v>
      </c>
      <c r="D112" s="53" t="s">
        <v>164</v>
      </c>
      <c r="E112" s="57" t="s">
        <v>52</v>
      </c>
      <c r="F112" s="51"/>
      <c r="G112" s="107">
        <f>VLOOKUP($A112, Stat!$A$1:$C$501, 2,0)</f>
        <v>20</v>
      </c>
      <c r="H112" s="107">
        <f>VLOOKUP($A112, Stat!$A$1:$C$501, 3,0)</f>
        <v>0</v>
      </c>
      <c r="I112" s="110"/>
      <c r="L112" s="49">
        <v>1</v>
      </c>
      <c r="M112" s="50" t="s">
        <v>277</v>
      </c>
      <c r="N112" s="51"/>
      <c r="O112" s="51"/>
      <c r="P112" s="53">
        <v>60</v>
      </c>
      <c r="Q112" s="53">
        <v>0</v>
      </c>
      <c r="R112" s="53" t="s">
        <v>137</v>
      </c>
      <c r="T112" s="53">
        <v>1</v>
      </c>
    </row>
    <row r="113" spans="1:20" ht="13.2" customHeight="1" x14ac:dyDescent="0.25">
      <c r="A113" s="53">
        <v>119</v>
      </c>
      <c r="B113" s="53" t="s">
        <v>39</v>
      </c>
      <c r="C113" s="53" t="s">
        <v>86</v>
      </c>
      <c r="D113" s="53" t="s">
        <v>171</v>
      </c>
      <c r="E113" s="57" t="s">
        <v>51</v>
      </c>
      <c r="F113" s="51"/>
      <c r="G113" s="107">
        <f>VLOOKUP($A113, Stat!$A$1:$C$501, 2,0)</f>
        <v>21</v>
      </c>
      <c r="H113" s="107">
        <f>VLOOKUP($A113, Stat!$A$1:$C$501, 3,0)</f>
        <v>0</v>
      </c>
      <c r="I113" s="110"/>
      <c r="M113" s="50" t="s">
        <v>401</v>
      </c>
      <c r="N113" s="51"/>
      <c r="O113" s="51"/>
      <c r="P113" s="53">
        <v>100</v>
      </c>
      <c r="Q113" s="53">
        <v>-1</v>
      </c>
      <c r="R113" s="53" t="s">
        <v>172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4</v>
      </c>
      <c r="B115" s="53" t="s">
        <v>39</v>
      </c>
      <c r="C115" s="53" t="s">
        <v>14</v>
      </c>
      <c r="D115" s="53" t="s">
        <v>386</v>
      </c>
      <c r="E115" s="57" t="s">
        <v>141</v>
      </c>
      <c r="F115" s="51"/>
      <c r="G115" s="107">
        <f>VLOOKUP($A115, Stat!$A$1:$C$501, 2,0)</f>
        <v>19</v>
      </c>
      <c r="H115" s="107">
        <f>VLOOKUP($A115, Stat!$A$1:$C$501, 3,0)</f>
        <v>0</v>
      </c>
      <c r="I115" s="110"/>
      <c r="J115" s="49">
        <v>1</v>
      </c>
      <c r="K115" s="49">
        <v>999</v>
      </c>
      <c r="M115" s="51"/>
      <c r="N115" s="51"/>
      <c r="O115" s="51"/>
      <c r="P115" s="53">
        <v>0</v>
      </c>
      <c r="Q115" s="53">
        <v>0</v>
      </c>
      <c r="S115" s="53" t="s">
        <v>467</v>
      </c>
      <c r="T115" s="53">
        <v>1</v>
      </c>
    </row>
    <row r="116" spans="1:20" ht="13.2" customHeight="1" x14ac:dyDescent="0.25">
      <c r="A116" s="53">
        <v>113</v>
      </c>
      <c r="B116" s="53" t="s">
        <v>39</v>
      </c>
      <c r="C116" s="53" t="s">
        <v>86</v>
      </c>
      <c r="D116" s="53" t="s">
        <v>2</v>
      </c>
      <c r="E116" s="57" t="s">
        <v>4</v>
      </c>
      <c r="F116" s="50"/>
      <c r="G116" s="107">
        <f>VLOOKUP($A116, Stat!$A$1:$C$501, 2,0)</f>
        <v>19</v>
      </c>
      <c r="H116" s="107">
        <f>VLOOKUP($A116, Stat!$A$1:$C$501, 3,0)</f>
        <v>0</v>
      </c>
      <c r="I116" s="109"/>
      <c r="M116" s="50" t="s">
        <v>399</v>
      </c>
      <c r="N116" s="51"/>
      <c r="O116" s="50"/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18</v>
      </c>
      <c r="B117" s="53" t="s">
        <v>39</v>
      </c>
      <c r="C117" s="53" t="s">
        <v>16</v>
      </c>
      <c r="D117" s="53" t="s">
        <v>502</v>
      </c>
      <c r="E117" s="57" t="s">
        <v>49</v>
      </c>
      <c r="F117" s="51"/>
      <c r="G117" s="107">
        <f>VLOOKUP($A117, Stat!$A$1:$C$501, 2,0)</f>
        <v>18</v>
      </c>
      <c r="H117" s="107">
        <f>VLOOKUP($A117, Stat!$A$1:$C$501, 3,0)</f>
        <v>0</v>
      </c>
      <c r="I117" s="108"/>
      <c r="M117" s="51"/>
      <c r="N117" s="51"/>
      <c r="O117" s="51"/>
      <c r="P117" s="53">
        <v>0</v>
      </c>
      <c r="Q117" s="53">
        <v>1</v>
      </c>
      <c r="R117" s="53" t="s">
        <v>504</v>
      </c>
      <c r="T117" s="53">
        <v>1</v>
      </c>
    </row>
    <row r="118" spans="1:20" ht="13.2" customHeight="1" x14ac:dyDescent="0.25">
      <c r="A118" s="53">
        <v>279</v>
      </c>
      <c r="B118" s="53" t="s">
        <v>41</v>
      </c>
      <c r="C118" s="53" t="s">
        <v>251</v>
      </c>
      <c r="D118" s="53" t="s">
        <v>252</v>
      </c>
      <c r="E118" s="53" t="s">
        <v>315</v>
      </c>
      <c r="G118" s="107">
        <f>VLOOKUP($A118, Stat!$A$1:$C$501, 2,0)</f>
        <v>18</v>
      </c>
      <c r="H118" s="107">
        <f>VLOOKUP($A118, Stat!$A$1:$C$501, 3,0)</f>
        <v>0</v>
      </c>
      <c r="I118" s="109"/>
      <c r="N118" s="49">
        <v>1</v>
      </c>
      <c r="P118" s="53">
        <v>40</v>
      </c>
      <c r="Q118" s="53">
        <v>1</v>
      </c>
      <c r="T118" s="53">
        <v>1</v>
      </c>
    </row>
    <row r="119" spans="1:20" ht="13.2" customHeight="1" x14ac:dyDescent="0.25">
      <c r="A119" s="53">
        <v>98</v>
      </c>
      <c r="B119" s="53" t="s">
        <v>39</v>
      </c>
      <c r="C119" s="53" t="s">
        <v>17</v>
      </c>
      <c r="D119" s="53" t="s">
        <v>158</v>
      </c>
      <c r="E119" s="57" t="s">
        <v>515</v>
      </c>
      <c r="F119" s="51"/>
      <c r="G119" s="107">
        <f>VLOOKUP($A119, Stat!$A$1:$C$501, 2,0)</f>
        <v>17</v>
      </c>
      <c r="H119" s="107">
        <f>VLOOKUP($A119, Stat!$A$1:$C$501, 3,0)</f>
        <v>0</v>
      </c>
      <c r="I119" s="110"/>
      <c r="J119" s="49">
        <v>1</v>
      </c>
      <c r="M119" s="51"/>
      <c r="N119" s="51"/>
      <c r="O119" s="51"/>
      <c r="P119" s="53">
        <v>0</v>
      </c>
      <c r="Q119" s="53">
        <v>0</v>
      </c>
      <c r="S119" s="53" t="s">
        <v>234</v>
      </c>
      <c r="T119" s="53">
        <v>1</v>
      </c>
    </row>
    <row r="120" spans="1:20" ht="13.2" customHeight="1" x14ac:dyDescent="0.25">
      <c r="A120" s="53">
        <v>207</v>
      </c>
      <c r="B120" s="53" t="s">
        <v>39</v>
      </c>
      <c r="C120" s="53" t="s">
        <v>86</v>
      </c>
      <c r="D120" s="53" t="s">
        <v>191</v>
      </c>
      <c r="E120" s="57" t="s">
        <v>51</v>
      </c>
      <c r="F120" s="51"/>
      <c r="G120" s="107">
        <f>VLOOKUP($A120, Stat!$A$1:$C$501, 2,0)</f>
        <v>17</v>
      </c>
      <c r="H120" s="107">
        <f>VLOOKUP($A120, Stat!$A$1:$C$501, 3,0)</f>
        <v>0</v>
      </c>
      <c r="I120" s="109"/>
      <c r="M120" s="51"/>
      <c r="N120" s="51"/>
      <c r="O120" s="51"/>
      <c r="P120" s="53">
        <v>100</v>
      </c>
      <c r="Q120" s="53">
        <v>-1</v>
      </c>
      <c r="T120" s="53">
        <v>1</v>
      </c>
    </row>
    <row r="121" spans="1:20" ht="13.2" customHeight="1" x14ac:dyDescent="0.25">
      <c r="A121" s="53">
        <v>344</v>
      </c>
      <c r="B121" s="53" t="s">
        <v>39</v>
      </c>
      <c r="C121" s="53" t="s">
        <v>15</v>
      </c>
      <c r="D121" s="53" t="s">
        <v>507</v>
      </c>
      <c r="E121" s="53" t="s">
        <v>508</v>
      </c>
      <c r="G121" s="107">
        <f>VLOOKUP($A121, Stat!$A$1:$C$501, 2,0)</f>
        <v>17</v>
      </c>
      <c r="H121" s="107">
        <f>VLOOKUP($A121, Stat!$A$1:$C$501, 3,0)</f>
        <v>0</v>
      </c>
      <c r="I121" s="110"/>
      <c r="P121" s="53">
        <v>0</v>
      </c>
      <c r="Q121" s="53">
        <v>0</v>
      </c>
      <c r="S121" s="53" t="s">
        <v>512</v>
      </c>
      <c r="T121" s="53">
        <v>1</v>
      </c>
    </row>
    <row r="122" spans="1:20" ht="13.2" customHeight="1" x14ac:dyDescent="0.25">
      <c r="A122" s="53">
        <v>205</v>
      </c>
      <c r="B122" s="53" t="s">
        <v>39</v>
      </c>
      <c r="C122" s="53" t="s">
        <v>86</v>
      </c>
      <c r="D122" s="53" t="s">
        <v>191</v>
      </c>
      <c r="E122" s="57" t="s">
        <v>4</v>
      </c>
      <c r="F122" s="51"/>
      <c r="G122" s="107">
        <f>VLOOKUP($A122, Stat!$A$1:$C$501, 2,0)</f>
        <v>14</v>
      </c>
      <c r="H122" s="107">
        <f>VLOOKUP($A122, Stat!$A$1:$C$501, 3,0)</f>
        <v>0</v>
      </c>
      <c r="I122" s="109"/>
      <c r="M122" s="51"/>
      <c r="N122" s="51"/>
      <c r="O122" s="51"/>
      <c r="P122" s="53">
        <v>0</v>
      </c>
      <c r="Q122" s="53">
        <v>-1</v>
      </c>
      <c r="T122" s="53">
        <v>1</v>
      </c>
    </row>
    <row r="123" spans="1:20" ht="13.2" hidden="1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hidden="1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hidden="1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hidden="1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114</v>
      </c>
      <c r="B127" s="53" t="s">
        <v>39</v>
      </c>
      <c r="C127" s="53" t="s">
        <v>86</v>
      </c>
      <c r="D127" s="53" t="s">
        <v>2</v>
      </c>
      <c r="E127" s="57" t="s">
        <v>5</v>
      </c>
      <c r="F127" s="50"/>
      <c r="G127" s="107">
        <f>VLOOKUP($A127, Stat!$A$1:$C$501, 2,0)</f>
        <v>15</v>
      </c>
      <c r="H127" s="107">
        <f>VLOOKUP($A127, Stat!$A$1:$C$501, 3,0)</f>
        <v>0</v>
      </c>
      <c r="I127" s="109"/>
      <c r="M127" s="50" t="s">
        <v>400</v>
      </c>
      <c r="N127" s="51"/>
      <c r="O127" s="50"/>
      <c r="P127" s="53">
        <v>60</v>
      </c>
      <c r="Q127" s="53">
        <v>0</v>
      </c>
      <c r="T127" s="53">
        <v>1</v>
      </c>
    </row>
    <row r="128" spans="1:20" ht="13.2" hidden="1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hidden="1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hidden="1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261</v>
      </c>
      <c r="B131" s="53" t="s">
        <v>41</v>
      </c>
      <c r="C131" s="53" t="s">
        <v>251</v>
      </c>
      <c r="D131" s="53" t="s">
        <v>252</v>
      </c>
      <c r="E131" s="57" t="s">
        <v>255</v>
      </c>
      <c r="F131" s="51"/>
      <c r="G131" s="107">
        <f>VLOOKUP($A131, Stat!$A$1:$C$501, 2,0)</f>
        <v>15</v>
      </c>
      <c r="H131" s="107">
        <f>VLOOKUP($A131, Stat!$A$1:$C$501, 3,0)</f>
        <v>0</v>
      </c>
      <c r="I131" s="109"/>
      <c r="M131" s="51"/>
      <c r="N131" s="50" t="s">
        <v>272</v>
      </c>
      <c r="O131" s="51"/>
      <c r="P131" s="53">
        <v>40</v>
      </c>
      <c r="Q131" s="53">
        <v>1</v>
      </c>
      <c r="T131" s="53">
        <v>1</v>
      </c>
    </row>
    <row r="132" spans="1:20" ht="13.2" hidden="1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hidden="1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hidden="1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hidden="1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hidden="1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hidden="1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hidden="1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hidden="1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hidden="1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hidden="1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hidden="1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45</v>
      </c>
      <c r="B143" s="53" t="s">
        <v>39</v>
      </c>
      <c r="C143" s="53" t="s">
        <v>87</v>
      </c>
      <c r="D143" s="53" t="s">
        <v>99</v>
      </c>
      <c r="E143" s="57" t="s">
        <v>51</v>
      </c>
      <c r="F143" s="51"/>
      <c r="G143" s="107">
        <f>VLOOKUP($A143, Stat!$A$1:$C$501, 2,0)</f>
        <v>13</v>
      </c>
      <c r="H143" s="107">
        <f>VLOOKUP($A143, Stat!$A$1:$C$501, 3,0)</f>
        <v>0</v>
      </c>
      <c r="I143" s="109"/>
      <c r="K143" s="49">
        <v>999</v>
      </c>
      <c r="M143" s="51"/>
      <c r="N143" s="51"/>
      <c r="O143" s="51"/>
      <c r="P143" s="53">
        <v>60</v>
      </c>
      <c r="Q143" s="53">
        <v>-1</v>
      </c>
      <c r="R143" s="53" t="s">
        <v>88</v>
      </c>
      <c r="T143" s="53">
        <v>1</v>
      </c>
    </row>
    <row r="144" spans="1:20" ht="13.2" customHeight="1" x14ac:dyDescent="0.25">
      <c r="A144" s="53">
        <v>96</v>
      </c>
      <c r="B144" s="53" t="s">
        <v>41</v>
      </c>
      <c r="C144" s="53" t="s">
        <v>64</v>
      </c>
      <c r="D144" s="53" t="s">
        <v>79</v>
      </c>
      <c r="E144" s="57" t="s">
        <v>53</v>
      </c>
      <c r="F144" s="51"/>
      <c r="G144" s="107">
        <f>VLOOKUP($A144, Stat!$A$1:$C$501, 2,0)</f>
        <v>14</v>
      </c>
      <c r="H144" s="107">
        <f>VLOOKUP($A144, Stat!$A$1:$C$501, 3,0)</f>
        <v>0</v>
      </c>
      <c r="I144" s="110"/>
      <c r="M144" s="51"/>
      <c r="N144" s="51"/>
      <c r="O144" s="51"/>
      <c r="P144" s="53">
        <v>0</v>
      </c>
      <c r="Q144" s="53">
        <v>0</v>
      </c>
      <c r="R144" s="53" t="s">
        <v>80</v>
      </c>
      <c r="T144" s="53">
        <v>1</v>
      </c>
    </row>
    <row r="145" spans="1:20" ht="13.2" customHeight="1" x14ac:dyDescent="0.25">
      <c r="A145" s="53">
        <v>189</v>
      </c>
      <c r="B145" s="53" t="s">
        <v>41</v>
      </c>
      <c r="C145" s="53" t="s">
        <v>64</v>
      </c>
      <c r="D145" s="53" t="s">
        <v>140</v>
      </c>
      <c r="E145" s="57" t="s">
        <v>314</v>
      </c>
      <c r="F145" s="51"/>
      <c r="G145" s="107">
        <f>VLOOKUP($A145, Stat!$A$1:$C$501, 2,0)</f>
        <v>14</v>
      </c>
      <c r="H145" s="107">
        <f>VLOOKUP($A145, Stat!$A$1:$C$501, 3,0)</f>
        <v>0</v>
      </c>
      <c r="I145" s="110"/>
      <c r="L145" s="49">
        <v>1</v>
      </c>
      <c r="M145" s="50" t="s">
        <v>276</v>
      </c>
      <c r="N145" s="51"/>
      <c r="O145" s="51"/>
      <c r="P145" s="53">
        <v>40</v>
      </c>
      <c r="Q145" s="53">
        <v>1</v>
      </c>
      <c r="R145" s="53" t="s">
        <v>138</v>
      </c>
      <c r="T145" s="53">
        <v>1</v>
      </c>
    </row>
    <row r="146" spans="1:20" ht="13.2" customHeight="1" x14ac:dyDescent="0.25">
      <c r="A146" s="53">
        <v>312</v>
      </c>
      <c r="B146" s="53" t="s">
        <v>39</v>
      </c>
      <c r="C146" s="53" t="s">
        <v>7</v>
      </c>
      <c r="D146" s="53" t="s">
        <v>169</v>
      </c>
      <c r="E146" s="53" t="s">
        <v>369</v>
      </c>
      <c r="G146" s="107">
        <f>VLOOKUP($A146, Stat!$A$1:$C$501, 2,0)</f>
        <v>11</v>
      </c>
      <c r="H146" s="107">
        <f>VLOOKUP($A146, Stat!$A$1:$C$501, 3,0)</f>
        <v>0</v>
      </c>
      <c r="I146" s="110"/>
      <c r="L146" s="49">
        <v>1</v>
      </c>
      <c r="P146" s="53">
        <v>0</v>
      </c>
      <c r="Q146" s="53">
        <v>0</v>
      </c>
      <c r="S146" s="53" t="s">
        <v>416</v>
      </c>
      <c r="T146" s="53">
        <v>1</v>
      </c>
    </row>
    <row r="147" spans="1:20" ht="13.2" hidden="1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hidden="1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hidden="1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hidden="1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hidden="1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hidden="1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hidden="1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hidden="1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hidden="1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hidden="1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hidden="1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hidden="1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hidden="1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hidden="1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hidden="1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hidden="1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hidden="1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hidden="1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hidden="1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hidden="1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hidden="1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hidden="1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hidden="1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hidden="1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hidden="1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hidden="1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hidden="1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hidden="1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hidden="1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hidden="1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hidden="1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hidden="1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hidden="1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hidden="1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hidden="1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hidden="1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hidden="1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hidden="1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hidden="1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hidden="1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hidden="1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310</v>
      </c>
      <c r="B188" s="53" t="s">
        <v>41</v>
      </c>
      <c r="C188" s="53" t="s">
        <v>18</v>
      </c>
      <c r="D188" s="53" t="s">
        <v>407</v>
      </c>
      <c r="E188" s="53" t="s">
        <v>447</v>
      </c>
      <c r="F188" s="49">
        <v>1</v>
      </c>
      <c r="G188" s="107">
        <f>VLOOKUP($A188, Stat!$A$1:$C$501, 2,0)</f>
        <v>13</v>
      </c>
      <c r="H188" s="107">
        <f>VLOOKUP($A188, Stat!$A$1:$C$501, 3,0)</f>
        <v>0</v>
      </c>
      <c r="I188" s="110"/>
      <c r="P188" s="53">
        <v>20</v>
      </c>
      <c r="Q188" s="53">
        <v>0</v>
      </c>
      <c r="S188" s="53" t="s">
        <v>408</v>
      </c>
      <c r="T188" s="53">
        <v>1</v>
      </c>
    </row>
    <row r="189" spans="1:20" ht="13.2" customHeight="1" x14ac:dyDescent="0.25">
      <c r="A189" s="53">
        <v>122</v>
      </c>
      <c r="B189" s="53" t="s">
        <v>39</v>
      </c>
      <c r="C189" s="53" t="s">
        <v>87</v>
      </c>
      <c r="D189" s="53" t="s">
        <v>98</v>
      </c>
      <c r="E189" s="57" t="s">
        <v>5</v>
      </c>
      <c r="F189" s="51"/>
      <c r="G189" s="107">
        <f>VLOOKUP($A189, Stat!$A$1:$C$501, 2,0)</f>
        <v>11</v>
      </c>
      <c r="H189" s="107">
        <f>VLOOKUP($A189, Stat!$A$1:$C$501, 3,0)</f>
        <v>0</v>
      </c>
      <c r="I189" s="109"/>
      <c r="K189" s="49">
        <v>999</v>
      </c>
      <c r="M189" s="50"/>
      <c r="N189" s="51"/>
      <c r="O189" s="51"/>
      <c r="P189" s="53">
        <v>60</v>
      </c>
      <c r="Q189" s="53">
        <v>-1</v>
      </c>
      <c r="T189" s="53">
        <v>1</v>
      </c>
    </row>
    <row r="190" spans="1:20" ht="13.2" customHeight="1" x14ac:dyDescent="0.25">
      <c r="A190" s="53">
        <v>302</v>
      </c>
      <c r="B190" s="53" t="s">
        <v>39</v>
      </c>
      <c r="C190" s="53" t="s">
        <v>14</v>
      </c>
      <c r="D190" s="53" t="s">
        <v>409</v>
      </c>
      <c r="E190" s="53" t="s">
        <v>387</v>
      </c>
      <c r="G190" s="107">
        <f>VLOOKUP($A190, Stat!$A$1:$C$501, 2,0)</f>
        <v>12</v>
      </c>
      <c r="H190" s="107">
        <f>VLOOKUP($A190, Stat!$A$1:$C$501, 3,0)</f>
        <v>0</v>
      </c>
      <c r="I190" s="110"/>
      <c r="P190" s="53">
        <v>60</v>
      </c>
      <c r="Q190" s="53">
        <v>0</v>
      </c>
      <c r="S190" s="53" t="s">
        <v>366</v>
      </c>
      <c r="T190" s="53">
        <v>1</v>
      </c>
    </row>
    <row r="191" spans="1:20" ht="13.2" customHeight="1" x14ac:dyDescent="0.25">
      <c r="A191" s="53">
        <v>3</v>
      </c>
      <c r="B191" s="53" t="s">
        <v>39</v>
      </c>
      <c r="C191" s="53" t="s">
        <v>7</v>
      </c>
      <c r="D191" s="53" t="s">
        <v>169</v>
      </c>
      <c r="E191" s="57" t="s">
        <v>411</v>
      </c>
      <c r="F191" s="51"/>
      <c r="G191" s="107">
        <f>VLOOKUP($A191, Stat!$A$1:$C$501, 2,0)</f>
        <v>7</v>
      </c>
      <c r="H191" s="107">
        <f>VLOOKUP($A191, Stat!$A$1:$C$501, 3,0)</f>
        <v>0</v>
      </c>
      <c r="I191" s="110"/>
      <c r="L191" s="49">
        <v>1</v>
      </c>
      <c r="M191" s="50" t="s">
        <v>419</v>
      </c>
      <c r="N191" s="51"/>
      <c r="O191" s="51"/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28</v>
      </c>
      <c r="B192" s="53" t="s">
        <v>39</v>
      </c>
      <c r="C192" s="53" t="s">
        <v>7</v>
      </c>
      <c r="D192" s="53" t="s">
        <v>11</v>
      </c>
      <c r="E192" s="57" t="s">
        <v>13</v>
      </c>
      <c r="F192" s="51"/>
      <c r="G192" s="107">
        <f>VLOOKUP($A192, Stat!$A$1:$C$501, 2,0)</f>
        <v>10</v>
      </c>
      <c r="H192" s="107">
        <f>VLOOKUP($A192, Stat!$A$1:$C$501, 3,0)</f>
        <v>0</v>
      </c>
      <c r="I192" s="49">
        <v>1</v>
      </c>
      <c r="M192" s="51"/>
      <c r="N192" s="51"/>
      <c r="O192" s="51"/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147</v>
      </c>
      <c r="B193" s="53" t="s">
        <v>39</v>
      </c>
      <c r="C193" s="53" t="s">
        <v>87</v>
      </c>
      <c r="D193" s="53" t="s">
        <v>397</v>
      </c>
      <c r="E193" s="57" t="s">
        <v>51</v>
      </c>
      <c r="F193" s="51"/>
      <c r="G193" s="107">
        <f>VLOOKUP($A193, Stat!$A$1:$C$501, 2,0)</f>
        <v>10</v>
      </c>
      <c r="H193" s="107">
        <f>VLOOKUP($A193, Stat!$A$1:$C$501, 3,0)</f>
        <v>0</v>
      </c>
      <c r="I193" s="110"/>
      <c r="M193" s="51"/>
      <c r="N193" s="51"/>
      <c r="O193" s="51"/>
      <c r="P193" s="53">
        <v>100</v>
      </c>
      <c r="Q193" s="53">
        <v>-1</v>
      </c>
      <c r="R193" s="53" t="s">
        <v>440</v>
      </c>
      <c r="T193" s="53">
        <v>1</v>
      </c>
    </row>
    <row r="194" spans="1:20" ht="13.2" customHeight="1" x14ac:dyDescent="0.25">
      <c r="A194" s="53">
        <v>265</v>
      </c>
      <c r="B194" s="53" t="s">
        <v>41</v>
      </c>
      <c r="C194" s="53" t="s">
        <v>251</v>
      </c>
      <c r="D194" s="53" t="s">
        <v>252</v>
      </c>
      <c r="E194" s="57" t="s">
        <v>258</v>
      </c>
      <c r="F194" s="51"/>
      <c r="G194" s="107">
        <f>VLOOKUP($A194, Stat!$A$1:$C$501, 2,0)</f>
        <v>11</v>
      </c>
      <c r="H194" s="107">
        <f>VLOOKUP($A194, Stat!$A$1:$C$501, 3,0)</f>
        <v>0</v>
      </c>
      <c r="I194" s="109"/>
      <c r="M194" s="51"/>
      <c r="N194" s="50" t="s">
        <v>272</v>
      </c>
      <c r="O194" s="51"/>
      <c r="P194" s="53">
        <v>40</v>
      </c>
      <c r="Q194" s="53">
        <v>1</v>
      </c>
      <c r="S194" s="53" t="s">
        <v>318</v>
      </c>
      <c r="T194" s="53">
        <v>1</v>
      </c>
    </row>
    <row r="195" spans="1:20" ht="13.2" customHeight="1" x14ac:dyDescent="0.25">
      <c r="A195" s="53">
        <v>314</v>
      </c>
      <c r="B195" s="53" t="s">
        <v>39</v>
      </c>
      <c r="C195" s="53" t="s">
        <v>7</v>
      </c>
      <c r="D195" s="53" t="s">
        <v>170</v>
      </c>
      <c r="E195" s="53" t="s">
        <v>370</v>
      </c>
      <c r="G195" s="107">
        <f>VLOOKUP($A195, Stat!$A$1:$C$501, 2,0)</f>
        <v>11</v>
      </c>
      <c r="H195" s="107">
        <f>VLOOKUP($A195, Stat!$A$1:$C$501, 3,0)</f>
        <v>0</v>
      </c>
      <c r="I195" s="110"/>
      <c r="L195" s="49">
        <v>1</v>
      </c>
      <c r="P195" s="53">
        <v>0</v>
      </c>
      <c r="Q195" s="53">
        <v>0</v>
      </c>
      <c r="S195" s="53" t="s">
        <v>416</v>
      </c>
      <c r="T195" s="53">
        <v>1</v>
      </c>
    </row>
    <row r="196" spans="1:20" ht="13.2" hidden="1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203</v>
      </c>
      <c r="B197" s="53" t="s">
        <v>39</v>
      </c>
      <c r="C197" s="53" t="s">
        <v>7</v>
      </c>
      <c r="D197" s="53" t="s">
        <v>170</v>
      </c>
      <c r="E197" s="57" t="s">
        <v>414</v>
      </c>
      <c r="F197" s="51"/>
      <c r="G197" s="107">
        <f>VLOOKUP($A197, Stat!$A$1:$C$501, 2,0)</f>
        <v>8</v>
      </c>
      <c r="H197" s="107">
        <f>VLOOKUP($A197, Stat!$A$1:$C$501, 3,0)</f>
        <v>0</v>
      </c>
      <c r="I197" s="110"/>
      <c r="L197" s="49">
        <v>1</v>
      </c>
      <c r="M197" s="50" t="s">
        <v>418</v>
      </c>
      <c r="N197" s="51"/>
      <c r="O197" s="51"/>
      <c r="P197" s="53">
        <v>60</v>
      </c>
      <c r="Q197" s="53">
        <v>0</v>
      </c>
      <c r="S197" s="53" t="s">
        <v>229</v>
      </c>
      <c r="T197" s="53">
        <v>1</v>
      </c>
    </row>
    <row r="198" spans="1:20" ht="13.2" hidden="1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hidden="1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hidden="1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196</v>
      </c>
      <c r="B201" s="53" t="s">
        <v>39</v>
      </c>
      <c r="C201" s="53" t="s">
        <v>15</v>
      </c>
      <c r="D201" s="53" t="s">
        <v>148</v>
      </c>
      <c r="E201" s="57" t="s">
        <v>373</v>
      </c>
      <c r="F201" s="51"/>
      <c r="G201" s="107">
        <f>VLOOKUP($A201, Stat!$A$1:$C$501, 2,0)</f>
        <v>7</v>
      </c>
      <c r="H201" s="107">
        <f>VLOOKUP($A201, Stat!$A$1:$C$501, 3,0)</f>
        <v>0</v>
      </c>
      <c r="I201" s="110"/>
      <c r="M201" s="51"/>
      <c r="N201" s="51"/>
      <c r="O201" s="51"/>
      <c r="P201" s="53">
        <v>20</v>
      </c>
      <c r="Q201" s="53">
        <v>0</v>
      </c>
      <c r="S201" s="53" t="s">
        <v>448</v>
      </c>
      <c r="T201" s="53">
        <v>1</v>
      </c>
    </row>
    <row r="202" spans="1:20" ht="13.2" customHeight="1" x14ac:dyDescent="0.25">
      <c r="A202" s="53">
        <v>198</v>
      </c>
      <c r="B202" s="53" t="s">
        <v>39</v>
      </c>
      <c r="C202" s="53" t="s">
        <v>17</v>
      </c>
      <c r="D202" s="53" t="s">
        <v>158</v>
      </c>
      <c r="E202" s="57" t="s">
        <v>389</v>
      </c>
      <c r="F202" s="51"/>
      <c r="G202" s="107">
        <f>VLOOKUP($A202, Stat!$A$1:$C$501, 2,0)</f>
        <v>7</v>
      </c>
      <c r="H202" s="107">
        <f>VLOOKUP($A202, Stat!$A$1:$C$501, 3,0)</f>
        <v>0</v>
      </c>
      <c r="I202" s="110"/>
      <c r="J202" s="49">
        <v>1</v>
      </c>
      <c r="M202" s="51"/>
      <c r="N202" s="51"/>
      <c r="O202" s="51"/>
      <c r="P202" s="53">
        <v>0</v>
      </c>
      <c r="Q202" s="53">
        <v>0</v>
      </c>
      <c r="S202" s="53" t="s">
        <v>234</v>
      </c>
      <c r="T202" s="53">
        <v>1</v>
      </c>
    </row>
    <row r="203" spans="1:20" ht="13.2" customHeight="1" x14ac:dyDescent="0.25">
      <c r="A203" s="53">
        <v>257</v>
      </c>
      <c r="B203" s="53" t="s">
        <v>41</v>
      </c>
      <c r="C203" s="53" t="s">
        <v>251</v>
      </c>
      <c r="D203" s="53" t="s">
        <v>252</v>
      </c>
      <c r="E203" s="57" t="s">
        <v>253</v>
      </c>
      <c r="F203" s="51"/>
      <c r="G203" s="107">
        <f>VLOOKUP($A203, Stat!$A$1:$C$501, 2,0)</f>
        <v>7</v>
      </c>
      <c r="H203" s="107">
        <f>VLOOKUP($A203, Stat!$A$1:$C$501, 3,0)</f>
        <v>0</v>
      </c>
      <c r="I203" s="109"/>
      <c r="M203" s="51"/>
      <c r="N203" s="50" t="s">
        <v>272</v>
      </c>
      <c r="O203" s="51"/>
      <c r="P203" s="53">
        <v>60</v>
      </c>
      <c r="Q203" s="53">
        <v>1</v>
      </c>
      <c r="S203" s="53" t="s">
        <v>320</v>
      </c>
      <c r="T203" s="53">
        <v>1</v>
      </c>
    </row>
    <row r="204" spans="1:20" ht="13.2" customHeight="1" x14ac:dyDescent="0.25">
      <c r="A204" s="53">
        <v>259</v>
      </c>
      <c r="B204" s="53" t="s">
        <v>41</v>
      </c>
      <c r="C204" s="53" t="s">
        <v>251</v>
      </c>
      <c r="D204" s="53" t="s">
        <v>252</v>
      </c>
      <c r="E204" s="57" t="s">
        <v>254</v>
      </c>
      <c r="F204" s="51"/>
      <c r="G204" s="107">
        <f>VLOOKUP($A204, Stat!$A$1:$C$501, 2,0)</f>
        <v>7</v>
      </c>
      <c r="H204" s="107">
        <f>VLOOKUP($A204, Stat!$A$1:$C$501, 3,0)</f>
        <v>0</v>
      </c>
      <c r="I204" s="109"/>
      <c r="M204" s="51"/>
      <c r="N204" s="50" t="s">
        <v>272</v>
      </c>
      <c r="O204" s="51"/>
      <c r="P204" s="53">
        <v>60</v>
      </c>
      <c r="Q204" s="53">
        <v>0</v>
      </c>
      <c r="T204" s="53">
        <v>1</v>
      </c>
    </row>
    <row r="205" spans="1:20" ht="13.2" customHeight="1" x14ac:dyDescent="0.25">
      <c r="A205" s="53">
        <v>202</v>
      </c>
      <c r="B205" s="53" t="s">
        <v>39</v>
      </c>
      <c r="C205" s="53" t="s">
        <v>7</v>
      </c>
      <c r="D205" s="53" t="s">
        <v>170</v>
      </c>
      <c r="E205" s="57" t="s">
        <v>412</v>
      </c>
      <c r="F205" s="51"/>
      <c r="G205" s="107">
        <f>VLOOKUP($A205, Stat!$A$1:$C$501, 2,0)</f>
        <v>5</v>
      </c>
      <c r="H205" s="107">
        <f>VLOOKUP($A205, Stat!$A$1:$C$501, 3,0)</f>
        <v>0</v>
      </c>
      <c r="I205" s="110"/>
      <c r="L205" s="49">
        <v>1</v>
      </c>
      <c r="M205" s="50" t="s">
        <v>417</v>
      </c>
      <c r="N205" s="51"/>
      <c r="O205" s="51"/>
      <c r="P205" s="53">
        <v>60</v>
      </c>
      <c r="Q205" s="53">
        <v>0</v>
      </c>
      <c r="T205" s="53">
        <v>1</v>
      </c>
    </row>
    <row r="206" spans="1:20" ht="13.2" customHeight="1" x14ac:dyDescent="0.25">
      <c r="A206" s="53">
        <v>297</v>
      </c>
      <c r="B206" s="53" t="s">
        <v>41</v>
      </c>
      <c r="C206" s="53" t="s">
        <v>251</v>
      </c>
      <c r="D206" s="53" t="s">
        <v>332</v>
      </c>
      <c r="E206" s="53" t="s">
        <v>355</v>
      </c>
      <c r="G206" s="107">
        <f>VLOOKUP($A206, Stat!$A$1:$C$501, 2,0)</f>
        <v>6</v>
      </c>
      <c r="H206" s="107">
        <f>VLOOKUP($A206, Stat!$A$1:$C$501, 3,0)</f>
        <v>0</v>
      </c>
      <c r="I206" s="109"/>
      <c r="N206" s="49">
        <v>1</v>
      </c>
      <c r="P206" s="53">
        <v>40</v>
      </c>
      <c r="Q206" s="53">
        <v>0</v>
      </c>
      <c r="R206" s="53" t="s">
        <v>371</v>
      </c>
      <c r="S206" s="53" t="s">
        <v>357</v>
      </c>
      <c r="T206" s="53">
        <v>1</v>
      </c>
    </row>
    <row r="207" spans="1:20" ht="13.2" hidden="1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hidden="1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hidden="1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hidden="1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hidden="1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hidden="1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hidden="1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hidden="1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hidden="1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516</v>
      </c>
      <c r="T215" s="53">
        <v>1</v>
      </c>
    </row>
    <row r="216" spans="1:20" ht="13.2" hidden="1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517</v>
      </c>
      <c r="T216" s="53">
        <v>1</v>
      </c>
    </row>
    <row r="217" spans="1:20" ht="13.2" hidden="1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hidden="1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hidden="1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hidden="1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hidden="1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hidden="1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hidden="1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hidden="1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hidden="1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hidden="1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hidden="1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hidden="1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hidden="1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hidden="1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hidden="1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hidden="1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hidden="1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hidden="1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hidden="1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hidden="1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hidden="1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hidden="1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hidden="1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hidden="1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hidden="1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hidden="1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hidden="1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hidden="1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hidden="1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506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hidden="1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hidden="1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456</v>
      </c>
      <c r="T247" s="53">
        <v>1</v>
      </c>
    </row>
    <row r="248" spans="1:20" ht="13.2" hidden="1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456</v>
      </c>
      <c r="T248" s="53">
        <v>1</v>
      </c>
    </row>
    <row r="249" spans="1:20" ht="13.2" hidden="1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hidden="1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hidden="1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hidden="1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hidden="1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hidden="1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300</v>
      </c>
      <c r="B255" s="53" t="s">
        <v>39</v>
      </c>
      <c r="C255" s="53" t="s">
        <v>17</v>
      </c>
      <c r="D255" s="53" t="s">
        <v>158</v>
      </c>
      <c r="E255" s="53" t="s">
        <v>378</v>
      </c>
      <c r="G255" s="107">
        <f>VLOOKUP($A255, Stat!$A$1:$C$501, 2,0)</f>
        <v>6</v>
      </c>
      <c r="H255" s="107">
        <f>VLOOKUP($A255, Stat!$A$1:$C$501, 3,0)</f>
        <v>0</v>
      </c>
      <c r="I255" s="110"/>
      <c r="P255" s="53">
        <v>0</v>
      </c>
      <c r="Q255" s="53">
        <v>0</v>
      </c>
      <c r="S255" s="53" t="s">
        <v>234</v>
      </c>
      <c r="T255" s="53">
        <v>1</v>
      </c>
    </row>
    <row r="256" spans="1:20" x14ac:dyDescent="0.25">
      <c r="A256" s="53">
        <v>303</v>
      </c>
      <c r="B256" s="53" t="s">
        <v>39</v>
      </c>
      <c r="C256" s="53" t="s">
        <v>14</v>
      </c>
      <c r="D256" s="53" t="s">
        <v>409</v>
      </c>
      <c r="E256" s="53" t="s">
        <v>391</v>
      </c>
      <c r="G256" s="107">
        <f>VLOOKUP($A256, Stat!$A$1:$C$501, 2,0)</f>
        <v>6</v>
      </c>
      <c r="H256" s="107">
        <f>VLOOKUP($A256, Stat!$A$1:$C$501, 3,0)</f>
        <v>0</v>
      </c>
      <c r="I256" s="110"/>
      <c r="P256" s="53">
        <v>60</v>
      </c>
      <c r="Q256" s="53">
        <v>0</v>
      </c>
      <c r="S256" s="53" t="s">
        <v>367</v>
      </c>
      <c r="T256" s="53">
        <v>1</v>
      </c>
    </row>
    <row r="257" spans="1:20" x14ac:dyDescent="0.25">
      <c r="A257" s="53">
        <v>351</v>
      </c>
      <c r="B257" s="53" t="s">
        <v>39</v>
      </c>
      <c r="C257" s="53" t="s">
        <v>17</v>
      </c>
      <c r="D257" s="53" t="s">
        <v>526</v>
      </c>
      <c r="E257" s="53" t="s">
        <v>378</v>
      </c>
      <c r="G257" s="107">
        <f>VLOOKUP($A257, Stat!$A$1:$C$501, 2,0)</f>
        <v>6</v>
      </c>
      <c r="H257" s="107">
        <f>VLOOKUP($A257, Stat!$A$1:$C$501, 3,0)</f>
        <v>0</v>
      </c>
      <c r="I257" s="110"/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49</v>
      </c>
      <c r="B258" s="53" t="s">
        <v>41</v>
      </c>
      <c r="C258" s="53" t="s">
        <v>531</v>
      </c>
      <c r="D258" s="53" t="s">
        <v>538</v>
      </c>
      <c r="E258" s="57" t="s">
        <v>537</v>
      </c>
      <c r="F258" s="51"/>
      <c r="G258" s="107">
        <f>VLOOKUP($A258, Stat!$A$1:$C$501, 2,0)</f>
        <v>5</v>
      </c>
      <c r="H258" s="107">
        <f>VLOOKUP($A258, Stat!$A$1:$C$501, 3,0)</f>
        <v>0</v>
      </c>
      <c r="I258" s="49">
        <v>1</v>
      </c>
      <c r="M258" s="51"/>
      <c r="N258" s="51"/>
      <c r="O258" s="51"/>
      <c r="P258" s="53">
        <v>0</v>
      </c>
      <c r="Q258" s="53">
        <v>1</v>
      </c>
      <c r="T258" s="53">
        <v>1</v>
      </c>
    </row>
    <row r="259" spans="1:20" x14ac:dyDescent="0.25">
      <c r="A259" s="53">
        <v>266</v>
      </c>
      <c r="B259" s="53" t="s">
        <v>41</v>
      </c>
      <c r="C259" s="53" t="s">
        <v>251</v>
      </c>
      <c r="D259" s="53" t="s">
        <v>252</v>
      </c>
      <c r="E259" s="57" t="s">
        <v>316</v>
      </c>
      <c r="F259" s="51"/>
      <c r="G259" s="107">
        <f>VLOOKUP($A259, Stat!$A$1:$C$501, 2,0)</f>
        <v>5</v>
      </c>
      <c r="H259" s="107">
        <f>VLOOKUP($A259, Stat!$A$1:$C$501, 3,0)</f>
        <v>0</v>
      </c>
      <c r="I259" s="109"/>
      <c r="M259" s="51"/>
      <c r="N259" s="50" t="s">
        <v>272</v>
      </c>
      <c r="O259" s="51"/>
      <c r="P259" s="53">
        <v>40</v>
      </c>
      <c r="Q259" s="53">
        <v>1</v>
      </c>
      <c r="T259" s="53">
        <v>1</v>
      </c>
    </row>
    <row r="260" spans="1:20" x14ac:dyDescent="0.25">
      <c r="A260" s="53">
        <v>94</v>
      </c>
      <c r="B260" s="53" t="s">
        <v>41</v>
      </c>
      <c r="C260" s="53" t="s">
        <v>64</v>
      </c>
      <c r="D260" s="53" t="s">
        <v>164</v>
      </c>
      <c r="E260" s="57" t="s">
        <v>314</v>
      </c>
      <c r="F260" s="51"/>
      <c r="G260" s="107">
        <f>VLOOKUP($A260, Stat!$A$1:$C$501, 2,0)</f>
        <v>4</v>
      </c>
      <c r="H260" s="107">
        <f>VLOOKUP($A260, Stat!$A$1:$C$501, 3,0)</f>
        <v>0</v>
      </c>
      <c r="I260" s="110"/>
      <c r="L260" s="49">
        <v>1</v>
      </c>
      <c r="M260" s="50" t="s">
        <v>278</v>
      </c>
      <c r="N260" s="51"/>
      <c r="O260" s="51"/>
      <c r="P260" s="53">
        <v>40</v>
      </c>
      <c r="Q260" s="53">
        <v>0</v>
      </c>
      <c r="R260" s="53" t="s">
        <v>137</v>
      </c>
      <c r="T260" s="53">
        <v>1</v>
      </c>
    </row>
    <row r="261" spans="1:20" x14ac:dyDescent="0.25">
      <c r="A261" s="53">
        <v>97</v>
      </c>
      <c r="B261" s="53" t="s">
        <v>41</v>
      </c>
      <c r="C261" s="53" t="s">
        <v>251</v>
      </c>
      <c r="D261" s="53" t="s">
        <v>319</v>
      </c>
      <c r="E261" s="53" t="s">
        <v>500</v>
      </c>
      <c r="G261" s="107">
        <f>VLOOKUP($A261, Stat!$A$1:$C$501, 2,0)</f>
        <v>4</v>
      </c>
      <c r="H261" s="107">
        <f>VLOOKUP($A261, Stat!$A$1:$C$501, 3,0)</f>
        <v>0</v>
      </c>
      <c r="I261" s="109"/>
      <c r="P261" s="53">
        <v>40</v>
      </c>
      <c r="Q261" s="53">
        <v>0</v>
      </c>
      <c r="S261" s="53" t="s">
        <v>501</v>
      </c>
      <c r="T261" s="53">
        <v>1</v>
      </c>
    </row>
    <row r="262" spans="1:20" x14ac:dyDescent="0.25">
      <c r="A262" s="53">
        <v>311</v>
      </c>
      <c r="B262" s="53" t="s">
        <v>39</v>
      </c>
      <c r="C262" s="53" t="s">
        <v>7</v>
      </c>
      <c r="D262" s="53" t="s">
        <v>169</v>
      </c>
      <c r="E262" s="53" t="s">
        <v>396</v>
      </c>
      <c r="G262" s="107">
        <f>VLOOKUP($A262, Stat!$A$1:$C$501, 2,0)</f>
        <v>2</v>
      </c>
      <c r="H262" s="107">
        <f>VLOOKUP($A262, Stat!$A$1:$C$501, 3,0)</f>
        <v>0</v>
      </c>
      <c r="I262" s="110"/>
      <c r="L262" s="49">
        <v>1</v>
      </c>
      <c r="P262" s="53">
        <v>0</v>
      </c>
      <c r="Q262" s="53">
        <v>0</v>
      </c>
      <c r="S262" s="53" t="s">
        <v>415</v>
      </c>
      <c r="T262" s="53">
        <v>1</v>
      </c>
    </row>
    <row r="263" spans="1:20" ht="13.2" customHeight="1" x14ac:dyDescent="0.25">
      <c r="A263" s="53">
        <v>322</v>
      </c>
      <c r="B263" s="53" t="s">
        <v>41</v>
      </c>
      <c r="C263" s="53" t="s">
        <v>64</v>
      </c>
      <c r="D263" s="53" t="s">
        <v>428</v>
      </c>
      <c r="E263" s="53" t="s">
        <v>451</v>
      </c>
      <c r="G263" s="107">
        <f>VLOOKUP($A263, Stat!$A$1:$C$501, 2,0)</f>
        <v>4</v>
      </c>
      <c r="H263" s="107">
        <f>VLOOKUP($A263, Stat!$A$1:$C$501, 3,0)</f>
        <v>0</v>
      </c>
      <c r="I263" s="49">
        <v>1</v>
      </c>
      <c r="P263" s="53">
        <v>30</v>
      </c>
      <c r="Q263" s="53">
        <v>0</v>
      </c>
      <c r="S263" s="53" t="s">
        <v>436</v>
      </c>
      <c r="T263" s="53">
        <v>1</v>
      </c>
    </row>
    <row r="264" spans="1:20" ht="13.2" customHeight="1" x14ac:dyDescent="0.25">
      <c r="A264" s="53">
        <v>328</v>
      </c>
      <c r="B264" s="53" t="s">
        <v>41</v>
      </c>
      <c r="C264" s="53" t="s">
        <v>251</v>
      </c>
      <c r="D264" s="53" t="s">
        <v>319</v>
      </c>
      <c r="E264" s="53" t="s">
        <v>461</v>
      </c>
      <c r="G264" s="107">
        <f>VLOOKUP($A264, Stat!$A$1:$C$501, 2,0)</f>
        <v>4</v>
      </c>
      <c r="H264" s="107">
        <f>VLOOKUP($A264, Stat!$A$1:$C$501, 3,0)</f>
        <v>0</v>
      </c>
      <c r="I264" s="109"/>
      <c r="N264" s="49">
        <v>1</v>
      </c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357</v>
      </c>
      <c r="B265" s="53" t="s">
        <v>41</v>
      </c>
      <c r="C265" s="53" t="s">
        <v>64</v>
      </c>
      <c r="D265" s="53" t="s">
        <v>530</v>
      </c>
      <c r="E265" s="53" t="s">
        <v>548</v>
      </c>
      <c r="G265" s="107">
        <f>VLOOKUP($A265, Stat!$A$1:$C$501, 2,0)</f>
        <v>4</v>
      </c>
      <c r="H265" s="107">
        <f>VLOOKUP($A265, Stat!$A$1:$C$501, 3,0)</f>
        <v>1</v>
      </c>
      <c r="I265" s="49">
        <v>1</v>
      </c>
      <c r="P265" s="53">
        <v>40</v>
      </c>
      <c r="Q265" s="53">
        <v>0</v>
      </c>
      <c r="T265" s="53">
        <v>1</v>
      </c>
    </row>
    <row r="266" spans="1:20" ht="13.2" hidden="1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hidden="1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hidden="1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hidden="1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hidden="1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hidden="1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hidden="1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hidden="1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hidden="1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hidden="1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hidden="1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hidden="1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190</v>
      </c>
      <c r="B278" s="53" t="s">
        <v>41</v>
      </c>
      <c r="C278" s="53" t="s">
        <v>64</v>
      </c>
      <c r="D278" s="53" t="s">
        <v>140</v>
      </c>
      <c r="E278" s="57" t="s">
        <v>52</v>
      </c>
      <c r="F278" s="51"/>
      <c r="G278" s="107">
        <f>VLOOKUP($A278, Stat!$A$1:$C$501, 2,0)</f>
        <v>2</v>
      </c>
      <c r="H278" s="107">
        <f>VLOOKUP($A278, Stat!$A$1:$C$501, 3,0)</f>
        <v>0</v>
      </c>
      <c r="I278" s="110"/>
      <c r="L278" s="49">
        <v>1</v>
      </c>
      <c r="M278" s="50" t="s">
        <v>275</v>
      </c>
      <c r="N278" s="51"/>
      <c r="O278" s="51"/>
      <c r="P278" s="53">
        <v>60</v>
      </c>
      <c r="Q278" s="53">
        <v>0</v>
      </c>
      <c r="R278" s="53" t="s">
        <v>138</v>
      </c>
      <c r="T278" s="53">
        <v>1</v>
      </c>
    </row>
    <row r="279" spans="1:20" x14ac:dyDescent="0.25">
      <c r="A279" s="53">
        <v>263</v>
      </c>
      <c r="B279" s="53" t="s">
        <v>41</v>
      </c>
      <c r="C279" s="53" t="s">
        <v>251</v>
      </c>
      <c r="D279" s="53" t="s">
        <v>252</v>
      </c>
      <c r="E279" s="57" t="s">
        <v>256</v>
      </c>
      <c r="F279" s="51"/>
      <c r="G279" s="107">
        <f>VLOOKUP($A279, Stat!$A$1:$C$501, 2,0)</f>
        <v>3</v>
      </c>
      <c r="H279" s="107">
        <f>VLOOKUP($A279, Stat!$A$1:$C$501, 3,0)</f>
        <v>0</v>
      </c>
      <c r="I279" s="109"/>
      <c r="M279" s="51"/>
      <c r="N279" s="50" t="s">
        <v>272</v>
      </c>
      <c r="O279" s="51"/>
      <c r="P279" s="53">
        <v>60</v>
      </c>
      <c r="Q279" s="53">
        <v>0</v>
      </c>
      <c r="S279" s="53" t="s">
        <v>442</v>
      </c>
      <c r="T279" s="53">
        <v>1</v>
      </c>
    </row>
    <row r="280" spans="1:20" x14ac:dyDescent="0.25">
      <c r="A280" s="53">
        <v>280</v>
      </c>
      <c r="B280" s="53" t="s">
        <v>41</v>
      </c>
      <c r="C280" s="53" t="s">
        <v>251</v>
      </c>
      <c r="D280" s="53" t="s">
        <v>319</v>
      </c>
      <c r="E280" s="53" t="s">
        <v>253</v>
      </c>
      <c r="G280" s="107">
        <f>VLOOKUP($A280, Stat!$A$1:$C$501, 2,0)</f>
        <v>2</v>
      </c>
      <c r="H280" s="107">
        <f>VLOOKUP($A280, Stat!$A$1:$C$501, 3,0)</f>
        <v>0</v>
      </c>
      <c r="I280" s="109"/>
      <c r="N280" s="49">
        <v>1</v>
      </c>
      <c r="P280" s="53">
        <v>60</v>
      </c>
      <c r="Q280" s="53">
        <v>1</v>
      </c>
      <c r="T280" s="53">
        <v>1</v>
      </c>
    </row>
    <row r="281" spans="1:20" hidden="1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313</v>
      </c>
      <c r="B282" s="53" t="s">
        <v>39</v>
      </c>
      <c r="C282" s="53" t="s">
        <v>7</v>
      </c>
      <c r="D282" s="53" t="s">
        <v>170</v>
      </c>
      <c r="E282" s="53" t="s">
        <v>368</v>
      </c>
      <c r="G282" s="107">
        <f>VLOOKUP($A282, Stat!$A$1:$C$501, 2,0)</f>
        <v>2</v>
      </c>
      <c r="H282" s="107">
        <f>VLOOKUP($A282, Stat!$A$1:$C$501, 3,0)</f>
        <v>0</v>
      </c>
      <c r="I282" s="110"/>
      <c r="L282" s="49">
        <v>1</v>
      </c>
      <c r="P282" s="53">
        <v>0</v>
      </c>
      <c r="Q282" s="53">
        <v>0</v>
      </c>
      <c r="S282" s="53" t="s">
        <v>415</v>
      </c>
      <c r="T282" s="53">
        <v>1</v>
      </c>
    </row>
    <row r="283" spans="1:20" x14ac:dyDescent="0.25">
      <c r="A283" s="53">
        <v>346</v>
      </c>
      <c r="B283" s="53" t="s">
        <v>39</v>
      </c>
      <c r="C283" s="53" t="s">
        <v>15</v>
      </c>
      <c r="D283" s="53" t="s">
        <v>507</v>
      </c>
      <c r="E283" s="53" t="s">
        <v>510</v>
      </c>
      <c r="G283" s="107">
        <f>VLOOKUP($A283, Stat!$A$1:$C$501, 2,0)</f>
        <v>3</v>
      </c>
      <c r="H283" s="107">
        <f>VLOOKUP($A283, Stat!$A$1:$C$501, 3,0)</f>
        <v>0</v>
      </c>
      <c r="I283" s="110"/>
      <c r="P283" s="53">
        <v>0</v>
      </c>
      <c r="Q283" s="53">
        <v>0</v>
      </c>
      <c r="S283" s="53" t="s">
        <v>512</v>
      </c>
      <c r="T283" s="53">
        <v>1</v>
      </c>
    </row>
    <row r="284" spans="1:20" x14ac:dyDescent="0.25">
      <c r="A284" s="53">
        <v>111</v>
      </c>
      <c r="B284" s="53" t="s">
        <v>39</v>
      </c>
      <c r="C284" s="53" t="s">
        <v>83</v>
      </c>
      <c r="D284" s="53" t="s">
        <v>126</v>
      </c>
      <c r="E284" s="57" t="s">
        <v>51</v>
      </c>
      <c r="F284" s="51"/>
      <c r="G284" s="107">
        <f>VLOOKUP($A284, Stat!$A$1:$C$501, 2,0)</f>
        <v>2</v>
      </c>
      <c r="H284" s="107">
        <f>VLOOKUP($A284, Stat!$A$1:$C$501, 3,0)</f>
        <v>1</v>
      </c>
      <c r="I284" s="49">
        <v>1</v>
      </c>
      <c r="M284" s="50" t="s">
        <v>267</v>
      </c>
      <c r="N284" s="51"/>
      <c r="O284" s="51"/>
      <c r="P284" s="53">
        <v>100</v>
      </c>
      <c r="Q284" s="53">
        <v>0</v>
      </c>
      <c r="T284" s="53">
        <v>1</v>
      </c>
    </row>
    <row r="285" spans="1:20" hidden="1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hidden="1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hidden="1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hidden="1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hidden="1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hidden="1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hidden="1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hidden="1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hidden="1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hidden="1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hidden="1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customHeight="1" x14ac:dyDescent="0.25">
      <c r="A296" s="53">
        <v>260</v>
      </c>
      <c r="B296" s="53" t="s">
        <v>41</v>
      </c>
      <c r="C296" s="53" t="s">
        <v>251</v>
      </c>
      <c r="D296" s="53" t="s">
        <v>319</v>
      </c>
      <c r="E296" s="57" t="s">
        <v>323</v>
      </c>
      <c r="F296" s="51"/>
      <c r="G296" s="107">
        <f>VLOOKUP($A296, Stat!$A$1:$C$501, 2,0)</f>
        <v>1</v>
      </c>
      <c r="H296" s="107">
        <f>VLOOKUP($A296, Stat!$A$1:$C$501, 3,0)</f>
        <v>0</v>
      </c>
      <c r="I296" s="110"/>
      <c r="M296" s="51"/>
      <c r="N296" s="50" t="s">
        <v>272</v>
      </c>
      <c r="O296" s="51"/>
      <c r="P296" s="53">
        <v>60</v>
      </c>
      <c r="Q296" s="53">
        <v>0</v>
      </c>
      <c r="S296" s="53" t="s">
        <v>359</v>
      </c>
      <c r="T296" s="53">
        <v>1</v>
      </c>
    </row>
    <row r="297" spans="1:20" ht="13.2" hidden="1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hidden="1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327</v>
      </c>
      <c r="B299" s="53" t="s">
        <v>41</v>
      </c>
      <c r="C299" s="53" t="s">
        <v>251</v>
      </c>
      <c r="D299" s="53" t="s">
        <v>252</v>
      </c>
      <c r="E299" s="53" t="s">
        <v>461</v>
      </c>
      <c r="G299" s="107">
        <f>VLOOKUP($A299, Stat!$A$1:$C$501, 2,0)</f>
        <v>2</v>
      </c>
      <c r="H299" s="107">
        <f>VLOOKUP($A299, Stat!$A$1:$C$501, 3,0)</f>
        <v>0</v>
      </c>
      <c r="I299" s="109"/>
      <c r="N299" s="49">
        <v>1</v>
      </c>
      <c r="P299" s="53">
        <v>60</v>
      </c>
      <c r="Q299" s="53">
        <v>0</v>
      </c>
      <c r="T299" s="53">
        <v>1</v>
      </c>
    </row>
    <row r="300" spans="1:20" ht="13.2" hidden="1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348</v>
      </c>
      <c r="B301" s="53" t="s">
        <v>39</v>
      </c>
      <c r="C301" s="53" t="s">
        <v>15</v>
      </c>
      <c r="D301" s="53" t="s">
        <v>168</v>
      </c>
      <c r="E301" s="53" t="s">
        <v>518</v>
      </c>
      <c r="G301" s="107">
        <f>VLOOKUP($A301, Stat!$A$1:$C$501, 2,0)</f>
        <v>2</v>
      </c>
      <c r="H301" s="107">
        <f>VLOOKUP($A301, Stat!$A$1:$C$501, 3,0)</f>
        <v>2</v>
      </c>
      <c r="I301" s="49">
        <v>1</v>
      </c>
      <c r="P301" s="53">
        <v>20</v>
      </c>
      <c r="Q301" s="53">
        <v>0</v>
      </c>
      <c r="R301" s="53" t="s">
        <v>78</v>
      </c>
      <c r="S301" s="53" t="s">
        <v>519</v>
      </c>
      <c r="T301" s="53">
        <v>1</v>
      </c>
    </row>
    <row r="302" spans="1:20" ht="13.2" customHeight="1" x14ac:dyDescent="0.25">
      <c r="A302" s="53">
        <v>48</v>
      </c>
      <c r="B302" s="53" t="s">
        <v>41</v>
      </c>
      <c r="C302" s="53" t="s">
        <v>18</v>
      </c>
      <c r="D302" s="53" t="s">
        <v>404</v>
      </c>
      <c r="E302" s="57" t="s">
        <v>536</v>
      </c>
      <c r="F302" s="50"/>
      <c r="G302" s="107">
        <f>VLOOKUP($A302, Stat!$A$1:$C$501, 2,0)</f>
        <v>1</v>
      </c>
      <c r="H302" s="107">
        <f>VLOOKUP($A302, Stat!$A$1:$C$501, 3,0)</f>
        <v>1</v>
      </c>
      <c r="I302" s="49">
        <v>1</v>
      </c>
      <c r="M302" s="50"/>
      <c r="N302" s="51"/>
      <c r="O302" s="50" t="s">
        <v>270</v>
      </c>
      <c r="P302" s="53">
        <v>30</v>
      </c>
      <c r="Q302" s="53">
        <v>0</v>
      </c>
      <c r="S302" s="53" t="s">
        <v>551</v>
      </c>
      <c r="T302" s="53">
        <v>1</v>
      </c>
    </row>
    <row r="303" spans="1:20" ht="13.2" hidden="1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hidden="1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hidden="1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hidden="1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hidden="1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hidden="1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customHeight="1" x14ac:dyDescent="0.25">
      <c r="A309" s="53">
        <v>264</v>
      </c>
      <c r="B309" s="53" t="s">
        <v>41</v>
      </c>
      <c r="C309" s="53" t="s">
        <v>251</v>
      </c>
      <c r="D309" s="53" t="s">
        <v>252</v>
      </c>
      <c r="E309" s="57" t="s">
        <v>257</v>
      </c>
      <c r="F309" s="51"/>
      <c r="G309" s="107">
        <f>VLOOKUP($A309, Stat!$A$1:$C$501, 2,0)</f>
        <v>1</v>
      </c>
      <c r="H309" s="109">
        <f>VLOOKUP($A309, Stat!$A$1:$C$501, 3,0)</f>
        <v>0</v>
      </c>
      <c r="I309" s="109"/>
      <c r="M309" s="51"/>
      <c r="N309" s="50" t="s">
        <v>272</v>
      </c>
      <c r="O309" s="51"/>
      <c r="P309" s="53">
        <v>60</v>
      </c>
      <c r="Q309" s="53">
        <v>1</v>
      </c>
      <c r="S309" s="53" t="s">
        <v>317</v>
      </c>
      <c r="T309" s="53">
        <v>1</v>
      </c>
    </row>
    <row r="310" spans="1:20" ht="13.2" customHeight="1" x14ac:dyDescent="0.25">
      <c r="A310" s="53">
        <v>281</v>
      </c>
      <c r="B310" s="53" t="s">
        <v>41</v>
      </c>
      <c r="C310" s="53" t="s">
        <v>251</v>
      </c>
      <c r="D310" s="53" t="s">
        <v>319</v>
      </c>
      <c r="E310" s="53" t="s">
        <v>254</v>
      </c>
      <c r="G310" s="107">
        <f>VLOOKUP($A310, Stat!$A$1:$C$501, 2,0)</f>
        <v>1</v>
      </c>
      <c r="H310" s="109">
        <f>VLOOKUP($A310, Stat!$A$1:$C$501, 3,0)</f>
        <v>0</v>
      </c>
      <c r="I310" s="109"/>
      <c r="N310" s="49">
        <v>1</v>
      </c>
      <c r="P310" s="53">
        <v>60</v>
      </c>
      <c r="Q310" s="53">
        <v>0</v>
      </c>
      <c r="T310" s="53">
        <v>1</v>
      </c>
    </row>
    <row r="311" spans="1:20" ht="13.2" customHeight="1" x14ac:dyDescent="0.25">
      <c r="A311" s="53">
        <v>30</v>
      </c>
      <c r="B311" s="53" t="s">
        <v>41</v>
      </c>
      <c r="C311" s="53" t="s">
        <v>64</v>
      </c>
      <c r="D311" s="53" t="s">
        <v>139</v>
      </c>
      <c r="E311" s="57" t="s">
        <v>117</v>
      </c>
      <c r="F311" s="51"/>
      <c r="G311" s="109">
        <f>VLOOKUP($A311, Stat!$A$1:$C$501, 2,0)</f>
        <v>0</v>
      </c>
      <c r="H311" s="109">
        <f>VLOOKUP($A311, Stat!$A$1:$C$501, 3,0)</f>
        <v>0</v>
      </c>
      <c r="I311" s="49">
        <v>1</v>
      </c>
      <c r="M311" s="51"/>
      <c r="N311" s="51"/>
      <c r="P311" s="53">
        <v>100</v>
      </c>
      <c r="Q311" s="53">
        <v>0</v>
      </c>
      <c r="T311" s="53">
        <v>1</v>
      </c>
    </row>
    <row r="312" spans="1:20" ht="13.2" customHeight="1" x14ac:dyDescent="0.25">
      <c r="A312" s="53">
        <v>100</v>
      </c>
      <c r="B312" s="53" t="s">
        <v>39</v>
      </c>
      <c r="C312" s="53" t="s">
        <v>87</v>
      </c>
      <c r="D312" s="53" t="s">
        <v>82</v>
      </c>
      <c r="E312" s="57" t="s">
        <v>91</v>
      </c>
      <c r="F312" s="51"/>
      <c r="G312" s="109">
        <f>VLOOKUP($A312, Stat!$A$1:$C$501, 2,0)</f>
        <v>0</v>
      </c>
      <c r="H312" s="109">
        <f>VLOOKUP($A312, Stat!$A$1:$C$501, 3,0)</f>
        <v>0</v>
      </c>
      <c r="I312" s="109"/>
      <c r="M312" s="51"/>
      <c r="N312" s="51"/>
      <c r="O312" s="51"/>
      <c r="P312" s="53">
        <v>0</v>
      </c>
      <c r="Q312" s="53">
        <v>0</v>
      </c>
      <c r="R312" s="53" t="s">
        <v>439</v>
      </c>
      <c r="T312" s="53">
        <v>1</v>
      </c>
    </row>
    <row r="313" spans="1:20" ht="13.2" customHeight="1" x14ac:dyDescent="0.25">
      <c r="A313" s="53">
        <v>104</v>
      </c>
      <c r="B313" s="53" t="s">
        <v>39</v>
      </c>
      <c r="C313" s="53" t="s">
        <v>87</v>
      </c>
      <c r="D313" s="53" t="s">
        <v>81</v>
      </c>
      <c r="E313" s="57" t="s">
        <v>91</v>
      </c>
      <c r="F313" s="51"/>
      <c r="G313" s="109">
        <f>VLOOKUP($A313, Stat!$A$1:$C$501, 2,0)</f>
        <v>0</v>
      </c>
      <c r="H313" s="109">
        <f>VLOOKUP($A313, Stat!$A$1:$C$501, 3,0)</f>
        <v>0</v>
      </c>
      <c r="I313" s="109"/>
      <c r="M313" s="51"/>
      <c r="N313" s="51"/>
      <c r="O313" s="51"/>
      <c r="P313" s="53">
        <v>0</v>
      </c>
      <c r="Q313" s="53">
        <v>0</v>
      </c>
      <c r="T313" s="53">
        <v>1</v>
      </c>
    </row>
    <row r="314" spans="1:20" ht="13.2" hidden="1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hidden="1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hidden="1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hidden="1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hidden="1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hidden="1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hidden="1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106</v>
      </c>
      <c r="B321" s="53" t="s">
        <v>39</v>
      </c>
      <c r="C321" s="53" t="s">
        <v>87</v>
      </c>
      <c r="D321" s="53" t="s">
        <v>81</v>
      </c>
      <c r="E321" s="57" t="s">
        <v>5</v>
      </c>
      <c r="F321" s="51"/>
      <c r="G321" s="109">
        <f>VLOOKUP($A321, Stat!$A$1:$C$501, 2,0)</f>
        <v>0</v>
      </c>
      <c r="H321" s="109">
        <f>VLOOKUP($A321, Stat!$A$1:$C$501, 3,0)</f>
        <v>0</v>
      </c>
      <c r="I321" s="109"/>
      <c r="M321" s="51"/>
      <c r="N321" s="51"/>
      <c r="O321" s="51"/>
      <c r="P321" s="53">
        <v>40</v>
      </c>
      <c r="Q321" s="53">
        <v>0</v>
      </c>
      <c r="T321" s="53">
        <v>1</v>
      </c>
    </row>
    <row r="322" spans="1:20" ht="13.2" customHeight="1" x14ac:dyDescent="0.25">
      <c r="A322" s="53">
        <v>107</v>
      </c>
      <c r="B322" s="53" t="s">
        <v>39</v>
      </c>
      <c r="C322" s="53" t="s">
        <v>87</v>
      </c>
      <c r="D322" s="53" t="s">
        <v>81</v>
      </c>
      <c r="E322" s="57" t="s">
        <v>51</v>
      </c>
      <c r="F322" s="51"/>
      <c r="G322" s="109">
        <f>VLOOKUP($A322, Stat!$A$1:$C$501, 2,0)</f>
        <v>0</v>
      </c>
      <c r="H322" s="109">
        <f>VLOOKUP($A322, Stat!$A$1:$C$501, 3,0)</f>
        <v>0</v>
      </c>
      <c r="I322" s="109"/>
      <c r="M322" s="51"/>
      <c r="N322" s="51"/>
      <c r="O322" s="51"/>
      <c r="P322" s="53">
        <v>60</v>
      </c>
      <c r="Q322" s="53">
        <v>0</v>
      </c>
      <c r="T322" s="53">
        <v>1</v>
      </c>
    </row>
    <row r="323" spans="1:20" hidden="1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hidden="1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hidden="1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customHeight="1" x14ac:dyDescent="0.25">
      <c r="A326" s="53">
        <v>123</v>
      </c>
      <c r="B326" s="53" t="s">
        <v>39</v>
      </c>
      <c r="C326" s="53" t="s">
        <v>87</v>
      </c>
      <c r="D326" s="53" t="s">
        <v>98</v>
      </c>
      <c r="E326" s="57" t="s">
        <v>51</v>
      </c>
      <c r="F326" s="51"/>
      <c r="G326" s="109">
        <f>VLOOKUP($A326, Stat!$A$1:$C$501, 2,0)</f>
        <v>0</v>
      </c>
      <c r="H326" s="109">
        <f>VLOOKUP($A326, Stat!$A$1:$C$501, 3,0)</f>
        <v>0</v>
      </c>
      <c r="I326" s="109"/>
      <c r="K326" s="49">
        <v>999</v>
      </c>
      <c r="M326" s="50"/>
      <c r="N326" s="51"/>
      <c r="O326" s="51"/>
      <c r="P326" s="53">
        <v>60</v>
      </c>
      <c r="Q326" s="53">
        <v>0</v>
      </c>
      <c r="S326" s="53" t="s">
        <v>444</v>
      </c>
      <c r="T326" s="53">
        <v>1</v>
      </c>
    </row>
    <row r="327" spans="1:20" ht="13.2" customHeight="1" x14ac:dyDescent="0.25">
      <c r="A327" s="53">
        <v>144</v>
      </c>
      <c r="B327" s="53" t="s">
        <v>39</v>
      </c>
      <c r="C327" s="53" t="s">
        <v>87</v>
      </c>
      <c r="D327" s="53" t="s">
        <v>397</v>
      </c>
      <c r="E327" s="57" t="s">
        <v>3</v>
      </c>
      <c r="F327" s="51"/>
      <c r="G327" s="107">
        <f>VLOOKUP($A327, Stat!$A$1:$C$501, 2,0)</f>
        <v>0</v>
      </c>
      <c r="H327" s="109">
        <f>VLOOKUP($A327, Stat!$A$1:$C$501, 3,0)</f>
        <v>0</v>
      </c>
      <c r="I327" s="109"/>
      <c r="M327" s="51"/>
      <c r="N327" s="51"/>
      <c r="O327" s="51"/>
      <c r="P327" s="53">
        <v>0</v>
      </c>
      <c r="Q327" s="53">
        <v>-1</v>
      </c>
      <c r="R327" s="53" t="s">
        <v>440</v>
      </c>
      <c r="T327" s="53">
        <v>1</v>
      </c>
    </row>
    <row r="328" spans="1:20" hidden="1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hidden="1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customHeight="1" x14ac:dyDescent="0.25">
      <c r="A330" s="53">
        <v>191</v>
      </c>
      <c r="B330" s="53" t="s">
        <v>39</v>
      </c>
      <c r="C330" s="53" t="s">
        <v>87</v>
      </c>
      <c r="D330" s="53" t="s">
        <v>99</v>
      </c>
      <c r="E330" s="57" t="s">
        <v>147</v>
      </c>
      <c r="F330" s="51"/>
      <c r="G330" s="109">
        <f>VLOOKUP($A330, Stat!$A$1:$C$501, 2,0)</f>
        <v>0</v>
      </c>
      <c r="H330" s="109">
        <f>VLOOKUP($A330, Stat!$A$1:$C$501, 3,0)</f>
        <v>0</v>
      </c>
      <c r="I330" s="109"/>
      <c r="M330" s="51"/>
      <c r="N330" s="51"/>
      <c r="O330" s="51"/>
      <c r="P330" s="53">
        <v>60</v>
      </c>
      <c r="Q330" s="53">
        <v>0</v>
      </c>
      <c r="R330" s="53" t="s">
        <v>88</v>
      </c>
      <c r="S330" s="53" t="s">
        <v>228</v>
      </c>
      <c r="T330" s="53">
        <v>1</v>
      </c>
    </row>
    <row r="331" spans="1:20" ht="13.2" hidden="1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hidden="1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hidden="1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customHeight="1" x14ac:dyDescent="0.25">
      <c r="A334" s="53">
        <v>192</v>
      </c>
      <c r="B334" s="53" t="s">
        <v>39</v>
      </c>
      <c r="C334" s="53" t="s">
        <v>87</v>
      </c>
      <c r="D334" s="53" t="s">
        <v>98</v>
      </c>
      <c r="E334" s="57" t="s">
        <v>147</v>
      </c>
      <c r="F334" s="51"/>
      <c r="G334" s="109">
        <f>VLOOKUP($A334, Stat!$A$1:$C$501, 2,0)</f>
        <v>0</v>
      </c>
      <c r="H334" s="109">
        <f>VLOOKUP($A334, Stat!$A$1:$C$501, 3,0)</f>
        <v>0</v>
      </c>
      <c r="I334" s="109"/>
      <c r="M334" s="51"/>
      <c r="N334" s="51"/>
      <c r="O334" s="51"/>
      <c r="P334" s="53">
        <v>60</v>
      </c>
      <c r="Q334" s="53">
        <v>0</v>
      </c>
      <c r="S334" s="53" t="s">
        <v>228</v>
      </c>
      <c r="T334" s="53">
        <v>1</v>
      </c>
    </row>
    <row r="335" spans="1:20" ht="13.2" hidden="1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hidden="1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hidden="1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hidden="1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hidden="1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x14ac:dyDescent="0.25">
      <c r="A340" s="53">
        <v>194</v>
      </c>
      <c r="B340" s="53" t="s">
        <v>41</v>
      </c>
      <c r="C340" s="53" t="s">
        <v>18</v>
      </c>
      <c r="D340" s="53" t="s">
        <v>450</v>
      </c>
      <c r="E340" s="57" t="s">
        <v>151</v>
      </c>
      <c r="F340" s="50" t="s">
        <v>272</v>
      </c>
      <c r="G340" s="107">
        <f>VLOOKUP($A340, Stat!$A$1:$C$501, 2,0)</f>
        <v>0</v>
      </c>
      <c r="H340" s="109">
        <f>VLOOKUP($A340, Stat!$A$1:$C$501, 3,0)</f>
        <v>0</v>
      </c>
      <c r="I340" s="109"/>
      <c r="M340" s="51"/>
      <c r="N340" s="51"/>
      <c r="O340" s="51"/>
      <c r="P340" s="53">
        <v>0</v>
      </c>
      <c r="Q340" s="53">
        <v>-1</v>
      </c>
      <c r="R340" s="53" t="s">
        <v>403</v>
      </c>
      <c r="T340" s="53">
        <v>1</v>
      </c>
    </row>
    <row r="341" spans="1:20" x14ac:dyDescent="0.25">
      <c r="A341" s="53">
        <v>195</v>
      </c>
      <c r="B341" s="53" t="s">
        <v>41</v>
      </c>
      <c r="C341" s="53" t="s">
        <v>18</v>
      </c>
      <c r="D341" s="53" t="s">
        <v>450</v>
      </c>
      <c r="E341" s="57" t="s">
        <v>66</v>
      </c>
      <c r="F341" s="50" t="s">
        <v>272</v>
      </c>
      <c r="G341" s="107">
        <f>VLOOKUP($A341, Stat!$A$1:$C$501, 2,0)</f>
        <v>0</v>
      </c>
      <c r="H341" s="109">
        <f>VLOOKUP($A341, Stat!$A$1:$C$501, 3,0)</f>
        <v>0</v>
      </c>
      <c r="I341" s="109"/>
      <c r="M341" s="51"/>
      <c r="N341" s="51"/>
      <c r="O341" s="51"/>
      <c r="P341" s="53">
        <v>0</v>
      </c>
      <c r="Q341" s="53">
        <v>-1</v>
      </c>
      <c r="R341" s="53" t="s">
        <v>403</v>
      </c>
      <c r="T341" s="53">
        <v>1</v>
      </c>
    </row>
    <row r="342" spans="1:20" hidden="1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505</v>
      </c>
      <c r="T342" s="53">
        <v>1</v>
      </c>
    </row>
    <row r="343" spans="1:20" x14ac:dyDescent="0.25">
      <c r="A343" s="53">
        <v>262</v>
      </c>
      <c r="B343" s="53" t="s">
        <v>41</v>
      </c>
      <c r="C343" s="53" t="s">
        <v>251</v>
      </c>
      <c r="D343" s="53" t="s">
        <v>324</v>
      </c>
      <c r="E343" s="57" t="s">
        <v>321</v>
      </c>
      <c r="F343" s="51"/>
      <c r="G343" s="108">
        <f>VLOOKUP($A343, Stat!$A$1:$C$501, 2,0)</f>
        <v>0</v>
      </c>
      <c r="H343" s="107">
        <f>VLOOKUP($A343, Stat!$A$1:$C$501, 3,0)</f>
        <v>0</v>
      </c>
      <c r="M343" s="51"/>
      <c r="N343" s="51"/>
      <c r="O343" s="51"/>
      <c r="P343" s="53">
        <v>0</v>
      </c>
      <c r="Q343" s="53">
        <v>1</v>
      </c>
      <c r="S343" s="53" t="s">
        <v>327</v>
      </c>
      <c r="T343" s="53">
        <v>1</v>
      </c>
    </row>
    <row r="344" spans="1:20" x14ac:dyDescent="0.25">
      <c r="A344" s="53">
        <v>283</v>
      </c>
      <c r="B344" s="53" t="s">
        <v>41</v>
      </c>
      <c r="C344" s="53" t="s">
        <v>251</v>
      </c>
      <c r="D344" s="53" t="s">
        <v>324</v>
      </c>
      <c r="E344" s="53" t="s">
        <v>132</v>
      </c>
      <c r="G344" s="108">
        <f>VLOOKUP($A344, Stat!$A$1:$C$501, 2,0)</f>
        <v>0</v>
      </c>
      <c r="H344" s="107">
        <f>VLOOKUP($A344, Stat!$A$1:$C$501, 3,0)</f>
        <v>0</v>
      </c>
      <c r="P344" s="53">
        <v>60</v>
      </c>
      <c r="Q344" s="53">
        <v>1</v>
      </c>
      <c r="S344" s="53" t="s">
        <v>329</v>
      </c>
      <c r="T344" s="53">
        <v>1</v>
      </c>
    </row>
    <row r="345" spans="1:20" x14ac:dyDescent="0.25">
      <c r="A345" s="53">
        <v>284</v>
      </c>
      <c r="B345" s="53" t="s">
        <v>41</v>
      </c>
      <c r="C345" s="53" t="s">
        <v>251</v>
      </c>
      <c r="D345" s="53" t="s">
        <v>324</v>
      </c>
      <c r="E345" s="53" t="s">
        <v>326</v>
      </c>
      <c r="G345" s="108">
        <f>VLOOKUP($A345, Stat!$A$1:$C$501, 2,0)</f>
        <v>0</v>
      </c>
      <c r="H345" s="107">
        <f>VLOOKUP($A345, Stat!$A$1:$C$501, 3,0)</f>
        <v>0</v>
      </c>
      <c r="P345" s="53">
        <v>60</v>
      </c>
      <c r="Q345" s="53">
        <v>1</v>
      </c>
      <c r="S345" s="53" t="s">
        <v>330</v>
      </c>
      <c r="T345" s="53">
        <v>1</v>
      </c>
    </row>
    <row r="346" spans="1:20" hidden="1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x14ac:dyDescent="0.25">
      <c r="A347" s="53">
        <v>285</v>
      </c>
      <c r="B347" s="53" t="s">
        <v>41</v>
      </c>
      <c r="C347" s="53" t="s">
        <v>251</v>
      </c>
      <c r="D347" s="53" t="s">
        <v>324</v>
      </c>
      <c r="E347" s="53" t="s">
        <v>325</v>
      </c>
      <c r="G347" s="108">
        <f>VLOOKUP($A347, Stat!$A$1:$C$501, 2,0)</f>
        <v>0</v>
      </c>
      <c r="H347" s="107">
        <f>VLOOKUP($A347, Stat!$A$1:$C$501, 3,0)</f>
        <v>0</v>
      </c>
      <c r="P347" s="53">
        <v>60</v>
      </c>
      <c r="Q347" s="53">
        <v>1</v>
      </c>
      <c r="S347" s="53" t="s">
        <v>331</v>
      </c>
      <c r="T347" s="53">
        <v>1</v>
      </c>
    </row>
    <row r="348" spans="1:20" hidden="1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x14ac:dyDescent="0.25">
      <c r="A349" s="53">
        <v>323</v>
      </c>
      <c r="B349" s="53" t="s">
        <v>41</v>
      </c>
      <c r="C349" s="53" t="s">
        <v>251</v>
      </c>
      <c r="D349" s="53" t="s">
        <v>252</v>
      </c>
      <c r="E349" s="53" t="s">
        <v>441</v>
      </c>
      <c r="G349" s="109">
        <f>VLOOKUP($A349, Stat!$A$1:$C$501, 2,0)</f>
        <v>0</v>
      </c>
      <c r="H349" s="109">
        <f>VLOOKUP($A349, Stat!$A$1:$C$501, 3,0)</f>
        <v>0</v>
      </c>
      <c r="I349" s="49">
        <v>1</v>
      </c>
      <c r="P349" s="53">
        <v>40</v>
      </c>
      <c r="Q349" s="53">
        <v>1</v>
      </c>
      <c r="S349" s="53" t="s">
        <v>443</v>
      </c>
      <c r="T349" s="53">
        <v>1</v>
      </c>
    </row>
    <row r="350" spans="1:20" x14ac:dyDescent="0.25">
      <c r="A350" s="53">
        <v>331</v>
      </c>
      <c r="B350" s="53" t="s">
        <v>41</v>
      </c>
      <c r="C350" s="53" t="s">
        <v>64</v>
      </c>
      <c r="D350" s="53" t="s">
        <v>68</v>
      </c>
      <c r="E350" s="53" t="s">
        <v>465</v>
      </c>
      <c r="G350" s="109">
        <f>VLOOKUP($A350, Stat!$A$1:$C$501, 2,0)</f>
        <v>0</v>
      </c>
      <c r="H350" s="109">
        <f>VLOOKUP($A350, Stat!$A$1:$C$501, 3,0)</f>
        <v>0</v>
      </c>
      <c r="I350" s="49">
        <v>1</v>
      </c>
      <c r="P350" s="53">
        <v>0</v>
      </c>
      <c r="Q350" s="53">
        <v>1</v>
      </c>
      <c r="S350" s="53" t="s">
        <v>466</v>
      </c>
      <c r="T350" s="53">
        <v>1</v>
      </c>
    </row>
    <row r="351" spans="1:20" hidden="1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hidden="1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hidden="1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hidden="1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hidden="1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342</v>
      </c>
      <c r="B356" s="53" t="s">
        <v>39</v>
      </c>
      <c r="C356" s="53" t="s">
        <v>16</v>
      </c>
      <c r="D356" s="53" t="s">
        <v>503</v>
      </c>
      <c r="E356" s="53" t="s">
        <v>49</v>
      </c>
      <c r="G356" s="108">
        <f>VLOOKUP($A356, Stat!$A$1:$C$501, 2,0)</f>
        <v>0</v>
      </c>
      <c r="H356" s="107">
        <f>VLOOKUP($A356, Stat!$A$1:$C$501, 3,0)</f>
        <v>0</v>
      </c>
      <c r="P356" s="53">
        <v>0</v>
      </c>
      <c r="Q356" s="53">
        <v>1</v>
      </c>
      <c r="R356" s="53" t="s">
        <v>505</v>
      </c>
      <c r="T356" s="53">
        <v>1</v>
      </c>
    </row>
    <row r="357" spans="1:20" hidden="1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hidden="1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filterColumn colId="7">
      <filters>
        <filter val="0"/>
      </filters>
    </filterColumn>
    <sortState ref="A4:T356">
      <sortCondition descending="1" ref="G1:G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2017-12-02T10:39:15Z</dcterms:modified>
</cp:coreProperties>
</file>