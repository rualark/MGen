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<sst xmlns="http://schemas.openxmlformats.org/spreadsheetml/2006/main" count="3212" uniqueCount="729">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</sst>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100" activePane="bottomLeft" state="frozen"/>
      <selection activeCell="C37" sqref="C37"/>
      <selection pane="bottomLeft" activeCell="C118" sqref="C118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04" t="s">
        <v>62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09" t="s">
        <v>40</v>
      </c>
      <c r="E2" s="110"/>
      <c r="F2" s="110"/>
      <c r="G2" s="110"/>
      <c r="H2" s="110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08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540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693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671</v>
      </c>
      <c r="C13" s="26" t="s">
        <v>682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683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686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687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684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685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688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689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690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697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7" t="s">
        <v>727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8"/>
      <c r="B31" s="105" t="s">
        <v>14</v>
      </c>
      <c r="C31" s="26" t="s">
        <v>336</v>
      </c>
      <c r="D31" s="114" t="s">
        <v>128</v>
      </c>
      <c r="E31" s="115"/>
      <c r="F31" s="114" t="s">
        <v>158</v>
      </c>
      <c r="G31" s="11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357</v>
      </c>
      <c r="D32" s="112" t="s">
        <v>337</v>
      </c>
      <c r="E32" s="113"/>
      <c r="F32" s="112" t="s">
        <v>340</v>
      </c>
      <c r="G32" s="113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8"/>
      <c r="B33" s="105" t="s">
        <v>15</v>
      </c>
      <c r="C33" s="26" t="s">
        <v>676</v>
      </c>
      <c r="D33" s="57" t="s">
        <v>375</v>
      </c>
      <c r="E33" s="58" t="s">
        <v>373</v>
      </c>
      <c r="F33" s="4" t="s">
        <v>374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677</v>
      </c>
      <c r="D34" s="58" t="s">
        <v>375</v>
      </c>
      <c r="E34" s="58" t="s">
        <v>373</v>
      </c>
      <c r="F34" s="4" t="s">
        <v>374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681</v>
      </c>
      <c r="D35" s="55" t="s">
        <v>375</v>
      </c>
      <c r="E35" s="55" t="s">
        <v>373</v>
      </c>
      <c r="F35" s="58" t="s">
        <v>374</v>
      </c>
      <c r="G35" s="3"/>
      <c r="H35" s="3"/>
      <c r="I35" s="3"/>
      <c r="J35" s="3"/>
      <c r="K35" s="3"/>
      <c r="L35" s="10"/>
      <c r="M35" s="19" t="s">
        <v>680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678</v>
      </c>
      <c r="D36" s="55" t="s">
        <v>375</v>
      </c>
      <c r="E36" s="58" t="s">
        <v>373</v>
      </c>
      <c r="F36" s="4" t="s">
        <v>374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679</v>
      </c>
      <c r="D37" s="55" t="s">
        <v>375</v>
      </c>
      <c r="E37" s="55" t="s">
        <v>373</v>
      </c>
      <c r="F37" s="58" t="s">
        <v>374</v>
      </c>
      <c r="G37" s="3"/>
      <c r="H37" s="3"/>
      <c r="I37" s="3"/>
      <c r="J37" s="3"/>
      <c r="K37" s="3"/>
      <c r="L37" s="13"/>
      <c r="M37" s="19" t="s">
        <v>680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342</v>
      </c>
      <c r="I38" s="63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452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638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441</v>
      </c>
      <c r="D42" s="49" t="s">
        <v>442</v>
      </c>
      <c r="E42" s="79" t="s">
        <v>443</v>
      </c>
      <c r="F42" s="49" t="s">
        <v>444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504</v>
      </c>
      <c r="C43" s="26" t="s">
        <v>503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438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548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505</v>
      </c>
      <c r="C45" s="26" t="s">
        <v>503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500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498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500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499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501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438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497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439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502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17</v>
      </c>
      <c r="D51" s="52" t="s">
        <v>140</v>
      </c>
      <c r="E51" s="53" t="s">
        <v>531</v>
      </c>
      <c r="F51" s="53" t="s">
        <v>338</v>
      </c>
      <c r="G51" s="53" t="s">
        <v>170</v>
      </c>
      <c r="H51" s="53" t="s">
        <v>653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459</v>
      </c>
      <c r="D52" s="57" t="s">
        <v>328</v>
      </c>
      <c r="E52" s="79" t="s">
        <v>413</v>
      </c>
      <c r="F52" s="49" t="s">
        <v>460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666</v>
      </c>
      <c r="D53" s="57" t="s">
        <v>328</v>
      </c>
      <c r="E53" s="79" t="s">
        <v>449</v>
      </c>
      <c r="F53" s="79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667</v>
      </c>
      <c r="D54" s="57" t="s">
        <v>328</v>
      </c>
      <c r="E54" s="79" t="s">
        <v>668</v>
      </c>
      <c r="F54" s="79" t="s">
        <v>669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315</v>
      </c>
      <c r="D55" s="49" t="s">
        <v>695</v>
      </c>
      <c r="E55" s="49" t="s">
        <v>696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41</v>
      </c>
      <c r="B56" s="111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08"/>
      <c r="B57" s="111"/>
      <c r="C57" s="26" t="s">
        <v>20</v>
      </c>
      <c r="D57" s="54" t="s">
        <v>366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08"/>
      <c r="B58" s="111"/>
      <c r="C58" s="3" t="s">
        <v>389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350</v>
      </c>
      <c r="D59" s="4" t="s">
        <v>486</v>
      </c>
      <c r="E59" s="4" t="s">
        <v>406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355</v>
      </c>
      <c r="D60" s="51" t="s">
        <v>386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08"/>
      <c r="B61" s="111"/>
      <c r="C61" s="3" t="s">
        <v>352</v>
      </c>
      <c r="D61" s="81" t="s">
        <v>468</v>
      </c>
      <c r="E61" s="82" t="s">
        <v>407</v>
      </c>
      <c r="F61" s="82" t="s">
        <v>408</v>
      </c>
      <c r="G61" s="60" t="s">
        <v>515</v>
      </c>
      <c r="H61" s="60" t="s">
        <v>100</v>
      </c>
      <c r="I61" s="60" t="s">
        <v>101</v>
      </c>
      <c r="J61" s="60" t="s">
        <v>529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08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08"/>
      <c r="B63" s="111"/>
      <c r="C63" s="3" t="s">
        <v>715</v>
      </c>
      <c r="D63" s="58" t="s">
        <v>717</v>
      </c>
      <c r="E63" s="65" t="s">
        <v>716</v>
      </c>
      <c r="F63" s="66" t="s">
        <v>718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08"/>
      <c r="B64" s="111" t="s">
        <v>508</v>
      </c>
      <c r="C64" s="26" t="s">
        <v>470</v>
      </c>
      <c r="D64" s="4" t="s">
        <v>469</v>
      </c>
      <c r="E64" s="55" t="s">
        <v>472</v>
      </c>
      <c r="F64" s="57" t="s">
        <v>252</v>
      </c>
      <c r="G64" s="3"/>
      <c r="H64" s="3"/>
      <c r="I64" s="3"/>
      <c r="J64" s="3"/>
      <c r="K64" s="3"/>
      <c r="L64" s="10"/>
      <c r="M64" s="19" t="s">
        <v>494</v>
      </c>
      <c r="O64" s="2">
        <v>49</v>
      </c>
      <c r="P64" s="2">
        <v>90</v>
      </c>
      <c r="Q64" s="2">
        <v>33</v>
      </c>
    </row>
    <row r="65" spans="1:22" x14ac:dyDescent="0.25">
      <c r="A65" s="108"/>
      <c r="B65" s="111"/>
      <c r="C65" s="26" t="s">
        <v>71</v>
      </c>
      <c r="D65" s="18" t="s">
        <v>475</v>
      </c>
      <c r="E65" s="18" t="s">
        <v>476</v>
      </c>
      <c r="F65" s="3"/>
      <c r="G65" s="3"/>
      <c r="H65" s="3"/>
      <c r="I65" s="3"/>
      <c r="J65" s="3"/>
      <c r="K65" s="3"/>
      <c r="L65" s="4"/>
      <c r="M65" s="19" t="s">
        <v>494</v>
      </c>
      <c r="O65" s="2">
        <v>14</v>
      </c>
      <c r="P65" s="2">
        <v>34</v>
      </c>
    </row>
    <row r="66" spans="1:22" x14ac:dyDescent="0.25">
      <c r="A66" s="108"/>
      <c r="B66" s="111"/>
      <c r="C66" s="26" t="s">
        <v>72</v>
      </c>
      <c r="D66" s="18" t="s">
        <v>474</v>
      </c>
      <c r="E66" s="18" t="s">
        <v>473</v>
      </c>
      <c r="F66" s="3"/>
      <c r="G66" s="3"/>
      <c r="H66" s="3"/>
      <c r="I66" s="3"/>
      <c r="J66" s="3"/>
      <c r="K66" s="3"/>
      <c r="L66" s="43"/>
      <c r="M66" s="19" t="s">
        <v>494</v>
      </c>
      <c r="O66" s="2">
        <v>51</v>
      </c>
      <c r="P66" s="2">
        <v>13</v>
      </c>
    </row>
    <row r="67" spans="1:22" x14ac:dyDescent="0.25">
      <c r="A67" s="108"/>
      <c r="B67" s="111"/>
      <c r="C67" s="3" t="s">
        <v>507</v>
      </c>
      <c r="D67" s="58" t="s">
        <v>514</v>
      </c>
      <c r="E67" s="58" t="s">
        <v>513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08"/>
      <c r="B68" s="111"/>
      <c r="C68" s="26" t="s">
        <v>73</v>
      </c>
      <c r="D68" s="57" t="s">
        <v>471</v>
      </c>
      <c r="E68" s="3"/>
      <c r="F68" s="3"/>
      <c r="G68" s="3"/>
      <c r="H68" s="3"/>
      <c r="I68" s="3"/>
      <c r="J68" s="3"/>
      <c r="K68" s="3"/>
      <c r="L68" s="13"/>
      <c r="M68" s="19" t="s">
        <v>494</v>
      </c>
      <c r="O68" s="23">
        <v>50</v>
      </c>
      <c r="P68" s="2"/>
      <c r="Q68" s="23"/>
    </row>
    <row r="69" spans="1:22" ht="13.2" customHeight="1" x14ac:dyDescent="0.25">
      <c r="A69" s="116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17"/>
      <c r="B70" s="111"/>
      <c r="C70" s="3" t="s">
        <v>454</v>
      </c>
      <c r="D70" s="48" t="s">
        <v>456</v>
      </c>
      <c r="E70" s="48" t="s">
        <v>455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17"/>
      <c r="B71" s="111"/>
      <c r="C71" s="26" t="s">
        <v>145</v>
      </c>
      <c r="D71" s="48" t="s">
        <v>453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17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17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17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17"/>
      <c r="B75" s="111"/>
      <c r="C75" s="26" t="s">
        <v>520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17"/>
      <c r="B76" s="111"/>
      <c r="C76" s="26" t="s">
        <v>573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17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395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17"/>
      <c r="B78" s="111"/>
      <c r="C78" s="3" t="s">
        <v>523</v>
      </c>
      <c r="D78" s="58" t="s">
        <v>397</v>
      </c>
      <c r="E78" s="58" t="s">
        <v>396</v>
      </c>
      <c r="F78" s="3"/>
      <c r="G78" s="3"/>
      <c r="H78" s="3"/>
      <c r="I78" s="3"/>
      <c r="J78" s="3"/>
      <c r="K78" s="3"/>
      <c r="L78" s="43"/>
      <c r="M78" s="42" t="s">
        <v>526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17"/>
      <c r="B79" s="111"/>
      <c r="C79" s="26" t="s">
        <v>575</v>
      </c>
      <c r="D79" s="4" t="s">
        <v>399</v>
      </c>
      <c r="E79" s="55" t="s">
        <v>67</v>
      </c>
      <c r="F79" s="55" t="s">
        <v>388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17"/>
      <c r="B80" s="111"/>
      <c r="C80" s="28" t="s">
        <v>195</v>
      </c>
      <c r="D80" s="4" t="s">
        <v>193</v>
      </c>
      <c r="E80" s="4" t="s">
        <v>519</v>
      </c>
      <c r="F80" s="55" t="s">
        <v>447</v>
      </c>
      <c r="G80" s="4" t="s">
        <v>511</v>
      </c>
      <c r="H80" s="4" t="s">
        <v>119</v>
      </c>
      <c r="I80" s="3"/>
      <c r="K80" s="3"/>
      <c r="L80" s="13"/>
      <c r="M80" s="19" t="s">
        <v>394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17"/>
      <c r="B81" s="111"/>
      <c r="C81" s="28" t="s">
        <v>195</v>
      </c>
      <c r="D81" s="55" t="s">
        <v>368</v>
      </c>
      <c r="E81" s="57" t="s">
        <v>64</v>
      </c>
      <c r="F81" s="55" t="s">
        <v>539</v>
      </c>
      <c r="G81" s="55" t="s">
        <v>194</v>
      </c>
      <c r="H81" s="3"/>
      <c r="I81" s="3"/>
      <c r="J81" s="3"/>
      <c r="K81" s="3"/>
      <c r="L81" s="13"/>
      <c r="M81" s="19" t="s">
        <v>394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17"/>
      <c r="B82" s="111"/>
      <c r="C82" s="3" t="s">
        <v>527</v>
      </c>
      <c r="D82" s="58" t="s">
        <v>179</v>
      </c>
      <c r="E82" s="58" t="s">
        <v>181</v>
      </c>
      <c r="F82" s="58" t="s">
        <v>528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17"/>
      <c r="B83" s="111"/>
      <c r="C83" s="26" t="s">
        <v>634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17"/>
      <c r="B84" s="111"/>
      <c r="C84" s="26" t="s">
        <v>580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17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722</v>
      </c>
      <c r="H85" s="103" t="s">
        <v>723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17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17"/>
      <c r="B87" s="111"/>
      <c r="C87" s="26" t="s">
        <v>582</v>
      </c>
      <c r="D87" s="30" t="s">
        <v>466</v>
      </c>
      <c r="E87" s="30" t="s">
        <v>467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17"/>
      <c r="B88" s="111"/>
      <c r="C88" s="26" t="s">
        <v>584</v>
      </c>
      <c r="D88" s="57" t="s">
        <v>495</v>
      </c>
      <c r="E88" s="57" t="s">
        <v>64</v>
      </c>
      <c r="F88" s="55" t="s">
        <v>533</v>
      </c>
      <c r="G88" s="89" t="s">
        <v>532</v>
      </c>
      <c r="H88" s="57" t="s">
        <v>294</v>
      </c>
      <c r="I88" s="55" t="s">
        <v>402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17"/>
      <c r="B89" s="111"/>
      <c r="C89" s="26" t="s">
        <v>585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17"/>
      <c r="B90" s="111"/>
      <c r="C90" s="3" t="s">
        <v>76</v>
      </c>
      <c r="D90" s="72" t="s">
        <v>658</v>
      </c>
      <c r="E90" s="100" t="s">
        <v>659</v>
      </c>
      <c r="F90" s="72" t="s">
        <v>661</v>
      </c>
      <c r="G90" s="100" t="s">
        <v>662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17"/>
      <c r="B91" s="111"/>
      <c r="C91" s="26" t="s">
        <v>462</v>
      </c>
      <c r="D91" s="18" t="s">
        <v>477</v>
      </c>
      <c r="E91" s="18" t="s">
        <v>478</v>
      </c>
      <c r="F91" s="4" t="s">
        <v>479</v>
      </c>
      <c r="G91" s="56" t="s">
        <v>480</v>
      </c>
      <c r="H91" s="57" t="s">
        <v>252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17"/>
      <c r="B92" s="111"/>
      <c r="C92" s="26" t="s">
        <v>463</v>
      </c>
      <c r="D92" s="18" t="s">
        <v>477</v>
      </c>
      <c r="E92" s="18" t="s">
        <v>478</v>
      </c>
      <c r="F92" s="4" t="s">
        <v>479</v>
      </c>
      <c r="G92" s="56" t="s">
        <v>480</v>
      </c>
      <c r="H92" s="57" t="s">
        <v>252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17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17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17"/>
      <c r="B95" s="111"/>
      <c r="C95" s="26" t="s">
        <v>372</v>
      </c>
      <c r="D95" s="60" t="s">
        <v>482</v>
      </c>
      <c r="E95" s="60" t="s">
        <v>481</v>
      </c>
      <c r="F95" s="60" t="s">
        <v>371</v>
      </c>
      <c r="G95" s="60" t="s">
        <v>461</v>
      </c>
      <c r="H95" s="60" t="s">
        <v>390</v>
      </c>
      <c r="I95" s="60" t="s">
        <v>421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17"/>
      <c r="B96" s="111"/>
      <c r="C96" s="26" t="s">
        <v>546</v>
      </c>
      <c r="D96" s="4" t="s">
        <v>547</v>
      </c>
      <c r="E96" s="55" t="s">
        <v>728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17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17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17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17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17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17"/>
      <c r="B102" s="105" t="s">
        <v>225</v>
      </c>
      <c r="C102" s="3" t="s">
        <v>226</v>
      </c>
      <c r="D102" s="4" t="s">
        <v>275</v>
      </c>
      <c r="E102" s="4" t="s">
        <v>227</v>
      </c>
      <c r="F102" s="55" t="s">
        <v>398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17"/>
      <c r="B103" s="106"/>
      <c r="C103" s="3" t="s">
        <v>226</v>
      </c>
      <c r="D103" s="4" t="s">
        <v>382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17"/>
      <c r="B104" s="106"/>
      <c r="C104" s="3" t="s">
        <v>273</v>
      </c>
      <c r="D104" s="4" t="s">
        <v>275</v>
      </c>
      <c r="E104" s="4" t="s">
        <v>227</v>
      </c>
      <c r="F104" s="55" t="s">
        <v>398</v>
      </c>
      <c r="G104" s="55" t="s">
        <v>228</v>
      </c>
      <c r="H104" s="48" t="s">
        <v>277</v>
      </c>
      <c r="I104" s="56" t="s">
        <v>436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17"/>
      <c r="B105" s="106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17"/>
      <c r="B106" s="106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414</v>
      </c>
      <c r="J106" s="55" t="s">
        <v>417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7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17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17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17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17"/>
      <c r="B111" s="111"/>
      <c r="C111" s="3" t="s">
        <v>423</v>
      </c>
      <c r="D111" s="48" t="s">
        <v>426</v>
      </c>
      <c r="E111" s="48" t="s">
        <v>424</v>
      </c>
      <c r="F111" s="48" t="s">
        <v>485</v>
      </c>
      <c r="G111" s="48" t="s">
        <v>425</v>
      </c>
      <c r="H111" s="48" t="s">
        <v>427</v>
      </c>
      <c r="I111" s="3"/>
      <c r="J111" s="3"/>
      <c r="K111" s="3"/>
      <c r="L111" s="13"/>
      <c r="M111" s="19" t="s">
        <v>428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17"/>
      <c r="B112" s="111"/>
      <c r="C112" s="3" t="s">
        <v>488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17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17"/>
      <c r="B114" s="111"/>
      <c r="C114" s="26" t="s">
        <v>325</v>
      </c>
      <c r="D114" s="4" t="s">
        <v>178</v>
      </c>
      <c r="E114" s="4" t="s">
        <v>183</v>
      </c>
      <c r="F114" s="55" t="s">
        <v>199</v>
      </c>
      <c r="G114" s="4" t="s">
        <v>185</v>
      </c>
      <c r="H114" s="55" t="s">
        <v>184</v>
      </c>
      <c r="I114" s="55" t="s">
        <v>414</v>
      </c>
      <c r="J114" s="55" t="s">
        <v>418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17"/>
      <c r="B115" s="111"/>
      <c r="C115" s="3" t="s">
        <v>176</v>
      </c>
      <c r="D115" s="49" t="s">
        <v>316</v>
      </c>
      <c r="E115" s="49" t="s">
        <v>434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1" x14ac:dyDescent="0.25">
      <c r="A116" s="118"/>
      <c r="B116" s="111"/>
      <c r="C116" s="26" t="s">
        <v>175</v>
      </c>
      <c r="D116" s="4" t="s">
        <v>329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412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7"/>
  <sheetViews>
    <sheetView zoomScale="130" zoomScaleNormal="130" workbookViewId="0">
      <pane ySplit="1" topLeftCell="A288" activePane="bottomLeft" state="frozen"/>
      <selection pane="bottomLeft" activeCell="C302" sqref="C302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536</v>
      </c>
      <c r="G1" s="33" t="s">
        <v>549</v>
      </c>
      <c r="H1" s="33" t="s">
        <v>550</v>
      </c>
      <c r="I1" s="33" t="s">
        <v>551</v>
      </c>
      <c r="J1" s="33" t="s">
        <v>493</v>
      </c>
      <c r="K1" s="33" t="s">
        <v>494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504</v>
      </c>
      <c r="D3" s="38" t="s">
        <v>503</v>
      </c>
      <c r="E3" s="41" t="s">
        <v>49</v>
      </c>
      <c r="F3" s="35" t="s">
        <v>652</v>
      </c>
      <c r="G3" s="35"/>
      <c r="H3" s="35"/>
      <c r="I3" s="35" t="s">
        <v>614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537</v>
      </c>
      <c r="V3" s="38" t="s">
        <v>379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8" t="s">
        <v>553</v>
      </c>
      <c r="G4" s="36"/>
      <c r="H4" s="36"/>
      <c r="I4" s="35" t="s">
        <v>643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553</v>
      </c>
      <c r="G5" s="36"/>
      <c r="H5" s="36"/>
      <c r="I5" s="35" t="s">
        <v>639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404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553</v>
      </c>
      <c r="G6" s="36"/>
      <c r="H6" s="36"/>
      <c r="I6" s="35" t="s">
        <v>639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405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553</v>
      </c>
      <c r="G7" s="36"/>
      <c r="H7" s="36"/>
      <c r="I7" s="35" t="s">
        <v>610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671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678</v>
      </c>
      <c r="E10" s="41" t="s">
        <v>375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377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8" t="s">
        <v>555</v>
      </c>
      <c r="G11" s="36"/>
      <c r="H11" s="36"/>
      <c r="I11" s="35" t="s">
        <v>563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638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653</v>
      </c>
      <c r="F12" s="98" t="s">
        <v>554</v>
      </c>
      <c r="G12" s="36"/>
      <c r="H12" s="36"/>
      <c r="I12" s="35" t="s">
        <v>643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655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508</v>
      </c>
      <c r="D14" s="38" t="s">
        <v>72</v>
      </c>
      <c r="E14" s="41" t="s">
        <v>473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494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508</v>
      </c>
      <c r="D15" s="38" t="s">
        <v>71</v>
      </c>
      <c r="E15" s="41" t="s">
        <v>475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494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695</v>
      </c>
      <c r="F16" s="98" t="s">
        <v>555</v>
      </c>
      <c r="G16" s="35"/>
      <c r="H16" s="35"/>
      <c r="I16" s="35" t="s">
        <v>563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445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696</v>
      </c>
      <c r="F17" s="98" t="s">
        <v>555</v>
      </c>
      <c r="G17" s="35"/>
      <c r="H17" s="35"/>
      <c r="I17" s="35" t="s">
        <v>563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445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505</v>
      </c>
      <c r="D19" s="38" t="s">
        <v>438</v>
      </c>
      <c r="E19" s="41" t="s">
        <v>49</v>
      </c>
      <c r="F19" s="35" t="s">
        <v>652</v>
      </c>
      <c r="G19" s="36"/>
      <c r="H19" s="36"/>
      <c r="I19" s="35" t="s">
        <v>614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497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505</v>
      </c>
      <c r="D20" s="38" t="s">
        <v>438</v>
      </c>
      <c r="E20" s="41" t="s">
        <v>50</v>
      </c>
      <c r="F20" s="35" t="s">
        <v>652</v>
      </c>
      <c r="G20" s="36"/>
      <c r="H20" s="36"/>
      <c r="I20" s="35" t="s">
        <v>614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380</v>
      </c>
      <c r="Q20" s="36"/>
      <c r="R20" s="36"/>
      <c r="S20" s="38">
        <v>60</v>
      </c>
      <c r="T20" s="38">
        <v>0</v>
      </c>
      <c r="U20" s="38" t="s">
        <v>497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366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671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553</v>
      </c>
      <c r="G25" s="36"/>
      <c r="H25" s="36"/>
      <c r="I25" s="35" t="s">
        <v>656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8" t="s">
        <v>553</v>
      </c>
      <c r="G26" s="36"/>
      <c r="H26" s="36"/>
      <c r="I26" s="35" t="s">
        <v>559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727</v>
      </c>
      <c r="F28" s="98" t="s">
        <v>553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553</v>
      </c>
      <c r="G29" s="36"/>
      <c r="H29" s="36"/>
      <c r="I29" s="35" t="s">
        <v>610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504</v>
      </c>
      <c r="D32" s="38" t="s">
        <v>503</v>
      </c>
      <c r="E32" s="41" t="s">
        <v>50</v>
      </c>
      <c r="F32" s="35" t="s">
        <v>652</v>
      </c>
      <c r="G32" s="35"/>
      <c r="H32" s="35"/>
      <c r="I32" s="35" t="s">
        <v>614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537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504</v>
      </c>
      <c r="D33" s="38" t="s">
        <v>503</v>
      </c>
      <c r="E33" s="41" t="s">
        <v>23</v>
      </c>
      <c r="F33" s="35" t="s">
        <v>652</v>
      </c>
      <c r="G33" s="35"/>
      <c r="H33" s="35"/>
      <c r="I33" s="35" t="s">
        <v>614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537</v>
      </c>
      <c r="V33" s="38" t="s">
        <v>506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508</v>
      </c>
      <c r="D34" s="38" t="s">
        <v>470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494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508</v>
      </c>
      <c r="D35" s="38" t="s">
        <v>71</v>
      </c>
      <c r="E35" s="41" t="s">
        <v>476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494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367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8" t="s">
        <v>555</v>
      </c>
      <c r="G40" s="36"/>
      <c r="H40" s="36"/>
      <c r="I40" s="35" t="s">
        <v>563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638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487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489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372</v>
      </c>
      <c r="E48" s="41" t="s">
        <v>482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538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483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508</v>
      </c>
      <c r="D50" s="38" t="s">
        <v>470</v>
      </c>
      <c r="E50" s="41" t="s">
        <v>469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494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508</v>
      </c>
      <c r="D51" s="38" t="s">
        <v>73</v>
      </c>
      <c r="E51" s="41" t="s">
        <v>471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494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508</v>
      </c>
      <c r="D52" s="38" t="s">
        <v>72</v>
      </c>
      <c r="E52" s="41" t="s">
        <v>474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494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508</v>
      </c>
      <c r="D53" s="38" t="s">
        <v>507</v>
      </c>
      <c r="E53" s="38" t="s">
        <v>514</v>
      </c>
      <c r="F53" s="99">
        <v>12</v>
      </c>
      <c r="I53" s="90" t="s">
        <v>648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509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671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671</v>
      </c>
      <c r="D60" s="38" t="s">
        <v>684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671</v>
      </c>
      <c r="D61" s="38" t="s">
        <v>684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671</v>
      </c>
      <c r="D62" s="38" t="s">
        <v>684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671</v>
      </c>
      <c r="D63" s="38" t="s">
        <v>684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671</v>
      </c>
      <c r="D64" s="38" t="s">
        <v>685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699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671</v>
      </c>
      <c r="D65" s="38" t="s">
        <v>685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703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671</v>
      </c>
      <c r="D66" s="38" t="s">
        <v>685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704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671</v>
      </c>
      <c r="D67" s="38" t="s">
        <v>685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705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553</v>
      </c>
      <c r="G71" s="35"/>
      <c r="H71" s="35"/>
      <c r="I71" s="35" t="s">
        <v>651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553</v>
      </c>
      <c r="G72" s="35"/>
      <c r="H72" s="35"/>
      <c r="I72" s="35" t="s">
        <v>651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372</v>
      </c>
      <c r="E76" s="41" t="s">
        <v>481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484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584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575</v>
      </c>
      <c r="E85" s="41" t="s">
        <v>67</v>
      </c>
      <c r="F85" s="35" t="s">
        <v>552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575</v>
      </c>
      <c r="E86" s="41" t="s">
        <v>388</v>
      </c>
      <c r="F86" s="35" t="s">
        <v>552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391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575</v>
      </c>
      <c r="E87" s="41" t="s">
        <v>69</v>
      </c>
      <c r="F87" s="35" t="s">
        <v>552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508</v>
      </c>
      <c r="D88" s="38" t="s">
        <v>507</v>
      </c>
      <c r="E88" s="38" t="s">
        <v>513</v>
      </c>
      <c r="F88" s="99">
        <v>12</v>
      </c>
      <c r="I88" s="90" t="s">
        <v>648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510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658</v>
      </c>
      <c r="F90" s="98" t="s">
        <v>555</v>
      </c>
      <c r="G90" s="35" t="s">
        <v>237</v>
      </c>
      <c r="H90" s="36"/>
      <c r="I90" s="35" t="s">
        <v>660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508</v>
      </c>
      <c r="D91" s="38" t="s">
        <v>470</v>
      </c>
      <c r="E91" s="41" t="s">
        <v>472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494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659</v>
      </c>
      <c r="F97" s="98" t="s">
        <v>555</v>
      </c>
      <c r="G97" s="35" t="s">
        <v>237</v>
      </c>
      <c r="H97" s="36"/>
      <c r="I97" s="35" t="s">
        <v>660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437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666</v>
      </c>
      <c r="E99" s="41" t="s">
        <v>449</v>
      </c>
      <c r="F99" s="98" t="s">
        <v>555</v>
      </c>
      <c r="G99" s="36"/>
      <c r="H99" s="36"/>
      <c r="I99" s="35" t="s">
        <v>563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715</v>
      </c>
      <c r="E100" s="41" t="s">
        <v>716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719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381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381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381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381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671</v>
      </c>
      <c r="D109" s="38" t="s">
        <v>686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700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671</v>
      </c>
      <c r="D110" s="38" t="s">
        <v>686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706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671</v>
      </c>
      <c r="D111" s="38" t="s">
        <v>686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707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671</v>
      </c>
      <c r="D112" s="38" t="s">
        <v>686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708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543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385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671</v>
      </c>
      <c r="D129" s="38" t="s">
        <v>682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671</v>
      </c>
      <c r="D130" s="38" t="s">
        <v>682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671</v>
      </c>
      <c r="D131" s="38" t="s">
        <v>682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671</v>
      </c>
      <c r="D132" s="38" t="s">
        <v>682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670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671</v>
      </c>
      <c r="D133" s="38" t="s">
        <v>687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671</v>
      </c>
      <c r="D134" s="38" t="s">
        <v>687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671</v>
      </c>
      <c r="D135" s="38" t="s">
        <v>687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671</v>
      </c>
      <c r="D136" s="38" t="s">
        <v>687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582</v>
      </c>
      <c r="E137" s="38" t="s">
        <v>467</v>
      </c>
      <c r="F137" s="99">
        <v>12</v>
      </c>
      <c r="I137" s="35" t="s">
        <v>539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465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411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671</v>
      </c>
      <c r="D139" s="38" t="s">
        <v>683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701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671</v>
      </c>
      <c r="D140" s="38" t="s">
        <v>683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709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671</v>
      </c>
      <c r="D141" s="38" t="s">
        <v>683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710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671</v>
      </c>
      <c r="D142" s="38" t="s">
        <v>683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711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693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694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693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694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693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694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693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694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671</v>
      </c>
      <c r="D147" s="38" t="s">
        <v>689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671</v>
      </c>
      <c r="D148" s="38" t="s">
        <v>689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671</v>
      </c>
      <c r="D149" s="38" t="s">
        <v>689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671</v>
      </c>
      <c r="D150" s="38" t="s">
        <v>689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643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643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643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643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643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643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643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643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643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643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643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520</v>
      </c>
      <c r="E163" s="41" t="s">
        <v>100</v>
      </c>
      <c r="F163" s="35" t="s">
        <v>553</v>
      </c>
      <c r="G163" s="36"/>
      <c r="H163" s="36"/>
      <c r="I163" s="35" t="s">
        <v>643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520</v>
      </c>
      <c r="E164" s="41" t="s">
        <v>101</v>
      </c>
      <c r="F164" s="35" t="s">
        <v>553</v>
      </c>
      <c r="G164" s="36"/>
      <c r="H164" s="36"/>
      <c r="I164" s="35" t="s">
        <v>643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520</v>
      </c>
      <c r="E165" s="41" t="s">
        <v>102</v>
      </c>
      <c r="F165" s="35" t="s">
        <v>553</v>
      </c>
      <c r="G165" s="36"/>
      <c r="H165" s="36"/>
      <c r="I165" s="35" t="s">
        <v>643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520</v>
      </c>
      <c r="E166" s="41" t="s">
        <v>103</v>
      </c>
      <c r="F166" s="35" t="s">
        <v>553</v>
      </c>
      <c r="G166" s="36"/>
      <c r="H166" s="36"/>
      <c r="I166" s="35" t="s">
        <v>643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520</v>
      </c>
      <c r="E167" s="41" t="s">
        <v>108</v>
      </c>
      <c r="F167" s="35" t="s">
        <v>553</v>
      </c>
      <c r="G167" s="36"/>
      <c r="H167" s="36"/>
      <c r="I167" s="35" t="s">
        <v>643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585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573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573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573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721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573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721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573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721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585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544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545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389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389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555</v>
      </c>
      <c r="G195" s="36"/>
      <c r="H195" s="36"/>
      <c r="I195" s="35" t="s">
        <v>612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387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666</v>
      </c>
      <c r="E197" s="41" t="s">
        <v>339</v>
      </c>
      <c r="F197" s="98" t="s">
        <v>555</v>
      </c>
      <c r="G197" s="36"/>
      <c r="H197" s="36"/>
      <c r="I197" s="35" t="s">
        <v>563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453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642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8" t="s">
        <v>553</v>
      </c>
      <c r="G201" s="36"/>
      <c r="H201" s="36"/>
      <c r="I201" s="35" t="s">
        <v>643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8" t="s">
        <v>553</v>
      </c>
      <c r="G202" s="36"/>
      <c r="H202" s="36"/>
      <c r="I202" s="35" t="s">
        <v>559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634</v>
      </c>
      <c r="E207" s="41" t="s">
        <v>159</v>
      </c>
      <c r="F207" s="35" t="s">
        <v>552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634</v>
      </c>
      <c r="E208" s="41" t="s">
        <v>160</v>
      </c>
      <c r="F208" s="35" t="s">
        <v>552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634</v>
      </c>
      <c r="E209" s="41" t="s">
        <v>266</v>
      </c>
      <c r="F209" s="35" t="s">
        <v>552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634</v>
      </c>
      <c r="E210" s="41" t="s">
        <v>267</v>
      </c>
      <c r="F210" s="35" t="s">
        <v>552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580</v>
      </c>
      <c r="E211" s="41" t="s">
        <v>159</v>
      </c>
      <c r="F211" s="35" t="s">
        <v>552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580</v>
      </c>
      <c r="E212" s="41" t="s">
        <v>160</v>
      </c>
      <c r="F212" s="35" t="s">
        <v>552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580</v>
      </c>
      <c r="E213" s="41" t="s">
        <v>266</v>
      </c>
      <c r="F213" s="35" t="s">
        <v>552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580</v>
      </c>
      <c r="E214" s="41" t="s">
        <v>267</v>
      </c>
      <c r="F214" s="35" t="s">
        <v>552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557</v>
      </c>
      <c r="G215" s="35" t="s">
        <v>237</v>
      </c>
      <c r="H215" s="36"/>
      <c r="I215" s="35" t="s">
        <v>539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450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557</v>
      </c>
      <c r="G216" s="35" t="s">
        <v>237</v>
      </c>
      <c r="H216" s="36"/>
      <c r="I216" s="35" t="s">
        <v>539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451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557</v>
      </c>
      <c r="G217" s="35" t="s">
        <v>237</v>
      </c>
      <c r="H217" s="36"/>
      <c r="I217" s="35" t="s">
        <v>539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557</v>
      </c>
      <c r="G218" s="35" t="s">
        <v>237</v>
      </c>
      <c r="H218" s="36"/>
      <c r="I218" s="35" t="s">
        <v>539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557</v>
      </c>
      <c r="G219" s="35" t="s">
        <v>237</v>
      </c>
      <c r="H219" s="36"/>
      <c r="I219" s="35" t="s">
        <v>539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557</v>
      </c>
      <c r="G220" s="35" t="s">
        <v>237</v>
      </c>
      <c r="H220" s="36"/>
      <c r="I220" s="35" t="s">
        <v>539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584</v>
      </c>
      <c r="E221" s="41" t="s">
        <v>533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534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584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724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556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556</v>
      </c>
      <c r="G236" s="36"/>
      <c r="H236" s="36"/>
      <c r="I236" s="35" t="s">
        <v>654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556</v>
      </c>
      <c r="G237" s="36"/>
      <c r="H237" s="36"/>
      <c r="I237" s="35" t="s">
        <v>654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556</v>
      </c>
      <c r="G238" s="36"/>
      <c r="H238" s="36"/>
      <c r="I238" s="35" t="s">
        <v>654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556</v>
      </c>
      <c r="G243" s="36"/>
      <c r="H243" s="36"/>
      <c r="I243" s="35" t="s">
        <v>644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556</v>
      </c>
      <c r="G244" s="36"/>
      <c r="H244" s="36"/>
      <c r="I244" s="35" t="s">
        <v>644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440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556</v>
      </c>
      <c r="G245" s="36"/>
      <c r="H245" s="36"/>
      <c r="I245" s="35" t="s">
        <v>598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665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552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394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552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394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552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394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556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649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383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462</v>
      </c>
      <c r="E266" s="41" t="s">
        <v>477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462</v>
      </c>
      <c r="E267" s="41" t="s">
        <v>478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462</v>
      </c>
      <c r="E268" s="41" t="s">
        <v>479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462</v>
      </c>
      <c r="E269" s="41" t="s">
        <v>480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40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462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414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415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643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585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645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654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539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539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582</v>
      </c>
      <c r="E290" s="38" t="s">
        <v>304</v>
      </c>
      <c r="F290" s="99">
        <v>12</v>
      </c>
      <c r="I290" s="35" t="s">
        <v>539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582</v>
      </c>
      <c r="E293" s="38" t="s">
        <v>303</v>
      </c>
      <c r="F293" s="99">
        <v>12</v>
      </c>
      <c r="I293" s="35" t="s">
        <v>539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582</v>
      </c>
      <c r="E294" s="38" t="s">
        <v>466</v>
      </c>
      <c r="F294" s="99">
        <v>12</v>
      </c>
      <c r="I294" s="35" t="s">
        <v>539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464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666</v>
      </c>
      <c r="E297" s="38" t="s">
        <v>328</v>
      </c>
      <c r="F297" s="99">
        <v>9</v>
      </c>
      <c r="I297" s="35" t="s">
        <v>563</v>
      </c>
      <c r="J297" s="84">
        <f>VLOOKUP($A297, Stat!$A$1:$C$501, 2,0)</f>
        <v>8</v>
      </c>
      <c r="K297" s="84">
        <f>VLOOKUP($A297, Stat!$A$1:$C$501, 3,0)</f>
        <v>0</v>
      </c>
      <c r="L297" s="87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4">
        <f>VLOOKUP($A298, Stat!$A$1:$C$501, 2,0)</f>
        <v>22</v>
      </c>
      <c r="K298" s="84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639</v>
      </c>
      <c r="J299" s="84">
        <f>VLOOKUP($A299, Stat!$A$1:$C$501, 2,0)</f>
        <v>14</v>
      </c>
      <c r="K299" s="84">
        <f>VLOOKUP($A299, Stat!$A$1:$C$501, 3,0)</f>
        <v>0</v>
      </c>
      <c r="L299" s="87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639</v>
      </c>
      <c r="J300" s="84">
        <f>VLOOKUP($A300, Stat!$A$1:$C$501, 2,0)</f>
        <v>6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531</v>
      </c>
      <c r="J301" s="84">
        <f>VLOOKUP($A301, Stat!$A$1:$C$501, 2,0)</f>
        <v>4</v>
      </c>
      <c r="K301" s="84">
        <f>VLOOKUP($A301, Stat!$A$1:$C$501, 3,0)</f>
        <v>1</v>
      </c>
      <c r="L301" s="87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4">
        <f>VLOOKUP($A302, Stat!$A$1:$C$501, 2,0)</f>
        <v>49</v>
      </c>
      <c r="K302" s="84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486</v>
      </c>
      <c r="F303" s="34">
        <v>1</v>
      </c>
      <c r="J303" s="84">
        <f>VLOOKUP($A303, Stat!$A$1:$C$501, 2,0)</f>
        <v>86</v>
      </c>
      <c r="K303" s="84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4">
        <f>VLOOKUP($A304, Stat!$A$1:$C$501, 2,0)</f>
        <v>134</v>
      </c>
      <c r="K304" s="84">
        <f>VLOOKUP($A304, Stat!$A$1:$C$501, 3,0)</f>
        <v>9</v>
      </c>
      <c r="L304" s="87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407</v>
      </c>
      <c r="F305" s="34">
        <v>1</v>
      </c>
      <c r="J305" s="84">
        <f>VLOOKUP($A305, Stat!$A$1:$C$501, 2,0)</f>
        <v>3</v>
      </c>
      <c r="K305" s="86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409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408</v>
      </c>
      <c r="F306" s="34">
        <v>1</v>
      </c>
      <c r="J306" s="84">
        <f>VLOOKUP($A306, Stat!$A$1:$C$501, 2,0)</f>
        <v>2</v>
      </c>
      <c r="K306" s="84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410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386</v>
      </c>
      <c r="F307" s="34">
        <v>1</v>
      </c>
      <c r="J307" s="84">
        <f>VLOOKUP($A307, Stat!$A$1:$C$501, 2,0)</f>
        <v>15</v>
      </c>
      <c r="K307" s="84">
        <f>VLOOKUP($A307, Stat!$A$1:$C$501, 3,0)</f>
        <v>0</v>
      </c>
      <c r="L307" s="87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8" t="s">
        <v>553</v>
      </c>
      <c r="I308" s="35" t="s">
        <v>643</v>
      </c>
      <c r="J308" s="84">
        <f>VLOOKUP($A308, Stat!$A$1:$C$501, 2,0)</f>
        <v>6</v>
      </c>
      <c r="K308" s="84">
        <f>VLOOKUP($A308, Stat!$A$1:$C$501, 3,0)</f>
        <v>0</v>
      </c>
      <c r="L308" s="87"/>
      <c r="M308" s="34">
        <v>1</v>
      </c>
      <c r="O308" s="34">
        <v>1</v>
      </c>
      <c r="S308" s="38">
        <v>0</v>
      </c>
      <c r="T308" s="38">
        <v>0</v>
      </c>
      <c r="V308" s="38" t="s">
        <v>691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8" t="s">
        <v>553</v>
      </c>
      <c r="I309" s="35" t="s">
        <v>559</v>
      </c>
      <c r="J309" s="84">
        <f>VLOOKUP($A309, Stat!$A$1:$C$501, 2,0)</f>
        <v>16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692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8" t="s">
        <v>553</v>
      </c>
      <c r="I310" s="35" t="s">
        <v>643</v>
      </c>
      <c r="J310" s="84">
        <f>VLOOKUP($A310, Stat!$A$1:$C$501, 2,0)</f>
        <v>3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691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8" t="s">
        <v>553</v>
      </c>
      <c r="I311" s="35" t="s">
        <v>559</v>
      </c>
      <c r="J311" s="84">
        <f>VLOOKUP($A311, Stat!$A$1:$C$501, 2,0)</f>
        <v>13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692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368</v>
      </c>
      <c r="F312" s="34">
        <v>7</v>
      </c>
      <c r="G312" s="34">
        <v>1</v>
      </c>
      <c r="H312" s="34">
        <v>1</v>
      </c>
      <c r="J312" s="84">
        <f>VLOOKUP($A312, Stat!$A$1:$C$501, 2,0)</f>
        <v>14</v>
      </c>
      <c r="K312" s="84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394</v>
      </c>
      <c r="V312" s="38" t="s">
        <v>369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4">
        <f>VLOOKUP($A313, Stat!$A$1:$C$501, 2,0)</f>
        <v>52</v>
      </c>
      <c r="K313" s="84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394</v>
      </c>
      <c r="V313" s="38" t="s">
        <v>370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372</v>
      </c>
      <c r="E314" s="38" t="s">
        <v>371</v>
      </c>
      <c r="J314" s="84">
        <f>VLOOKUP($A314, Stat!$A$1:$C$501, 2,0)</f>
        <v>19</v>
      </c>
      <c r="K314" s="84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392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372</v>
      </c>
      <c r="E315" s="38" t="s">
        <v>461</v>
      </c>
      <c r="F315" s="34">
        <v>1</v>
      </c>
      <c r="J315" s="84">
        <f>VLOOKUP($A315, Stat!$A$1:$C$501, 2,0)</f>
        <v>24</v>
      </c>
      <c r="K315" s="84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393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678</v>
      </c>
      <c r="E316" s="38" t="s">
        <v>374</v>
      </c>
      <c r="F316" s="98" t="s">
        <v>265</v>
      </c>
      <c r="J316" s="84">
        <f>VLOOKUP($A316, Stat!$A$1:$C$501, 2,0)</f>
        <v>32</v>
      </c>
      <c r="K316" s="84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678</v>
      </c>
      <c r="E317" s="38" t="s">
        <v>373</v>
      </c>
      <c r="F317" s="98" t="s">
        <v>265</v>
      </c>
      <c r="J317" s="84">
        <f>VLOOKUP($A317, Stat!$A$1:$C$501, 2,0)</f>
        <v>10</v>
      </c>
      <c r="K317" s="84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376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715</v>
      </c>
      <c r="E318" s="38" t="s">
        <v>718</v>
      </c>
      <c r="F318" s="34">
        <v>1</v>
      </c>
      <c r="J318" s="84">
        <f>VLOOKUP($A318, Stat!$A$1:$C$501, 2,0)</f>
        <v>5</v>
      </c>
      <c r="K318" s="84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372</v>
      </c>
      <c r="E319" s="38" t="s">
        <v>390</v>
      </c>
      <c r="J319" s="84">
        <f>VLOOKUP($A319, Stat!$A$1:$C$501, 2,0)</f>
        <v>11</v>
      </c>
      <c r="K319" s="84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378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382</v>
      </c>
      <c r="J320" s="86">
        <f>VLOOKUP($A320, Stat!$A$1:$C$501, 2,0)</f>
        <v>0</v>
      </c>
      <c r="K320" s="86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384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395</v>
      </c>
      <c r="F321" s="34">
        <v>2</v>
      </c>
      <c r="J321" s="84">
        <f>VLOOKUP($A321, Stat!$A$1:$C$501, 2,0)</f>
        <v>20</v>
      </c>
      <c r="K321" s="84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530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523</v>
      </c>
      <c r="E322" s="38" t="s">
        <v>397</v>
      </c>
      <c r="G322" s="34">
        <v>1</v>
      </c>
      <c r="J322" s="84">
        <f>VLOOKUP($A322, Stat!$A$1:$C$501, 2,0)</f>
        <v>0</v>
      </c>
      <c r="K322" s="84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526</v>
      </c>
      <c r="V322" s="38" t="s">
        <v>524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523</v>
      </c>
      <c r="E323" s="38" t="s">
        <v>396</v>
      </c>
      <c r="G323" s="34">
        <v>1</v>
      </c>
      <c r="J323" s="84">
        <f>VLOOKUP($A323, Stat!$A$1:$C$501, 2,0)</f>
        <v>2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526</v>
      </c>
      <c r="V323" s="38" t="s">
        <v>525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398</v>
      </c>
      <c r="J324" s="84">
        <f>VLOOKUP($A324, Stat!$A$1:$C$501, 2,0)</f>
        <v>2</v>
      </c>
      <c r="K324" s="84">
        <f>VLOOKUP($A324, Stat!$A$1:$C$501, 3,0)</f>
        <v>0</v>
      </c>
      <c r="L324" s="86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398</v>
      </c>
      <c r="J325" s="84">
        <f>VLOOKUP($A325, Stat!$A$1:$C$501, 2,0)</f>
        <v>5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406</v>
      </c>
      <c r="F326" s="34">
        <v>1</v>
      </c>
      <c r="J326" s="84">
        <f>VLOOKUP($A326, Stat!$A$1:$C$501, 2,0)</f>
        <v>34</v>
      </c>
      <c r="K326" s="84">
        <f>VLOOKUP($A326, Stat!$A$1:$C$501, 3,0)</f>
        <v>1</v>
      </c>
      <c r="S326" s="38">
        <v>0</v>
      </c>
      <c r="T326" s="38">
        <v>1</v>
      </c>
      <c r="V326" s="38" t="s">
        <v>401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575</v>
      </c>
      <c r="E327" s="38" t="s">
        <v>399</v>
      </c>
      <c r="F327" s="34">
        <v>7</v>
      </c>
      <c r="G327" s="34">
        <v>1</v>
      </c>
      <c r="H327" s="34">
        <v>1</v>
      </c>
      <c r="J327" s="84">
        <f>VLOOKUP($A327, Stat!$A$1:$C$501, 2,0)</f>
        <v>4</v>
      </c>
      <c r="K327" s="84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400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584</v>
      </c>
      <c r="E328" s="38" t="s">
        <v>402</v>
      </c>
      <c r="G328" s="34">
        <v>1</v>
      </c>
      <c r="J328" s="86">
        <f>VLOOKUP($A328, Stat!$A$1:$C$501, 2,0)</f>
        <v>0</v>
      </c>
      <c r="K328" s="86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403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418</v>
      </c>
      <c r="J329" s="84">
        <f>VLOOKUP($A329, Stat!$A$1:$C$501, 2,0)</f>
        <v>14</v>
      </c>
      <c r="K329" s="84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416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414</v>
      </c>
      <c r="J330" s="84">
        <f>VLOOKUP($A330, Stat!$A$1:$C$501, 2,0)</f>
        <v>7</v>
      </c>
      <c r="K330" s="84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419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417</v>
      </c>
      <c r="J331" s="84">
        <f>VLOOKUP($A331, Stat!$A$1:$C$501, 2,0)</f>
        <v>6</v>
      </c>
      <c r="K331" s="84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372</v>
      </c>
      <c r="E332" s="38" t="s">
        <v>421</v>
      </c>
      <c r="F332" s="34">
        <v>1</v>
      </c>
      <c r="J332" s="84">
        <f>VLOOKUP($A332, Stat!$A$1:$C$501, 2,0)</f>
        <v>138</v>
      </c>
      <c r="K332" s="84">
        <f>VLOOKUP($A332, Stat!$A$1:$C$501, 3,0)</f>
        <v>1</v>
      </c>
      <c r="L332" s="87"/>
      <c r="S332" s="38">
        <v>30</v>
      </c>
      <c r="T332" s="38">
        <v>0</v>
      </c>
      <c r="V332" s="38" t="s">
        <v>422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423</v>
      </c>
      <c r="E333" s="38" t="s">
        <v>426</v>
      </c>
      <c r="F333" s="99"/>
      <c r="J333" s="84">
        <f>VLOOKUP($A333, Stat!$A$1:$C$501, 2,0)</f>
        <v>3</v>
      </c>
      <c r="K333" s="84">
        <f>VLOOKUP($A333, Stat!$A$1:$C$501, 3,0)</f>
        <v>2</v>
      </c>
      <c r="L333" s="87"/>
      <c r="S333" s="38">
        <v>60</v>
      </c>
      <c r="T333" s="38">
        <v>0</v>
      </c>
      <c r="U333" s="38" t="s">
        <v>428</v>
      </c>
      <c r="V333" s="38" t="s">
        <v>429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423</v>
      </c>
      <c r="E334" s="38" t="s">
        <v>424</v>
      </c>
      <c r="F334" s="99"/>
      <c r="J334" s="84">
        <f>VLOOKUP($A334, Stat!$A$1:$C$501, 2,0)</f>
        <v>6</v>
      </c>
      <c r="K334" s="84">
        <f>VLOOKUP($A334, Stat!$A$1:$C$501, 3,0)</f>
        <v>6</v>
      </c>
      <c r="L334" s="87"/>
      <c r="S334" s="38">
        <v>60</v>
      </c>
      <c r="T334" s="38">
        <v>0</v>
      </c>
      <c r="U334" s="38" t="s">
        <v>428</v>
      </c>
      <c r="V334" s="38" t="s">
        <v>430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423</v>
      </c>
      <c r="E335" s="38" t="s">
        <v>485</v>
      </c>
      <c r="F335" s="99"/>
      <c r="J335" s="84">
        <f>VLOOKUP($A335, Stat!$A$1:$C$501, 2,0)</f>
        <v>47</v>
      </c>
      <c r="K335" s="84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428</v>
      </c>
      <c r="V335" s="38" t="s">
        <v>431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423</v>
      </c>
      <c r="E336" s="38" t="s">
        <v>425</v>
      </c>
      <c r="F336" s="99"/>
      <c r="J336" s="84">
        <f>VLOOKUP($A336, Stat!$A$1:$C$501, 2,0)</f>
        <v>2</v>
      </c>
      <c r="K336" s="84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428</v>
      </c>
      <c r="V336" s="38" t="s">
        <v>432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423</v>
      </c>
      <c r="E337" s="38" t="s">
        <v>427</v>
      </c>
      <c r="F337" s="99"/>
      <c r="J337" s="84">
        <f>VLOOKUP($A337, Stat!$A$1:$C$501, 2,0)</f>
        <v>5</v>
      </c>
      <c r="K337" s="84">
        <f>VLOOKUP($A337, Stat!$A$1:$C$501, 3,0)</f>
        <v>4</v>
      </c>
      <c r="L337" s="87"/>
      <c r="S337" s="38">
        <v>60</v>
      </c>
      <c r="T337" s="38">
        <v>0</v>
      </c>
      <c r="U337" s="38" t="s">
        <v>428</v>
      </c>
      <c r="V337" s="38" t="s">
        <v>433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434</v>
      </c>
      <c r="J338" s="84">
        <f>VLOOKUP($A338, Stat!$A$1:$C$501, 2,0)</f>
        <v>39</v>
      </c>
      <c r="K338" s="84">
        <f>VLOOKUP($A338, Stat!$A$1:$C$501, 3,0)</f>
        <v>0</v>
      </c>
      <c r="L338" s="87"/>
      <c r="M338" s="34">
        <v>1</v>
      </c>
      <c r="Q338" s="34">
        <v>1</v>
      </c>
      <c r="S338" s="38">
        <v>0</v>
      </c>
      <c r="T338" s="38">
        <v>0</v>
      </c>
      <c r="V338" s="38" t="s">
        <v>435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505</v>
      </c>
      <c r="D339" s="38" t="s">
        <v>439</v>
      </c>
      <c r="E339" s="38" t="s">
        <v>49</v>
      </c>
      <c r="F339" s="35" t="s">
        <v>652</v>
      </c>
      <c r="I339" s="35" t="s">
        <v>614</v>
      </c>
      <c r="J339" s="85">
        <f>VLOOKUP($A339, Stat!$A$1:$C$501, 2,0)</f>
        <v>3</v>
      </c>
      <c r="K339" s="84">
        <f>VLOOKUP($A339, Stat!$A$1:$C$501, 3,0)</f>
        <v>1</v>
      </c>
      <c r="S339" s="38">
        <v>0</v>
      </c>
      <c r="T339" s="38">
        <v>0</v>
      </c>
      <c r="U339" s="38" t="s">
        <v>502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505</v>
      </c>
      <c r="D340" s="38" t="s">
        <v>439</v>
      </c>
      <c r="E340" s="38" t="s">
        <v>50</v>
      </c>
      <c r="F340" s="35" t="s">
        <v>652</v>
      </c>
      <c r="I340" s="35" t="s">
        <v>614</v>
      </c>
      <c r="J340" s="84">
        <f>VLOOKUP($A340, Stat!$A$1:$C$501, 2,0)</f>
        <v>4</v>
      </c>
      <c r="K340" s="84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502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441</v>
      </c>
      <c r="E341" s="38" t="s">
        <v>442</v>
      </c>
      <c r="F341" s="99">
        <v>9</v>
      </c>
      <c r="I341" s="35" t="s">
        <v>563</v>
      </c>
      <c r="J341" s="84">
        <f>VLOOKUP($A341, Stat!$A$1:$C$501, 2,0)</f>
        <v>17</v>
      </c>
      <c r="K341" s="84">
        <f>VLOOKUP($A341, Stat!$A$1:$C$501, 3,0)</f>
        <v>0</v>
      </c>
      <c r="L341" s="87"/>
      <c r="S341" s="38">
        <v>0</v>
      </c>
      <c r="T341" s="38">
        <v>0</v>
      </c>
      <c r="V341" s="38" t="s">
        <v>446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441</v>
      </c>
      <c r="E342" s="38" t="s">
        <v>443</v>
      </c>
      <c r="F342" s="99">
        <v>9</v>
      </c>
      <c r="I342" s="35" t="s">
        <v>563</v>
      </c>
      <c r="J342" s="84">
        <f>VLOOKUP($A342, Stat!$A$1:$C$501, 2,0)</f>
        <v>27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446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441</v>
      </c>
      <c r="E343" s="38" t="s">
        <v>444</v>
      </c>
      <c r="F343" s="99">
        <v>9</v>
      </c>
      <c r="I343" s="35" t="s">
        <v>563</v>
      </c>
      <c r="J343" s="84">
        <f>VLOOKUP($A343, Stat!$A$1:$C$501, 2,0)</f>
        <v>3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446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447</v>
      </c>
      <c r="F344" s="34">
        <v>7</v>
      </c>
      <c r="G344" s="34">
        <v>1</v>
      </c>
      <c r="H344" s="34">
        <v>1</v>
      </c>
      <c r="J344" s="84">
        <f>VLOOKUP($A344, Stat!$A$1:$C$501, 2,0)</f>
        <v>2</v>
      </c>
      <c r="K344" s="84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394</v>
      </c>
      <c r="V344" s="38" t="s">
        <v>448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452</v>
      </c>
      <c r="F345" s="99">
        <v>5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637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454</v>
      </c>
      <c r="E346" s="38" t="s">
        <v>456</v>
      </c>
      <c r="F346" s="99">
        <v>8</v>
      </c>
      <c r="I346" s="90" t="s">
        <v>454</v>
      </c>
      <c r="J346" s="84">
        <f>VLOOKUP($A346, Stat!$A$1:$C$501, 2,0)</f>
        <v>44</v>
      </c>
      <c r="K346" s="84">
        <f>VLOOKUP($A346, Stat!$A$1:$C$501, 3,0)</f>
        <v>1</v>
      </c>
      <c r="S346" s="38">
        <v>60</v>
      </c>
      <c r="T346" s="38">
        <v>0</v>
      </c>
      <c r="V346" s="38" t="s">
        <v>457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454</v>
      </c>
      <c r="E347" s="38" t="s">
        <v>455</v>
      </c>
      <c r="F347" s="99">
        <v>8</v>
      </c>
      <c r="I347" s="34" t="s">
        <v>454</v>
      </c>
      <c r="J347" s="84">
        <f>VLOOKUP($A347, Stat!$A$1:$C$501, 2,0)</f>
        <v>35</v>
      </c>
      <c r="K347" s="84">
        <f>VLOOKUP($A347, Stat!$A$1:$C$501, 3,0)</f>
        <v>0</v>
      </c>
      <c r="L347" s="87"/>
      <c r="S347" s="38">
        <v>60</v>
      </c>
      <c r="T347" s="38">
        <v>0</v>
      </c>
      <c r="V347" s="38" t="s">
        <v>458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459</v>
      </c>
      <c r="E348" s="38" t="s">
        <v>328</v>
      </c>
      <c r="F348" s="99">
        <v>9</v>
      </c>
      <c r="I348" s="35" t="s">
        <v>563</v>
      </c>
      <c r="J348" s="84">
        <f>VLOOKUP($A348, Stat!$A$1:$C$501, 2,0)</f>
        <v>6</v>
      </c>
      <c r="K348" s="84">
        <f>VLOOKUP($A348, Stat!$A$1:$C$501, 3,0)</f>
        <v>0</v>
      </c>
      <c r="L348" s="87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459</v>
      </c>
      <c r="E349" s="38" t="s">
        <v>413</v>
      </c>
      <c r="F349" s="99">
        <v>9</v>
      </c>
      <c r="I349" s="35" t="s">
        <v>563</v>
      </c>
      <c r="J349" s="84">
        <f>VLOOKUP($A349, Stat!$A$1:$C$501, 2,0)</f>
        <v>9</v>
      </c>
      <c r="K349" s="84">
        <f>VLOOKUP($A349, Stat!$A$1:$C$501, 3,0)</f>
        <v>1</v>
      </c>
      <c r="L349" s="87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459</v>
      </c>
      <c r="E350" s="38" t="s">
        <v>460</v>
      </c>
      <c r="F350" s="99">
        <v>9</v>
      </c>
      <c r="I350" s="35" t="s">
        <v>563</v>
      </c>
      <c r="J350" s="84">
        <f>VLOOKUP($A350, Stat!$A$1:$C$501, 2,0)</f>
        <v>4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463</v>
      </c>
      <c r="E351" s="38" t="s">
        <v>477</v>
      </c>
      <c r="F351" s="34">
        <v>2</v>
      </c>
      <c r="G351" s="34">
        <v>1</v>
      </c>
      <c r="J351" s="84">
        <f>VLOOKUP($A351, Stat!$A$1:$C$501, 2,0)</f>
        <v>356</v>
      </c>
      <c r="K351" s="84">
        <f>VLOOKUP($A351, Stat!$A$1:$C$501, 3,0)</f>
        <v>1</v>
      </c>
      <c r="L351" s="87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463</v>
      </c>
      <c r="E352" s="38" t="s">
        <v>478</v>
      </c>
      <c r="F352" s="34">
        <v>2</v>
      </c>
      <c r="G352" s="34">
        <v>1</v>
      </c>
      <c r="J352" s="84">
        <f>VLOOKUP($A352, Stat!$A$1:$C$501, 2,0)</f>
        <v>24</v>
      </c>
      <c r="K352" s="84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463</v>
      </c>
      <c r="E353" s="38" t="s">
        <v>479</v>
      </c>
      <c r="F353" s="34">
        <v>2</v>
      </c>
      <c r="G353" s="34">
        <v>1</v>
      </c>
      <c r="J353" s="84">
        <f>VLOOKUP($A353, Stat!$A$1:$C$501, 2,0)</f>
        <v>19</v>
      </c>
      <c r="K353" s="84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463</v>
      </c>
      <c r="E354" s="38" t="s">
        <v>480</v>
      </c>
      <c r="F354" s="34">
        <v>2</v>
      </c>
      <c r="G354" s="34">
        <v>1</v>
      </c>
      <c r="J354" s="84">
        <f>VLOOKUP($A354, Stat!$A$1:$C$501, 2,0)</f>
        <v>7</v>
      </c>
      <c r="K354" s="84">
        <f>VLOOKUP($A354, Stat!$A$1:$C$501, 3,0)</f>
        <v>4</v>
      </c>
      <c r="L354" s="34">
        <v>1</v>
      </c>
      <c r="S354" s="38">
        <v>40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463</v>
      </c>
      <c r="E355" s="38" t="s">
        <v>252</v>
      </c>
      <c r="F355" s="34">
        <v>2</v>
      </c>
      <c r="G355" s="34">
        <v>1</v>
      </c>
      <c r="J355" s="84">
        <f>VLOOKUP($A355, Stat!$A$1:$C$501, 2,0)</f>
        <v>33</v>
      </c>
      <c r="K355" s="84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584</v>
      </c>
      <c r="E356" s="38" t="s">
        <v>495</v>
      </c>
      <c r="G356" s="34">
        <v>1</v>
      </c>
      <c r="J356" s="84">
        <f>VLOOKUP($A356, Stat!$A$1:$C$501, 2,0)</f>
        <v>17</v>
      </c>
      <c r="K356" s="84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496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505</v>
      </c>
      <c r="D357" s="38" t="s">
        <v>499</v>
      </c>
      <c r="E357" s="38" t="s">
        <v>49</v>
      </c>
      <c r="F357" s="35" t="s">
        <v>652</v>
      </c>
      <c r="I357" s="35" t="s">
        <v>614</v>
      </c>
      <c r="J357" s="84">
        <f>VLOOKUP($A357, Stat!$A$1:$C$501, 2,0)</f>
        <v>1</v>
      </c>
      <c r="K357" s="84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501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505</v>
      </c>
      <c r="D358" s="38" t="s">
        <v>499</v>
      </c>
      <c r="E358" s="38" t="s">
        <v>50</v>
      </c>
      <c r="F358" s="35" t="s">
        <v>652</v>
      </c>
      <c r="I358" s="35" t="s">
        <v>614</v>
      </c>
      <c r="J358" s="84">
        <f>VLOOKUP($A358, Stat!$A$1:$C$501, 2,0)</f>
        <v>6</v>
      </c>
      <c r="K358" s="84">
        <f>VLOOKUP($A358, Stat!$A$1:$C$501, 3,0)</f>
        <v>2</v>
      </c>
      <c r="L358" s="34">
        <v>1</v>
      </c>
      <c r="P358" s="35" t="s">
        <v>517</v>
      </c>
      <c r="S358" s="38">
        <v>100</v>
      </c>
      <c r="T358" s="38">
        <v>0</v>
      </c>
      <c r="U358" s="38" t="s">
        <v>501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505</v>
      </c>
      <c r="D359" s="38" t="s">
        <v>499</v>
      </c>
      <c r="E359" s="38" t="s">
        <v>23</v>
      </c>
      <c r="F359" s="35" t="s">
        <v>652</v>
      </c>
      <c r="I359" s="35" t="s">
        <v>614</v>
      </c>
      <c r="J359" s="84">
        <f>VLOOKUP($A359, Stat!$A$1:$C$501, 2,0)</f>
        <v>4</v>
      </c>
      <c r="K359" s="84">
        <f>VLOOKUP($A359, Stat!$A$1:$C$501, 3,0)</f>
        <v>1</v>
      </c>
      <c r="S359" s="38">
        <v>0</v>
      </c>
      <c r="T359" s="38">
        <v>0</v>
      </c>
      <c r="U359" s="38" t="s">
        <v>501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505</v>
      </c>
      <c r="D360" s="38" t="s">
        <v>438</v>
      </c>
      <c r="E360" s="38" t="s">
        <v>23</v>
      </c>
      <c r="F360" s="35" t="s">
        <v>652</v>
      </c>
      <c r="I360" s="35" t="s">
        <v>614</v>
      </c>
      <c r="J360" s="84">
        <f>VLOOKUP($A360, Stat!$A$1:$C$501, 2,0)</f>
        <v>8</v>
      </c>
      <c r="K360" s="84">
        <f>VLOOKUP($A360, Stat!$A$1:$C$501, 3,0)</f>
        <v>2</v>
      </c>
      <c r="S360" s="38">
        <v>0</v>
      </c>
      <c r="T360" s="38">
        <v>0</v>
      </c>
      <c r="U360" s="38" t="s">
        <v>497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505</v>
      </c>
      <c r="D361" s="38" t="s">
        <v>439</v>
      </c>
      <c r="E361" s="38" t="s">
        <v>23</v>
      </c>
      <c r="F361" s="35" t="s">
        <v>652</v>
      </c>
      <c r="I361" s="35" t="s">
        <v>614</v>
      </c>
      <c r="J361" s="84">
        <f>VLOOKUP($A361, Stat!$A$1:$C$501, 2,0)</f>
        <v>1</v>
      </c>
      <c r="K361" s="84">
        <f>VLOOKUP($A361, Stat!$A$1:$C$501, 3,0)</f>
        <v>1</v>
      </c>
      <c r="S361" s="38">
        <v>0</v>
      </c>
      <c r="T361" s="38">
        <v>0</v>
      </c>
      <c r="U361" s="38" t="s">
        <v>502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505</v>
      </c>
      <c r="D362" s="38" t="s">
        <v>498</v>
      </c>
      <c r="E362" s="38" t="s">
        <v>49</v>
      </c>
      <c r="F362" s="35" t="s">
        <v>652</v>
      </c>
      <c r="I362" s="35" t="s">
        <v>614</v>
      </c>
      <c r="J362" s="84">
        <f>VLOOKUP($A362, Stat!$A$1:$C$501, 2,0)</f>
        <v>18</v>
      </c>
      <c r="K362" s="84">
        <f>VLOOKUP($A362, Stat!$A$1:$C$501, 3,0)</f>
        <v>4</v>
      </c>
      <c r="S362" s="38">
        <v>40</v>
      </c>
      <c r="T362" s="38">
        <v>0</v>
      </c>
      <c r="U362" s="38" t="s">
        <v>500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505</v>
      </c>
      <c r="D363" s="38" t="s">
        <v>498</v>
      </c>
      <c r="E363" s="38" t="s">
        <v>50</v>
      </c>
      <c r="F363" s="35" t="s">
        <v>652</v>
      </c>
      <c r="I363" s="35" t="s">
        <v>614</v>
      </c>
      <c r="J363" s="84">
        <f>VLOOKUP($A363, Stat!$A$1:$C$501, 2,0)</f>
        <v>15</v>
      </c>
      <c r="K363" s="84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500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505</v>
      </c>
      <c r="D364" s="38" t="s">
        <v>498</v>
      </c>
      <c r="E364" s="38" t="s">
        <v>23</v>
      </c>
      <c r="F364" s="35" t="s">
        <v>652</v>
      </c>
      <c r="I364" s="35" t="s">
        <v>614</v>
      </c>
      <c r="J364" s="84">
        <f>VLOOKUP($A364, Stat!$A$1:$C$501, 2,0)</f>
        <v>6</v>
      </c>
      <c r="K364" s="84">
        <f>VLOOKUP($A364, Stat!$A$1:$C$501, 3,0)</f>
        <v>4</v>
      </c>
      <c r="S364" s="38">
        <v>0</v>
      </c>
      <c r="T364" s="38">
        <v>0</v>
      </c>
      <c r="U364" s="38" t="s">
        <v>500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505</v>
      </c>
      <c r="D365" s="38" t="s">
        <v>503</v>
      </c>
      <c r="E365" s="38" t="s">
        <v>49</v>
      </c>
      <c r="F365" s="35" t="s">
        <v>652</v>
      </c>
      <c r="I365" s="35" t="s">
        <v>614</v>
      </c>
      <c r="J365" s="84">
        <f>VLOOKUP($A365, Stat!$A$1:$C$501, 2,0)</f>
        <v>5</v>
      </c>
      <c r="K365" s="84">
        <f>VLOOKUP($A365, Stat!$A$1:$C$501, 3,0)</f>
        <v>2</v>
      </c>
      <c r="S365" s="38">
        <v>0</v>
      </c>
      <c r="T365" s="38">
        <v>0</v>
      </c>
      <c r="U365" s="38" t="s">
        <v>500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505</v>
      </c>
      <c r="D366" s="38" t="s">
        <v>503</v>
      </c>
      <c r="E366" s="38" t="s">
        <v>50</v>
      </c>
      <c r="F366" s="35" t="s">
        <v>652</v>
      </c>
      <c r="I366" s="35" t="s">
        <v>614</v>
      </c>
      <c r="J366" s="84">
        <f>VLOOKUP($A366, Stat!$A$1:$C$501, 2,0)</f>
        <v>7</v>
      </c>
      <c r="K366" s="84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500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505</v>
      </c>
      <c r="D367" s="38" t="s">
        <v>503</v>
      </c>
      <c r="E367" s="38" t="s">
        <v>23</v>
      </c>
      <c r="F367" s="35" t="s">
        <v>652</v>
      </c>
      <c r="I367" s="35" t="s">
        <v>614</v>
      </c>
      <c r="J367" s="84">
        <f>VLOOKUP($A367, Stat!$A$1:$C$501, 2,0)</f>
        <v>3</v>
      </c>
      <c r="K367" s="84">
        <f>VLOOKUP($A367, Stat!$A$1:$C$501, 3,0)</f>
        <v>2</v>
      </c>
      <c r="S367" s="38">
        <v>0</v>
      </c>
      <c r="T367" s="38">
        <v>0</v>
      </c>
      <c r="U367" s="38" t="s">
        <v>500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504</v>
      </c>
      <c r="D368" s="38" t="s">
        <v>438</v>
      </c>
      <c r="E368" s="38" t="s">
        <v>49</v>
      </c>
      <c r="F368" s="35" t="s">
        <v>652</v>
      </c>
      <c r="I368" s="35" t="s">
        <v>614</v>
      </c>
      <c r="J368" s="84">
        <f>VLOOKUP($A368, Stat!$A$1:$C$501, 2,0)</f>
        <v>19</v>
      </c>
      <c r="K368" s="84">
        <f>VLOOKUP($A368, Stat!$A$1:$C$501, 3,0)</f>
        <v>2</v>
      </c>
      <c r="S368" s="38">
        <v>0</v>
      </c>
      <c r="T368" s="38">
        <v>0</v>
      </c>
      <c r="U368" s="38" t="s">
        <v>548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504</v>
      </c>
      <c r="D369" s="38" t="s">
        <v>438</v>
      </c>
      <c r="E369" s="38" t="s">
        <v>50</v>
      </c>
      <c r="F369" s="35" t="s">
        <v>652</v>
      </c>
      <c r="I369" s="35" t="s">
        <v>614</v>
      </c>
      <c r="J369" s="84">
        <f>VLOOKUP($A369, Stat!$A$1:$C$501, 2,0)</f>
        <v>31</v>
      </c>
      <c r="K369" s="84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548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504</v>
      </c>
      <c r="D370" s="38" t="s">
        <v>438</v>
      </c>
      <c r="E370" s="38" t="s">
        <v>23</v>
      </c>
      <c r="F370" s="35" t="s">
        <v>652</v>
      </c>
      <c r="I370" s="35" t="s">
        <v>614</v>
      </c>
      <c r="J370" s="84">
        <f>VLOOKUP($A370, Stat!$A$1:$C$501, 2,0)</f>
        <v>31</v>
      </c>
      <c r="K370" s="84">
        <f>VLOOKUP($A370, Stat!$A$1:$C$501, 3,0)</f>
        <v>4</v>
      </c>
      <c r="S370" s="38">
        <v>0</v>
      </c>
      <c r="T370" s="38">
        <v>0</v>
      </c>
      <c r="U370" s="38" t="s">
        <v>548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511</v>
      </c>
      <c r="F371" s="34">
        <v>7</v>
      </c>
      <c r="G371" s="34">
        <v>1</v>
      </c>
      <c r="H371" s="34">
        <v>1</v>
      </c>
      <c r="J371" s="84">
        <f>VLOOKUP($A371, Stat!$A$1:$C$501, 2,0)</f>
        <v>20</v>
      </c>
      <c r="K371" s="84">
        <f>VLOOKUP($A371, Stat!$A$1:$C$501, 3,0)</f>
        <v>7</v>
      </c>
      <c r="S371" s="38">
        <v>0</v>
      </c>
      <c r="T371" s="38">
        <v>1</v>
      </c>
      <c r="U371" s="38" t="s">
        <v>394</v>
      </c>
      <c r="V371" s="38" t="s">
        <v>512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515</v>
      </c>
      <c r="F372" s="34">
        <v>1</v>
      </c>
      <c r="J372" s="84">
        <f>VLOOKUP($A372, Stat!$A$1:$C$501, 2,0)</f>
        <v>39</v>
      </c>
      <c r="K372" s="88">
        <f>VLOOKUP($A372, Stat!$A$1:$C$501, 3,0)</f>
        <v>0</v>
      </c>
      <c r="S372" s="38">
        <v>30</v>
      </c>
      <c r="T372" s="38">
        <v>0</v>
      </c>
      <c r="V372" s="38" t="s">
        <v>516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519</v>
      </c>
      <c r="F373" s="34">
        <v>7</v>
      </c>
      <c r="G373" s="34">
        <v>1</v>
      </c>
      <c r="H373" s="34">
        <v>1</v>
      </c>
      <c r="J373" s="84">
        <f>VLOOKUP($A373, Stat!$A$1:$C$501, 2,0)</f>
        <v>7</v>
      </c>
      <c r="K373" s="84">
        <f>VLOOKUP($A373, Stat!$A$1:$C$501, 3,0)</f>
        <v>4</v>
      </c>
      <c r="S373" s="38">
        <v>0</v>
      </c>
      <c r="T373" s="38">
        <v>1</v>
      </c>
      <c r="U373" s="38" t="s">
        <v>394</v>
      </c>
      <c r="V373" s="38" t="s">
        <v>518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4">
        <f>VLOOKUP($A374, Stat!$A$1:$C$501, 2,0)</f>
        <v>5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4">
        <f>VLOOKUP($A375, Stat!$A$1:$C$501, 2,0)</f>
        <v>10</v>
      </c>
      <c r="K375" s="88">
        <f>VLOOKUP($A375, Stat!$A$1:$C$501, 3,0)</f>
        <v>0</v>
      </c>
      <c r="S375" s="38">
        <v>30</v>
      </c>
      <c r="T375" s="38">
        <v>0</v>
      </c>
      <c r="V375" s="38" t="s">
        <v>522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527</v>
      </c>
      <c r="E376" s="38" t="s">
        <v>179</v>
      </c>
      <c r="F376" s="34">
        <v>12</v>
      </c>
      <c r="I376" s="90" t="s">
        <v>657</v>
      </c>
      <c r="J376" s="84">
        <f>VLOOKUP($A376, Stat!$A$1:$C$501, 2,0)</f>
        <v>21</v>
      </c>
      <c r="K376" s="84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527</v>
      </c>
      <c r="E377" s="38" t="s">
        <v>181</v>
      </c>
      <c r="F377" s="34">
        <v>12</v>
      </c>
      <c r="I377" s="90" t="s">
        <v>657</v>
      </c>
      <c r="J377" s="84">
        <f>VLOOKUP($A377, Stat!$A$1:$C$501, 2,0)</f>
        <v>8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527</v>
      </c>
      <c r="E378" s="38" t="s">
        <v>528</v>
      </c>
      <c r="F378" s="34">
        <v>12</v>
      </c>
      <c r="I378" s="90" t="s">
        <v>657</v>
      </c>
      <c r="J378" s="84">
        <f>VLOOKUP($A378, Stat!$A$1:$C$501, 2,0)</f>
        <v>12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527</v>
      </c>
      <c r="E379" s="38" t="s">
        <v>192</v>
      </c>
      <c r="F379" s="34">
        <v>12</v>
      </c>
      <c r="I379" s="90" t="s">
        <v>657</v>
      </c>
      <c r="J379" s="84">
        <f>VLOOKUP($A379, Stat!$A$1:$C$501, 2,0)</f>
        <v>2</v>
      </c>
      <c r="K379" s="84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529</v>
      </c>
      <c r="F380" s="34">
        <v>1</v>
      </c>
      <c r="J380" s="84">
        <f>VLOOKUP($A380, Stat!$A$1:$C$501, 2,0)</f>
        <v>176</v>
      </c>
      <c r="K380" s="88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584</v>
      </c>
      <c r="E381" s="38" t="s">
        <v>532</v>
      </c>
      <c r="G381" s="34">
        <v>1</v>
      </c>
      <c r="J381" s="84">
        <f>VLOOKUP($A381, Stat!$A$1:$C$501, 2,0)</f>
        <v>7</v>
      </c>
      <c r="K381" s="84">
        <f>VLOOKUP($A381, Stat!$A$1:$C$501, 3,0)</f>
        <v>1</v>
      </c>
      <c r="S381" s="38">
        <v>0</v>
      </c>
      <c r="T381" s="38">
        <v>0</v>
      </c>
      <c r="V381" s="38" t="s">
        <v>535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394</v>
      </c>
      <c r="V382" s="38" t="s">
        <v>541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540</v>
      </c>
      <c r="F383" s="34">
        <v>5</v>
      </c>
      <c r="J383" s="86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542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546</v>
      </c>
      <c r="E384" s="38" t="s">
        <v>547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546</v>
      </c>
      <c r="E385" s="38" t="s">
        <v>728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661</v>
      </c>
      <c r="F386" s="34">
        <v>9</v>
      </c>
      <c r="G386" s="34">
        <v>1</v>
      </c>
      <c r="I386" s="34" t="s">
        <v>663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662</v>
      </c>
      <c r="F387" s="34">
        <v>9</v>
      </c>
      <c r="G387" s="34">
        <v>1</v>
      </c>
      <c r="I387" s="34" t="s">
        <v>663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671</v>
      </c>
      <c r="D388" s="38" t="s">
        <v>688</v>
      </c>
      <c r="E388" s="38" t="s">
        <v>3</v>
      </c>
      <c r="F388" s="35" t="s">
        <v>266</v>
      </c>
      <c r="P388" s="35" t="s">
        <v>702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671</v>
      </c>
      <c r="D389" s="38" t="s">
        <v>688</v>
      </c>
      <c r="E389" s="38" t="s">
        <v>4</v>
      </c>
      <c r="F389" s="35" t="s">
        <v>266</v>
      </c>
      <c r="P389" s="35" t="s">
        <v>712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671</v>
      </c>
      <c r="D390" s="38" t="s">
        <v>688</v>
      </c>
      <c r="E390" s="38" t="s">
        <v>5</v>
      </c>
      <c r="F390" s="35" t="s">
        <v>266</v>
      </c>
      <c r="P390" s="35" t="s">
        <v>713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671</v>
      </c>
      <c r="D391" s="38" t="s">
        <v>688</v>
      </c>
      <c r="E391" s="38" t="s">
        <v>51</v>
      </c>
      <c r="F391" s="35" t="s">
        <v>266</v>
      </c>
      <c r="P391" s="35" t="s">
        <v>714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667</v>
      </c>
      <c r="E392" s="38" t="s">
        <v>328</v>
      </c>
      <c r="F392" s="99">
        <v>9</v>
      </c>
      <c r="I392" s="35" t="s">
        <v>563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667</v>
      </c>
      <c r="E393" s="38" t="s">
        <v>668</v>
      </c>
      <c r="F393" s="99">
        <v>9</v>
      </c>
      <c r="I393" s="35" t="s">
        <v>563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667</v>
      </c>
      <c r="E394" s="38" t="s">
        <v>669</v>
      </c>
      <c r="F394" s="99">
        <v>9</v>
      </c>
      <c r="I394" s="35" t="s">
        <v>563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671</v>
      </c>
      <c r="D395" s="38" t="s">
        <v>690</v>
      </c>
      <c r="E395" s="38" t="s">
        <v>3</v>
      </c>
      <c r="F395" s="35" t="s">
        <v>266</v>
      </c>
      <c r="P395" s="35" t="s">
        <v>672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671</v>
      </c>
      <c r="D396" s="38" t="s">
        <v>690</v>
      </c>
      <c r="E396" s="38" t="s">
        <v>4</v>
      </c>
      <c r="F396" s="35" t="s">
        <v>266</v>
      </c>
      <c r="P396" s="35" t="s">
        <v>673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671</v>
      </c>
      <c r="D397" s="38" t="s">
        <v>690</v>
      </c>
      <c r="E397" s="38" t="s">
        <v>5</v>
      </c>
      <c r="F397" s="35" t="s">
        <v>266</v>
      </c>
      <c r="P397" s="35" t="s">
        <v>674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671</v>
      </c>
      <c r="D398" s="38" t="s">
        <v>690</v>
      </c>
      <c r="E398" s="38" t="s">
        <v>51</v>
      </c>
      <c r="F398" s="35" t="s">
        <v>266</v>
      </c>
      <c r="P398" s="35" t="s">
        <v>675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676</v>
      </c>
      <c r="E399" s="38" t="s">
        <v>375</v>
      </c>
      <c r="F399" s="34">
        <v>3</v>
      </c>
      <c r="S399" s="38">
        <v>100</v>
      </c>
      <c r="T399" s="38">
        <v>0</v>
      </c>
      <c r="V399" s="38" t="s">
        <v>377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676</v>
      </c>
      <c r="E400" s="38" t="s">
        <v>373</v>
      </c>
      <c r="F400" s="34">
        <v>3</v>
      </c>
      <c r="S400" s="38">
        <v>0</v>
      </c>
      <c r="T400" s="38">
        <v>0</v>
      </c>
      <c r="V400" s="38" t="s">
        <v>376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676</v>
      </c>
      <c r="E401" s="38" t="s">
        <v>374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679</v>
      </c>
      <c r="E402" s="38" t="s">
        <v>375</v>
      </c>
      <c r="F402" s="34">
        <v>3</v>
      </c>
      <c r="S402" s="38">
        <v>60</v>
      </c>
      <c r="T402" s="38">
        <v>0</v>
      </c>
      <c r="U402" s="38" t="s">
        <v>680</v>
      </c>
      <c r="V402" s="38" t="s">
        <v>377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679</v>
      </c>
      <c r="E403" s="38" t="s">
        <v>373</v>
      </c>
      <c r="F403" s="34">
        <v>3</v>
      </c>
      <c r="S403" s="38">
        <v>60</v>
      </c>
      <c r="T403" s="38">
        <v>0</v>
      </c>
      <c r="U403" s="38" t="s">
        <v>680</v>
      </c>
      <c r="V403" s="38" t="s">
        <v>376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679</v>
      </c>
      <c r="E404" s="38" t="s">
        <v>374</v>
      </c>
      <c r="F404" s="34">
        <v>3</v>
      </c>
      <c r="N404" s="34">
        <v>999</v>
      </c>
      <c r="S404" s="38">
        <v>0</v>
      </c>
      <c r="T404" s="38">
        <v>0</v>
      </c>
      <c r="U404" s="38" t="s">
        <v>680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677</v>
      </c>
      <c r="E405" s="38" t="s">
        <v>375</v>
      </c>
      <c r="F405" s="34">
        <v>3</v>
      </c>
      <c r="S405" s="38">
        <v>0</v>
      </c>
      <c r="T405" s="38">
        <v>0</v>
      </c>
      <c r="V405" s="38" t="s">
        <v>377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677</v>
      </c>
      <c r="E406" s="38" t="s">
        <v>373</v>
      </c>
      <c r="F406" s="34">
        <v>3</v>
      </c>
      <c r="S406" s="38">
        <v>0</v>
      </c>
      <c r="T406" s="38">
        <v>0</v>
      </c>
      <c r="V406" s="38" t="s">
        <v>376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677</v>
      </c>
      <c r="E407" s="38" t="s">
        <v>374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681</v>
      </c>
      <c r="E408" s="38" t="s">
        <v>375</v>
      </c>
      <c r="F408" s="34">
        <v>3</v>
      </c>
      <c r="S408" s="38">
        <v>60</v>
      </c>
      <c r="T408" s="38">
        <v>0</v>
      </c>
      <c r="U408" s="38" t="s">
        <v>680</v>
      </c>
      <c r="V408" s="38" t="s">
        <v>377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681</v>
      </c>
      <c r="E409" s="38" t="s">
        <v>373</v>
      </c>
      <c r="F409" s="34">
        <v>3</v>
      </c>
      <c r="S409" s="38">
        <v>60</v>
      </c>
      <c r="T409" s="38">
        <v>0</v>
      </c>
      <c r="U409" s="38" t="s">
        <v>680</v>
      </c>
      <c r="V409" s="38" t="s">
        <v>376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681</v>
      </c>
      <c r="E410" s="38" t="s">
        <v>374</v>
      </c>
      <c r="F410" s="34">
        <v>3</v>
      </c>
      <c r="N410" s="34">
        <v>999</v>
      </c>
      <c r="S410" s="38">
        <v>0</v>
      </c>
      <c r="T410" s="38">
        <v>0</v>
      </c>
      <c r="U410" s="38" t="s">
        <v>680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671</v>
      </c>
      <c r="D411" s="38" t="s">
        <v>697</v>
      </c>
      <c r="E411" s="38" t="s">
        <v>3</v>
      </c>
      <c r="S411" s="38">
        <v>0</v>
      </c>
      <c r="T411" s="38">
        <v>1</v>
      </c>
      <c r="U411" s="38" t="s">
        <v>698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671</v>
      </c>
      <c r="D412" s="38" t="s">
        <v>697</v>
      </c>
      <c r="E412" s="38" t="s">
        <v>4</v>
      </c>
      <c r="S412" s="38">
        <v>0</v>
      </c>
      <c r="T412" s="38">
        <v>1</v>
      </c>
      <c r="U412" s="38" t="s">
        <v>698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671</v>
      </c>
      <c r="D413" s="38" t="s">
        <v>697</v>
      </c>
      <c r="E413" s="38" t="s">
        <v>5</v>
      </c>
      <c r="S413" s="38">
        <v>0</v>
      </c>
      <c r="T413" s="38">
        <v>1</v>
      </c>
      <c r="U413" s="38" t="s">
        <v>698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671</v>
      </c>
      <c r="D414" s="38" t="s">
        <v>697</v>
      </c>
      <c r="E414" s="38" t="s">
        <v>51</v>
      </c>
      <c r="S414" s="38">
        <v>0</v>
      </c>
      <c r="T414" s="38">
        <v>1</v>
      </c>
      <c r="U414" s="38" t="s">
        <v>698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715</v>
      </c>
      <c r="E415" s="38" t="s">
        <v>717</v>
      </c>
      <c r="S415" s="38">
        <v>0</v>
      </c>
      <c r="T415" s="38">
        <v>0</v>
      </c>
      <c r="V415" s="38" t="s">
        <v>720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722</v>
      </c>
      <c r="S416" s="38">
        <v>0</v>
      </c>
      <c r="T416" s="38">
        <v>1</v>
      </c>
      <c r="V416" s="38" t="s">
        <v>725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723</v>
      </c>
      <c r="S417" s="38">
        <v>0</v>
      </c>
      <c r="T417" s="38">
        <v>1</v>
      </c>
      <c r="V417" s="38" t="s">
        <v>726</v>
      </c>
      <c r="W417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605</v>
      </c>
      <c r="B1" s="95" t="s">
        <v>606</v>
      </c>
      <c r="C1" s="95" t="s">
        <v>630</v>
      </c>
      <c r="D1" s="91" t="s">
        <v>650</v>
      </c>
    </row>
    <row r="2" spans="1:5" x14ac:dyDescent="0.25">
      <c r="A2" s="96" t="s">
        <v>83</v>
      </c>
      <c r="B2" s="96" t="s">
        <v>607</v>
      </c>
      <c r="C2" s="96" t="s">
        <v>87</v>
      </c>
    </row>
    <row r="3" spans="1:5" x14ac:dyDescent="0.25">
      <c r="A3" s="96" t="s">
        <v>82</v>
      </c>
      <c r="B3" s="96" t="s">
        <v>607</v>
      </c>
      <c r="C3" s="96" t="s">
        <v>87</v>
      </c>
    </row>
    <row r="4" spans="1:5" x14ac:dyDescent="0.25">
      <c r="A4" s="96" t="s">
        <v>576</v>
      </c>
      <c r="B4" s="96" t="s">
        <v>607</v>
      </c>
      <c r="C4" s="96" t="s">
        <v>87</v>
      </c>
    </row>
    <row r="5" spans="1:5" x14ac:dyDescent="0.25">
      <c r="A5" s="96" t="s">
        <v>6</v>
      </c>
      <c r="B5" s="96" t="s">
        <v>607</v>
      </c>
      <c r="C5" s="96" t="s">
        <v>87</v>
      </c>
    </row>
    <row r="6" spans="1:5" x14ac:dyDescent="0.25">
      <c r="A6" s="96" t="s">
        <v>558</v>
      </c>
      <c r="B6" s="96" t="s">
        <v>607</v>
      </c>
      <c r="C6" s="96" t="s">
        <v>87</v>
      </c>
    </row>
    <row r="7" spans="1:5" x14ac:dyDescent="0.25">
      <c r="A7" s="96" t="s">
        <v>559</v>
      </c>
      <c r="B7" s="96" t="s">
        <v>608</v>
      </c>
      <c r="C7" s="96" t="s">
        <v>559</v>
      </c>
      <c r="D7" s="2" t="s">
        <v>609</v>
      </c>
      <c r="E7" s="23"/>
    </row>
    <row r="8" spans="1:5" x14ac:dyDescent="0.25">
      <c r="A8" s="96" t="s">
        <v>560</v>
      </c>
      <c r="B8" s="96" t="s">
        <v>608</v>
      </c>
      <c r="C8" s="96" t="s">
        <v>610</v>
      </c>
      <c r="D8" s="2" t="s">
        <v>609</v>
      </c>
      <c r="E8" s="23"/>
    </row>
    <row r="9" spans="1:5" x14ac:dyDescent="0.25">
      <c r="A9" s="96" t="s">
        <v>561</v>
      </c>
      <c r="B9" s="96" t="s">
        <v>608</v>
      </c>
      <c r="C9" s="96" t="s">
        <v>639</v>
      </c>
      <c r="D9" s="2" t="s">
        <v>609</v>
      </c>
      <c r="E9" s="23"/>
    </row>
    <row r="10" spans="1:5" hidden="1" x14ac:dyDescent="0.25">
      <c r="A10" s="96" t="s">
        <v>562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633</v>
      </c>
      <c r="C11" s="96" t="s">
        <v>611</v>
      </c>
      <c r="E11" s="2"/>
    </row>
    <row r="12" spans="1:5" x14ac:dyDescent="0.25">
      <c r="A12" s="96" t="s">
        <v>635</v>
      </c>
      <c r="B12" s="96" t="s">
        <v>613</v>
      </c>
      <c r="C12" s="96" t="s">
        <v>612</v>
      </c>
      <c r="E12" s="23"/>
    </row>
    <row r="13" spans="1:5" x14ac:dyDescent="0.25">
      <c r="A13" s="96" t="s">
        <v>636</v>
      </c>
      <c r="B13" s="96" t="s">
        <v>613</v>
      </c>
      <c r="C13" s="96" t="s">
        <v>563</v>
      </c>
    </row>
    <row r="14" spans="1:5" x14ac:dyDescent="0.25">
      <c r="A14" s="96" t="s">
        <v>564</v>
      </c>
      <c r="B14" s="96" t="s">
        <v>632</v>
      </c>
      <c r="C14" s="96" t="s">
        <v>614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565</v>
      </c>
      <c r="B16" s="97" t="s">
        <v>87</v>
      </c>
      <c r="C16" s="97" t="s">
        <v>87</v>
      </c>
    </row>
    <row r="17" spans="1:5" hidden="1" x14ac:dyDescent="0.25">
      <c r="A17" s="96" t="s">
        <v>567</v>
      </c>
      <c r="B17" s="97" t="s">
        <v>87</v>
      </c>
      <c r="C17" s="97" t="s">
        <v>87</v>
      </c>
    </row>
    <row r="18" spans="1:5" x14ac:dyDescent="0.25">
      <c r="A18" s="96" t="s">
        <v>566</v>
      </c>
      <c r="B18" s="97" t="s">
        <v>625</v>
      </c>
      <c r="C18" s="97" t="s">
        <v>626</v>
      </c>
    </row>
    <row r="19" spans="1:5" hidden="1" x14ac:dyDescent="0.25">
      <c r="A19" s="96" t="s">
        <v>568</v>
      </c>
      <c r="B19" s="96" t="s">
        <v>631</v>
      </c>
      <c r="C19" s="97" t="s">
        <v>87</v>
      </c>
    </row>
    <row r="20" spans="1:5" hidden="1" x14ac:dyDescent="0.25">
      <c r="A20" s="96" t="s">
        <v>640</v>
      </c>
      <c r="B20" s="96" t="s">
        <v>615</v>
      </c>
      <c r="C20" s="97" t="s">
        <v>87</v>
      </c>
    </row>
    <row r="21" spans="1:5" x14ac:dyDescent="0.25">
      <c r="A21" s="96" t="s">
        <v>569</v>
      </c>
      <c r="B21" s="96" t="s">
        <v>609</v>
      </c>
      <c r="C21" s="97" t="s">
        <v>641</v>
      </c>
      <c r="D21" s="2" t="s">
        <v>608</v>
      </c>
      <c r="E21" s="23"/>
    </row>
    <row r="22" spans="1:5" x14ac:dyDescent="0.25">
      <c r="A22" s="96" t="s">
        <v>570</v>
      </c>
      <c r="B22" s="96" t="s">
        <v>609</v>
      </c>
      <c r="C22" s="97" t="s">
        <v>642</v>
      </c>
      <c r="D22" s="2" t="s">
        <v>608</v>
      </c>
      <c r="E22" s="2"/>
    </row>
    <row r="23" spans="1:5" x14ac:dyDescent="0.25">
      <c r="A23" s="96" t="s">
        <v>454</v>
      </c>
      <c r="B23" s="96" t="s">
        <v>609</v>
      </c>
      <c r="C23" s="96" t="s">
        <v>454</v>
      </c>
      <c r="D23" s="2" t="s">
        <v>608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607</v>
      </c>
      <c r="C25" s="97" t="s">
        <v>87</v>
      </c>
    </row>
    <row r="26" spans="1:5" x14ac:dyDescent="0.25">
      <c r="A26" s="96" t="s">
        <v>571</v>
      </c>
      <c r="B26" s="97" t="s">
        <v>609</v>
      </c>
      <c r="C26" s="97" t="s">
        <v>624</v>
      </c>
      <c r="D26" s="2" t="s">
        <v>608</v>
      </c>
    </row>
    <row r="27" spans="1:5" x14ac:dyDescent="0.25">
      <c r="A27" s="96" t="s">
        <v>572</v>
      </c>
      <c r="B27" s="97" t="s">
        <v>609</v>
      </c>
      <c r="C27" s="97" t="s">
        <v>624</v>
      </c>
      <c r="D27" s="2" t="s">
        <v>608</v>
      </c>
    </row>
    <row r="28" spans="1:5" hidden="1" x14ac:dyDescent="0.25">
      <c r="A28" s="96" t="s">
        <v>520</v>
      </c>
      <c r="B28" s="97" t="s">
        <v>87</v>
      </c>
      <c r="C28" s="97" t="s">
        <v>87</v>
      </c>
    </row>
    <row r="29" spans="1:5" hidden="1" x14ac:dyDescent="0.25">
      <c r="A29" s="96" t="s">
        <v>573</v>
      </c>
      <c r="B29" s="97" t="s">
        <v>615</v>
      </c>
      <c r="C29" s="97" t="s">
        <v>87</v>
      </c>
    </row>
    <row r="30" spans="1:5" hidden="1" x14ac:dyDescent="0.25">
      <c r="A30" s="96" t="s">
        <v>574</v>
      </c>
      <c r="B30" s="97" t="s">
        <v>615</v>
      </c>
      <c r="C30" s="97" t="s">
        <v>87</v>
      </c>
    </row>
    <row r="31" spans="1:5" hidden="1" x14ac:dyDescent="0.25">
      <c r="A31" s="96" t="s">
        <v>577</v>
      </c>
      <c r="B31" s="97" t="s">
        <v>615</v>
      </c>
      <c r="C31" s="97" t="s">
        <v>87</v>
      </c>
    </row>
    <row r="32" spans="1:5" x14ac:dyDescent="0.25">
      <c r="A32" s="96" t="s">
        <v>578</v>
      </c>
      <c r="B32" s="97" t="s">
        <v>623</v>
      </c>
      <c r="C32" s="97" t="s">
        <v>87</v>
      </c>
    </row>
    <row r="33" spans="1:3" x14ac:dyDescent="0.25">
      <c r="A33" s="96" t="s">
        <v>579</v>
      </c>
      <c r="B33" s="97" t="s">
        <v>623</v>
      </c>
      <c r="C33" s="97" t="s">
        <v>87</v>
      </c>
    </row>
    <row r="34" spans="1:3" x14ac:dyDescent="0.25">
      <c r="A34" s="96" t="s">
        <v>527</v>
      </c>
      <c r="B34" s="96" t="s">
        <v>632</v>
      </c>
      <c r="C34" s="97" t="s">
        <v>622</v>
      </c>
    </row>
    <row r="35" spans="1:3" x14ac:dyDescent="0.25">
      <c r="A35" s="96" t="s">
        <v>581</v>
      </c>
      <c r="B35" s="97" t="s">
        <v>623</v>
      </c>
      <c r="C35" s="97" t="s">
        <v>87</v>
      </c>
    </row>
    <row r="36" spans="1:3" x14ac:dyDescent="0.25">
      <c r="A36" s="96" t="s">
        <v>583</v>
      </c>
      <c r="B36" s="96" t="s">
        <v>632</v>
      </c>
      <c r="C36" s="97" t="s">
        <v>539</v>
      </c>
    </row>
    <row r="37" spans="1:3" hidden="1" x14ac:dyDescent="0.25">
      <c r="A37" s="96" t="s">
        <v>584</v>
      </c>
      <c r="B37" s="97" t="s">
        <v>615</v>
      </c>
      <c r="C37" s="97" t="s">
        <v>87</v>
      </c>
    </row>
    <row r="38" spans="1:3" x14ac:dyDescent="0.25">
      <c r="A38" s="96" t="s">
        <v>586</v>
      </c>
      <c r="B38" s="97" t="s">
        <v>613</v>
      </c>
      <c r="C38" s="97" t="s">
        <v>621</v>
      </c>
    </row>
    <row r="39" spans="1:3" hidden="1" x14ac:dyDescent="0.25">
      <c r="A39" s="96" t="s">
        <v>597</v>
      </c>
      <c r="B39" s="97" t="s">
        <v>87</v>
      </c>
      <c r="C39" s="97" t="s">
        <v>87</v>
      </c>
    </row>
    <row r="40" spans="1:3" hidden="1" x14ac:dyDescent="0.25">
      <c r="A40" s="96" t="s">
        <v>587</v>
      </c>
      <c r="B40" s="97" t="s">
        <v>615</v>
      </c>
      <c r="C40" s="97" t="s">
        <v>87</v>
      </c>
    </row>
    <row r="41" spans="1:3" x14ac:dyDescent="0.25">
      <c r="A41" s="96" t="s">
        <v>588</v>
      </c>
      <c r="B41" s="97" t="s">
        <v>620</v>
      </c>
      <c r="C41" s="97" t="s">
        <v>87</v>
      </c>
    </row>
    <row r="42" spans="1:3" hidden="1" x14ac:dyDescent="0.25">
      <c r="A42" s="96" t="s">
        <v>589</v>
      </c>
      <c r="B42" s="97" t="s">
        <v>87</v>
      </c>
      <c r="C42" s="97" t="s">
        <v>87</v>
      </c>
    </row>
    <row r="43" spans="1:3" hidden="1" x14ac:dyDescent="0.25">
      <c r="A43" s="96" t="s">
        <v>590</v>
      </c>
      <c r="B43" s="97" t="s">
        <v>87</v>
      </c>
      <c r="C43" s="97" t="s">
        <v>87</v>
      </c>
    </row>
    <row r="44" spans="1:3" hidden="1" x14ac:dyDescent="0.25">
      <c r="A44" s="96" t="s">
        <v>591</v>
      </c>
      <c r="B44" s="97" t="s">
        <v>87</v>
      </c>
      <c r="C44" s="97" t="s">
        <v>87</v>
      </c>
    </row>
    <row r="45" spans="1:3" hidden="1" x14ac:dyDescent="0.25">
      <c r="A45" s="96" t="s">
        <v>592</v>
      </c>
      <c r="B45" s="97" t="s">
        <v>87</v>
      </c>
      <c r="C45" s="97" t="s">
        <v>87</v>
      </c>
    </row>
    <row r="46" spans="1:3" x14ac:dyDescent="0.25">
      <c r="A46" s="96" t="s">
        <v>593</v>
      </c>
      <c r="B46" s="96" t="s">
        <v>608</v>
      </c>
      <c r="C46" s="96" t="s">
        <v>619</v>
      </c>
    </row>
    <row r="47" spans="1:3" x14ac:dyDescent="0.25">
      <c r="A47" s="96" t="s">
        <v>594</v>
      </c>
      <c r="B47" s="96" t="s">
        <v>616</v>
      </c>
      <c r="C47" s="96" t="s">
        <v>196</v>
      </c>
    </row>
    <row r="48" spans="1:3" hidden="1" x14ac:dyDescent="0.25">
      <c r="A48" s="96" t="s">
        <v>595</v>
      </c>
      <c r="B48" s="96" t="s">
        <v>87</v>
      </c>
      <c r="C48" s="96" t="s">
        <v>87</v>
      </c>
    </row>
    <row r="49" spans="1:3" hidden="1" x14ac:dyDescent="0.25">
      <c r="A49" s="96" t="s">
        <v>596</v>
      </c>
      <c r="B49" s="96" t="s">
        <v>87</v>
      </c>
      <c r="C49" s="96" t="s">
        <v>87</v>
      </c>
    </row>
    <row r="50" spans="1:3" x14ac:dyDescent="0.25">
      <c r="A50" s="96" t="s">
        <v>647</v>
      </c>
      <c r="B50" s="96" t="s">
        <v>616</v>
      </c>
      <c r="C50" s="96" t="s">
        <v>646</v>
      </c>
    </row>
    <row r="51" spans="1:3" x14ac:dyDescent="0.25">
      <c r="A51" s="96" t="s">
        <v>598</v>
      </c>
      <c r="B51" s="96" t="s">
        <v>633</v>
      </c>
      <c r="C51" s="96" t="s">
        <v>87</v>
      </c>
    </row>
    <row r="52" spans="1:3" hidden="1" x14ac:dyDescent="0.25">
      <c r="A52" s="96" t="s">
        <v>599</v>
      </c>
      <c r="B52" s="96" t="s">
        <v>87</v>
      </c>
      <c r="C52" s="96" t="s">
        <v>87</v>
      </c>
    </row>
    <row r="53" spans="1:3" x14ac:dyDescent="0.25">
      <c r="A53" s="96" t="s">
        <v>600</v>
      </c>
      <c r="B53" s="96" t="s">
        <v>607</v>
      </c>
      <c r="C53" s="96" t="s">
        <v>87</v>
      </c>
    </row>
    <row r="54" spans="1:3" x14ac:dyDescent="0.25">
      <c r="A54" s="96" t="s">
        <v>601</v>
      </c>
      <c r="B54" s="96" t="s">
        <v>616</v>
      </c>
      <c r="C54" s="96" t="s">
        <v>618</v>
      </c>
    </row>
    <row r="55" spans="1:3" hidden="1" x14ac:dyDescent="0.25">
      <c r="A55" s="96" t="s">
        <v>602</v>
      </c>
      <c r="B55" s="96" t="s">
        <v>87</v>
      </c>
      <c r="C55" s="96" t="s">
        <v>87</v>
      </c>
    </row>
    <row r="56" spans="1:3" hidden="1" x14ac:dyDescent="0.25">
      <c r="A56" s="96" t="s">
        <v>603</v>
      </c>
      <c r="B56" s="96" t="s">
        <v>87</v>
      </c>
      <c r="C56" s="96" t="s">
        <v>87</v>
      </c>
    </row>
    <row r="57" spans="1:3" hidden="1" x14ac:dyDescent="0.25">
      <c r="A57" s="96" t="s">
        <v>604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616</v>
      </c>
      <c r="C58" s="96" t="s">
        <v>617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627</v>
      </c>
      <c r="B3" t="s">
        <v>629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616</v>
      </c>
      <c r="B5" s="94">
        <v>7</v>
      </c>
    </row>
    <row r="6" spans="1:2" x14ac:dyDescent="0.25">
      <c r="A6" s="93" t="s">
        <v>607</v>
      </c>
      <c r="B6" s="94">
        <v>7</v>
      </c>
    </row>
    <row r="7" spans="1:2" x14ac:dyDescent="0.25">
      <c r="A7" s="93" t="s">
        <v>615</v>
      </c>
      <c r="B7" s="94">
        <v>6</v>
      </c>
    </row>
    <row r="8" spans="1:2" x14ac:dyDescent="0.25">
      <c r="A8" s="93" t="s">
        <v>609</v>
      </c>
      <c r="B8" s="94">
        <v>6</v>
      </c>
    </row>
    <row r="9" spans="1:2" x14ac:dyDescent="0.25">
      <c r="A9" s="93" t="s">
        <v>632</v>
      </c>
      <c r="B9" s="94">
        <v>4</v>
      </c>
    </row>
    <row r="10" spans="1:2" x14ac:dyDescent="0.25">
      <c r="A10" s="93" t="s">
        <v>613</v>
      </c>
      <c r="B10" s="94">
        <v>3</v>
      </c>
    </row>
    <row r="11" spans="1:2" x14ac:dyDescent="0.25">
      <c r="A11" s="93" t="s">
        <v>623</v>
      </c>
      <c r="B11" s="94">
        <v>3</v>
      </c>
    </row>
    <row r="12" spans="1:2" x14ac:dyDescent="0.25">
      <c r="A12" s="93" t="s">
        <v>608</v>
      </c>
      <c r="B12" s="94">
        <v>3</v>
      </c>
    </row>
    <row r="13" spans="1:2" x14ac:dyDescent="0.25">
      <c r="A13" s="93" t="s">
        <v>633</v>
      </c>
      <c r="B13" s="94">
        <v>2</v>
      </c>
    </row>
    <row r="14" spans="1:2" x14ac:dyDescent="0.25">
      <c r="A14" s="93" t="s">
        <v>620</v>
      </c>
      <c r="B14" s="94">
        <v>1</v>
      </c>
    </row>
    <row r="15" spans="1:2" x14ac:dyDescent="0.25">
      <c r="A15" s="93" t="s">
        <v>625</v>
      </c>
      <c r="B15" s="94">
        <v>1</v>
      </c>
    </row>
    <row r="16" spans="1:2" x14ac:dyDescent="0.25">
      <c r="A16" s="93" t="s">
        <v>631</v>
      </c>
      <c r="B16" s="94">
        <v>1</v>
      </c>
    </row>
    <row r="17" spans="1:2" x14ac:dyDescent="0.25">
      <c r="A17" s="93" t="s">
        <v>628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492</v>
      </c>
      <c r="B1" s="83" t="s">
        <v>490</v>
      </c>
      <c r="C1" s="83" t="s">
        <v>491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2018-03-10T11:21:01Z</dcterms:modified>
</cp:coreProperties>
</file>