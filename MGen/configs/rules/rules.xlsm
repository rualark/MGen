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Data!$A$1:$X$467</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F104" authorId="1" shapeId="0">
      <text>
        <r>
          <rPr>
            <sz val="9"/>
            <color indexed="81"/>
            <rFont val="Tahoma"/>
            <family val="2"/>
            <charset val="204"/>
          </rPr>
          <t>Contrary octaves are possible in cadence</t>
        </r>
      </text>
    </comment>
    <comment ref="G104" authorId="1" shapeId="0">
      <text>
        <r>
          <rPr>
            <sz val="9"/>
            <color indexed="81"/>
            <rFont val="Tahoma"/>
            <family val="2"/>
            <charset val="204"/>
          </rPr>
          <t>Different adjacent perfect consonances</t>
        </r>
      </text>
    </comment>
    <comment ref="H104" authorId="1" shapeId="0">
      <text>
        <r>
          <rPr>
            <sz val="9"/>
            <color indexed="81"/>
            <rFont val="Tahoma"/>
            <family val="2"/>
            <charset val="204"/>
          </rPr>
          <t>Parallel 5th after sus from 5th to 6th</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Different adjacent perfect consonances</t>
        </r>
      </text>
    </comment>
    <comment ref="E106" authorId="1" shapeId="0">
      <text>
        <r>
          <rPr>
            <sz val="9"/>
            <color indexed="81"/>
            <rFont val="Tahoma"/>
            <family val="2"/>
            <charset val="204"/>
          </rPr>
          <t>Contrary movement to upbeat</t>
        </r>
      </text>
    </comment>
    <comment ref="F106" authorId="0" shapeId="0">
      <text>
        <r>
          <rPr>
            <sz val="9"/>
            <color indexed="81"/>
            <rFont val="Tahoma"/>
            <family val="2"/>
          </rPr>
          <t>Contrary movement to last interval in counterpoint</t>
        </r>
      </text>
    </comment>
    <comment ref="G106" authorId="1" shapeId="0">
      <text>
        <r>
          <rPr>
            <sz val="9"/>
            <color indexed="81"/>
            <rFont val="Tahoma"/>
            <family val="2"/>
            <charset val="204"/>
          </rPr>
          <t>Direct compound intervals.</t>
        </r>
      </text>
    </comment>
    <comment ref="H106" authorId="0" shapeId="0">
      <text>
        <r>
          <rPr>
            <sz val="9"/>
            <color indexed="81"/>
            <rFont val="Tahoma"/>
            <family val="2"/>
          </rPr>
          <t>First and second perfect consonances are placed on differrent beats</t>
        </r>
      </text>
    </comment>
    <comment ref="I106" authorId="1" shapeId="0">
      <text>
        <r>
          <rPr>
            <sz val="9"/>
            <color indexed="81"/>
            <rFont val="Tahoma"/>
            <family val="2"/>
            <charset val="204"/>
          </rPr>
          <t xml:space="preserve">One of intervals is approached and left by stepwize movement </t>
        </r>
      </text>
    </comment>
    <comment ref="E107" authorId="0" shapeId="0">
      <text>
        <r>
          <rPr>
            <sz val="9"/>
            <color indexed="81"/>
            <rFont val="Tahoma"/>
            <family val="2"/>
          </rPr>
          <t>Second interval is anticipation downbeat</t>
        </r>
      </text>
    </comment>
    <comment ref="F107" authorId="0" shapeId="0">
      <text>
        <r>
          <rPr>
            <sz val="9"/>
            <color indexed="81"/>
            <rFont val="Tahoma"/>
            <family val="2"/>
          </rPr>
          <t>Second interval is downbeat</t>
        </r>
      </text>
    </comment>
    <comment ref="G107" authorId="0" shapeId="0">
      <text>
        <r>
          <rPr>
            <sz val="9"/>
            <color indexed="81"/>
            <rFont val="Tahoma"/>
            <family val="2"/>
          </rPr>
          <t>Second interval is suspension second part</t>
        </r>
      </text>
    </comment>
    <comment ref="H107" authorId="0" shapeId="0">
      <text>
        <r>
          <rPr>
            <sz val="9"/>
            <color indexed="81"/>
            <rFont val="Tahoma"/>
            <family val="2"/>
          </rPr>
          <t>If other rules in this row did not apply</t>
        </r>
      </text>
    </comment>
    <comment ref="E108" authorId="1" shapeId="0">
      <text>
        <r>
          <rPr>
            <sz val="9"/>
            <color indexed="81"/>
            <rFont val="Tahoma"/>
            <family val="2"/>
            <charset val="204"/>
          </rPr>
          <t>Contrary movement to upbeat</t>
        </r>
      </text>
    </comment>
    <comment ref="F108" authorId="0" shapeId="0">
      <text>
        <r>
          <rPr>
            <sz val="9"/>
            <color indexed="81"/>
            <rFont val="Tahoma"/>
            <family val="2"/>
          </rPr>
          <t>Contrary movement to last interval in counterpoint</t>
        </r>
      </text>
    </comment>
    <comment ref="G108" authorId="1" shapeId="0">
      <text>
        <r>
          <rPr>
            <sz val="9"/>
            <color indexed="81"/>
            <rFont val="Tahoma"/>
            <family val="2"/>
            <charset val="204"/>
          </rPr>
          <t>Direct compound intervals.</t>
        </r>
      </text>
    </comment>
    <comment ref="H108" authorId="0" shapeId="0">
      <text>
        <r>
          <rPr>
            <sz val="9"/>
            <color indexed="81"/>
            <rFont val="Tahoma"/>
            <family val="2"/>
          </rPr>
          <t>First and second perfect consonances are placed on differrent beats</t>
        </r>
      </text>
    </comment>
    <comment ref="I108" authorId="1" shapeId="0">
      <text>
        <r>
          <rPr>
            <sz val="9"/>
            <color indexed="81"/>
            <rFont val="Tahoma"/>
            <family val="2"/>
            <charset val="204"/>
          </rPr>
          <t xml:space="preserve">One of intervals is approached and left by stepwize movement </t>
        </r>
      </text>
    </comment>
    <comment ref="E109" authorId="0" shapeId="0">
      <text>
        <r>
          <rPr>
            <sz val="9"/>
            <color indexed="81"/>
            <rFont val="Tahoma"/>
            <family val="2"/>
          </rPr>
          <t>Second interval is anticipation downbeat</t>
        </r>
      </text>
    </comment>
    <comment ref="F109" authorId="0" shapeId="0">
      <text>
        <r>
          <rPr>
            <sz val="9"/>
            <color indexed="81"/>
            <rFont val="Tahoma"/>
            <family val="2"/>
          </rPr>
          <t>Second interval is downbeat</t>
        </r>
      </text>
    </comment>
    <comment ref="G109" authorId="0" shapeId="0">
      <text>
        <r>
          <rPr>
            <sz val="9"/>
            <color indexed="81"/>
            <rFont val="Tahoma"/>
            <family val="2"/>
          </rPr>
          <t>Second interval is suspension second part</t>
        </r>
      </text>
    </comment>
    <comment ref="H109" authorId="0" shapeId="0">
      <text>
        <r>
          <rPr>
            <sz val="9"/>
            <color indexed="81"/>
            <rFont val="Tahoma"/>
            <family val="2"/>
          </rPr>
          <t>If other rules in this row did not apply</t>
        </r>
      </text>
    </comment>
    <comment ref="G111" authorId="1" shapeId="0">
      <text>
        <r>
          <rPr>
            <sz val="9"/>
            <color indexed="81"/>
            <rFont val="Tahoma"/>
            <family val="2"/>
            <charset val="204"/>
          </rPr>
          <t>not cadence</t>
        </r>
      </text>
    </comment>
    <comment ref="H111" authorId="1" shapeId="0">
      <text>
        <r>
          <rPr>
            <sz val="9"/>
            <color indexed="81"/>
            <rFont val="Tahoma"/>
            <family val="2"/>
            <charset val="204"/>
          </rPr>
          <t>not cadence</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E113" authorId="1" shapeId="0">
      <text>
        <r>
          <rPr>
            <sz val="9"/>
            <color indexed="81"/>
            <rFont val="Tahoma"/>
            <family val="2"/>
            <charset val="204"/>
          </rPr>
          <t>With higher cantus. Includes 16th interval and above</t>
        </r>
      </text>
    </comment>
    <comment ref="F113" authorId="1" shapeId="0">
      <text>
        <r>
          <rPr>
            <sz val="9"/>
            <color indexed="81"/>
            <rFont val="Tahoma"/>
            <family val="2"/>
            <charset val="204"/>
          </rPr>
          <t>In higher cantus. Includes 14th interval and above</t>
        </r>
      </text>
    </comment>
    <comment ref="G113" authorId="1" shapeId="0">
      <text>
        <r>
          <rPr>
            <sz val="9"/>
            <color indexed="81"/>
            <rFont val="Tahoma"/>
            <family val="2"/>
            <charset val="204"/>
          </rPr>
          <t>Does not include 9th interval and above</t>
        </r>
      </text>
    </comment>
    <comment ref="H113" authorId="0" shapeId="0">
      <text>
        <r>
          <rPr>
            <sz val="9"/>
            <color indexed="81"/>
            <rFont val="Tahoma"/>
            <family val="2"/>
          </rPr>
          <t>Allows resolution to beat 2</t>
        </r>
      </text>
    </comment>
    <comment ref="I113" authorId="0" shapeId="0">
      <text>
        <r>
          <rPr>
            <sz val="9"/>
            <color indexed="81"/>
            <rFont val="Tahoma"/>
            <family val="2"/>
          </rPr>
          <t>Allows resolution to beat 4</t>
        </r>
      </text>
    </comment>
    <comment ref="E114" authorId="1" shapeId="0">
      <text>
        <r>
          <rPr>
            <sz val="9"/>
            <color indexed="81"/>
            <rFont val="Tahoma"/>
            <family val="2"/>
            <charset val="204"/>
          </rPr>
          <t>Suspension resolution up except for leading note (LT stepwize resolution up to tonic is allowed)</t>
        </r>
      </text>
    </comment>
    <comment ref="G114" authorId="1" shapeId="0">
      <text>
        <r>
          <rPr>
            <sz val="9"/>
            <color indexed="81"/>
            <rFont val="Tahoma"/>
            <family val="2"/>
            <charset val="204"/>
          </rPr>
          <t>Suspension resolution by leap</t>
        </r>
      </text>
    </comment>
    <comment ref="H114" authorId="1" shapeId="0">
      <text>
        <r>
          <rPr>
            <sz val="9"/>
            <color indexed="81"/>
            <rFont val="Tahoma"/>
            <family val="2"/>
            <charset val="204"/>
          </rPr>
          <t>If resolution note is shorter than 1/4</t>
        </r>
      </text>
    </comment>
    <comment ref="I114" authorId="1" shapeId="0">
      <text>
        <r>
          <rPr>
            <sz val="9"/>
            <color indexed="81"/>
            <rFont val="Tahoma"/>
            <family val="2"/>
            <charset val="204"/>
          </rPr>
          <t>Suspension is not resolved on allowed beat</t>
        </r>
      </text>
    </comment>
    <comment ref="E115" authorId="1" shapeId="0">
      <text>
        <r>
          <rPr>
            <sz val="10"/>
            <color rgb="FF000000"/>
            <rFont val="Arial"/>
            <family val="2"/>
            <charset val="204"/>
          </rPr>
          <t>Leap down from consonance insertion to resolution</t>
        </r>
      </text>
    </comment>
    <comment ref="F115" authorId="1" shapeId="0">
      <text>
        <r>
          <rPr>
            <sz val="10"/>
            <color rgb="FF000000"/>
            <rFont val="Arial"/>
            <family val="2"/>
            <charset val="204"/>
          </rPr>
          <t>Leap up from consonance insertion to resolution</t>
        </r>
      </text>
    </comment>
    <comment ref="G115" authorId="1" shapeId="0">
      <text>
        <r>
          <rPr>
            <sz val="9"/>
            <color indexed="81"/>
            <rFont val="Tahoma"/>
            <family val="2"/>
            <charset val="204"/>
          </rPr>
          <t>There are more than 2 inserted notes between suspension and resolution</t>
        </r>
      </text>
    </comment>
    <comment ref="H115" authorId="1" shapeId="0">
      <text>
        <r>
          <rPr>
            <i/>
            <sz val="9"/>
            <color indexed="81"/>
            <rFont val="Tahoma"/>
            <family val="2"/>
            <charset val="204"/>
          </rPr>
          <t>Leap from insertion to resolution is longer than M6</t>
        </r>
      </text>
    </comment>
    <comment ref="E116" authorId="1" shapeId="0">
      <text>
        <r>
          <rPr>
            <sz val="9"/>
            <color indexed="81"/>
            <rFont val="Tahoma"/>
            <family val="2"/>
            <charset val="204"/>
          </rPr>
          <t>First note in counterpoint voice is dissonance</t>
        </r>
      </text>
    </comment>
    <comment ref="G116" authorId="1" shapeId="0">
      <text>
        <r>
          <rPr>
            <sz val="9"/>
            <color indexed="81"/>
            <rFont val="Tahoma"/>
            <family val="2"/>
            <charset val="204"/>
          </rPr>
          <t>Dissonance is longer than previous consonance</t>
        </r>
      </text>
    </comment>
    <comment ref="H116" authorId="1" shapeId="0">
      <text>
        <r>
          <rPr>
            <sz val="9"/>
            <color indexed="81"/>
            <rFont val="Tahoma"/>
            <family val="2"/>
            <charset val="204"/>
          </rPr>
          <t>Dissonance is longer than next consonance</t>
        </r>
      </text>
    </comment>
    <comment ref="I116" authorId="1" shapeId="0">
      <text>
        <r>
          <rPr>
            <sz val="9"/>
            <color indexed="81"/>
            <rFont val="Tahoma"/>
            <family val="2"/>
            <charset val="204"/>
          </rPr>
          <t>Dissonances start and end suspension/anticipation</t>
        </r>
      </text>
    </comment>
    <comment ref="J116" authorId="1" shapeId="0">
      <text>
        <r>
          <rPr>
            <sz val="9"/>
            <color indexed="81"/>
            <rFont val="Tahoma"/>
            <family val="2"/>
            <charset val="204"/>
          </rPr>
          <t xml:space="preserve">Prohibit 4th upbeat consonance even if not lowest </t>
        </r>
      </text>
    </comment>
    <comment ref="F117" authorId="1" shapeId="0">
      <text>
        <r>
          <rPr>
            <sz val="9"/>
            <color indexed="81"/>
            <rFont val="Tahoma"/>
            <family val="2"/>
            <charset val="204"/>
          </rPr>
          <t>Leap from or to harmonic upbeat dissonance</t>
        </r>
      </text>
    </comment>
    <comment ref="G117" authorId="1" shapeId="0">
      <text>
        <r>
          <rPr>
            <sz val="9"/>
            <color indexed="81"/>
            <rFont val="Tahoma"/>
            <family val="2"/>
            <charset val="204"/>
          </rPr>
          <t>Minor second</t>
        </r>
      </text>
    </comment>
    <comment ref="E122" authorId="1" shapeId="0">
      <text>
        <r>
          <rPr>
            <sz val="9"/>
            <color indexed="81"/>
            <rFont val="Tahoma"/>
            <family val="2"/>
            <charset val="204"/>
          </rPr>
          <t>No starting pause in couterpoint voice for species 2-5</t>
        </r>
      </text>
    </comment>
    <comment ref="E123" authorId="1" shapeId="0">
      <text>
        <r>
          <rPr>
            <sz val="9"/>
            <color indexed="81"/>
            <rFont val="Tahoma"/>
            <family val="2"/>
            <charset val="204"/>
          </rPr>
          <t>Downbeat unison is not allowed inside counterpoint - only as first or last interval of counterpoint</t>
        </r>
      </text>
    </comment>
    <comment ref="F123" authorId="1" shapeId="0">
      <text>
        <r>
          <rPr>
            <sz val="9"/>
            <color indexed="81"/>
            <rFont val="Tahoma"/>
            <family val="2"/>
            <charset val="204"/>
          </rPr>
          <t>Major or minor 2nd resolves to unison</t>
        </r>
      </text>
    </comment>
    <comment ref="G123" authorId="1" shapeId="0">
      <text>
        <r>
          <rPr>
            <sz val="9"/>
            <color indexed="81"/>
            <rFont val="Tahoma"/>
            <family val="2"/>
            <charset val="204"/>
          </rPr>
          <t>Unison is near minor 2nd interval in same measure</t>
        </r>
      </text>
    </comment>
    <comment ref="E124" authorId="1" shapeId="0">
      <text>
        <r>
          <rPr>
            <sz val="9"/>
            <color indexed="81"/>
            <rFont val="Tahoma"/>
            <family val="2"/>
            <charset val="204"/>
          </rPr>
          <t>no leading tone is allowed if last bass notes are V-I</t>
        </r>
      </text>
    </comment>
    <comment ref="F124" authorId="1" shapeId="0">
      <text>
        <r>
          <rPr>
            <sz val="9"/>
            <color indexed="81"/>
            <rFont val="Tahoma"/>
            <family val="2"/>
            <charset val="204"/>
          </rPr>
          <t>No V or II note</t>
        </r>
      </text>
    </comment>
    <comment ref="G124" authorId="1" shapeId="0">
      <text>
        <r>
          <rPr>
            <sz val="9"/>
            <color indexed="81"/>
            <rFont val="Tahoma"/>
            <family val="2"/>
            <charset val="204"/>
          </rPr>
          <t>VII natural minor note in penultimate measure</t>
        </r>
      </text>
    </comment>
    <comment ref="H124" authorId="1" shapeId="0">
      <text>
        <r>
          <rPr>
            <sz val="9"/>
            <color indexed="81"/>
            <rFont val="Tahoma"/>
            <family val="2"/>
            <charset val="204"/>
          </rPr>
          <t>There is another harmony between leading tone and tonic note in penultimate measure</t>
        </r>
      </text>
    </comment>
    <comment ref="I124" authorId="1" shapeId="0">
      <text>
        <r>
          <rPr>
            <sz val="9"/>
            <color indexed="81"/>
            <rFont val="Tahoma"/>
            <family val="2"/>
            <charset val="204"/>
          </rPr>
          <t>Tonic or subdominant chord goes after dominant chord in penultimate measure</t>
        </r>
      </text>
    </comment>
    <comment ref="J124" authorId="1" shapeId="0">
      <text>
        <r>
          <rPr>
            <sz val="9"/>
            <color indexed="81"/>
            <rFont val="Tahoma"/>
            <family val="2"/>
            <charset val="204"/>
          </rPr>
          <t>Penultimate harmony is not D / DVII</t>
        </r>
      </text>
    </comment>
    <comment ref="E125" authorId="1" shapeId="0">
      <text>
        <r>
          <rPr>
            <sz val="9"/>
            <color indexed="81"/>
            <rFont val="Tahoma"/>
            <family val="2"/>
            <charset val="204"/>
          </rPr>
          <t>Suspension of LT by I note in penultimate measure in sp2</t>
        </r>
      </text>
    </comment>
    <comment ref="F125" authorId="1" shapeId="0">
      <text>
        <r>
          <rPr>
            <sz val="9"/>
            <color indexed="81"/>
            <rFont val="Tahoma"/>
            <family val="2"/>
            <charset val="204"/>
          </rPr>
          <t>Other suspension than LT by I note in penultimate measure in sp2</t>
        </r>
      </text>
    </comment>
    <comment ref="E126" authorId="0" shapeId="0">
      <text>
        <r>
          <rPr>
            <sz val="9"/>
            <color indexed="81"/>
            <rFont val="Tahoma"/>
            <family val="2"/>
          </rPr>
          <t>{sp3,4,5}</t>
        </r>
      </text>
    </comment>
    <comment ref="F126" authorId="1" shapeId="0">
      <text>
        <r>
          <rPr>
            <sz val="9"/>
            <color indexed="81"/>
            <rFont val="Tahoma"/>
            <family val="2"/>
            <charset val="204"/>
          </rPr>
          <t>Slurs are not possible in cantus. This rule is technical</t>
        </r>
      </text>
    </comment>
    <comment ref="E131" authorId="1" shapeId="0">
      <text>
        <r>
          <rPr>
            <sz val="9"/>
            <color indexed="81"/>
            <rFont val="Tahoma"/>
            <family val="2"/>
            <charset val="204"/>
          </rPr>
          <t>Prohibit this rule to prevent detection of any cambiata, thus processing as usual notes</t>
        </r>
      </text>
    </comment>
    <comment ref="F131" authorId="1" shapeId="0">
      <text>
        <r>
          <rPr>
            <sz val="9"/>
            <color indexed="81"/>
            <rFont val="Tahoma"/>
            <family val="2"/>
            <charset val="204"/>
          </rPr>
          <t>Rhythm of cambiata contains not only 1/4 notes</t>
        </r>
      </text>
    </comment>
    <comment ref="G131" authorId="1" shapeId="0">
      <text>
        <r>
          <rPr>
            <sz val="9"/>
            <color indexed="81"/>
            <rFont val="Tahoma"/>
            <family val="2"/>
            <charset val="204"/>
          </rPr>
          <t>Last note of cambiata is out of current measure</t>
        </r>
      </text>
    </comment>
    <comment ref="H131" authorId="1" shapeId="0">
      <text>
        <r>
          <rPr>
            <sz val="9"/>
            <color indexed="81"/>
            <rFont val="Tahoma"/>
            <family val="2"/>
            <charset val="204"/>
          </rPr>
          <t>Two or more last notes of cambiata are out of current measure</t>
        </r>
      </text>
    </comment>
    <comment ref="I131" authorId="1" shapeId="0">
      <text>
        <r>
          <rPr>
            <sz val="9"/>
            <color indexed="81"/>
            <rFont val="Tahoma"/>
            <family val="2"/>
            <charset val="204"/>
          </rPr>
          <t>Third note in cambiata is dissonance</t>
        </r>
      </text>
    </comment>
    <comment ref="E132" authorId="1" shapeId="0">
      <text>
        <r>
          <rPr>
            <sz val="9"/>
            <color indexed="81"/>
            <rFont val="Tahoma"/>
            <family val="2"/>
            <charset val="204"/>
          </rPr>
          <t>4th leap from 2nd note compensated by next stepwize movement</t>
        </r>
      </text>
    </comment>
    <comment ref="F132" authorId="1" shapeId="0">
      <text>
        <r>
          <rPr>
            <sz val="9"/>
            <color indexed="81"/>
            <rFont val="Tahoma"/>
            <family val="2"/>
            <charset val="204"/>
          </rPr>
          <t>4th leap to 3rd note</t>
        </r>
      </text>
    </comment>
    <comment ref="G132" authorId="1" shapeId="0">
      <text>
        <r>
          <rPr>
            <i/>
            <sz val="9"/>
            <color indexed="81"/>
            <rFont val="Tahoma"/>
            <family val="2"/>
            <charset val="204"/>
          </rPr>
          <t>Leap from note #3 up to 4th interval</t>
        </r>
      </text>
    </comment>
    <comment ref="H132" authorId="1" shapeId="0">
      <text>
        <r>
          <rPr>
            <i/>
            <sz val="9"/>
            <color indexed="81"/>
            <rFont val="Tahoma"/>
            <family val="2"/>
            <charset val="204"/>
          </rPr>
          <t>Leap from note #4 up to 4th interval</t>
        </r>
      </text>
    </comment>
    <comment ref="I132" authorId="1" shapeId="0">
      <text>
        <r>
          <rPr>
            <sz val="9"/>
            <color indexed="81"/>
            <rFont val="Tahoma"/>
            <family val="2"/>
            <charset val="204"/>
          </rPr>
          <t>Movement from note #4 in returning direction</t>
        </r>
      </text>
    </comment>
    <comment ref="J132" authorId="1" shapeId="0">
      <text>
        <r>
          <rPr>
            <sz val="9"/>
            <color indexed="81"/>
            <rFont val="Tahoma"/>
            <family val="2"/>
            <charset val="204"/>
          </rPr>
          <t>Inverted cambiata</t>
        </r>
      </text>
    </comment>
    <comment ref="E133" authorId="1" shapeId="0">
      <text>
        <r>
          <rPr>
            <sz val="9"/>
            <color indexed="81"/>
            <rFont val="Tahoma"/>
            <family val="2"/>
            <charset val="204"/>
          </rPr>
          <t>Prohibit this rule to prevent detection of any double-neighbour tone</t>
        </r>
      </text>
    </comment>
    <comment ref="F133" authorId="1" shapeId="0">
      <text>
        <r>
          <rPr>
            <sz val="9"/>
            <color indexed="81"/>
            <rFont val="Tahoma"/>
            <family val="2"/>
            <charset val="204"/>
          </rPr>
          <t>Rhythm of DNT contains not only 1/4 notes</t>
        </r>
      </text>
    </comment>
    <comment ref="G133" authorId="1" shapeId="0">
      <text>
        <r>
          <rPr>
            <sz val="9"/>
            <color indexed="81"/>
            <rFont val="Tahoma"/>
            <family val="2"/>
            <charset val="204"/>
          </rPr>
          <t>Last note of DNT is out of current measure</t>
        </r>
      </text>
    </comment>
    <comment ref="H133" authorId="1" shapeId="0">
      <text>
        <r>
          <rPr>
            <sz val="9"/>
            <color indexed="81"/>
            <rFont val="Tahoma"/>
            <family val="2"/>
            <charset val="204"/>
          </rPr>
          <t>Two or more last notes of DNT are out of current measure</t>
        </r>
      </text>
    </comment>
    <comment ref="I133" authorId="1" shapeId="0">
      <text>
        <r>
          <rPr>
            <sz val="9"/>
            <color indexed="81"/>
            <rFont val="Tahoma"/>
            <family val="2"/>
            <charset val="204"/>
          </rPr>
          <t>Allow leaps up to specified size</t>
        </r>
      </text>
    </comment>
    <comment ref="J133" authorId="1" shapeId="0">
      <text>
        <r>
          <rPr>
            <sz val="9"/>
            <color indexed="81"/>
            <rFont val="Tahoma"/>
            <family val="2"/>
            <charset val="204"/>
          </rPr>
          <t>There is a leap after 4th note of double-neighbour tone group</t>
        </r>
      </text>
    </comment>
    <comment ref="K133" authorId="1" shapeId="0">
      <text>
        <r>
          <rPr>
            <sz val="9"/>
            <color indexed="81"/>
            <rFont val="Tahoma"/>
            <family val="2"/>
            <charset val="204"/>
          </rPr>
          <t>There is a leap before 1st note of double-neighbour tone group</t>
        </r>
      </text>
    </comment>
    <comment ref="E134" authorId="1" shapeId="0">
      <text>
        <r>
          <rPr>
            <sz val="9"/>
            <color indexed="81"/>
            <rFont val="Tahoma"/>
            <family val="2"/>
            <charset val="204"/>
          </rPr>
          <t>Prohibit this rule to prevent detection of any descending passing downbeat dissonance</t>
        </r>
      </text>
    </comment>
    <comment ref="F134" authorId="1" shapeId="0">
      <text>
        <r>
          <rPr>
            <sz val="9"/>
            <color indexed="81"/>
            <rFont val="Tahoma"/>
            <family val="2"/>
            <charset val="204"/>
          </rPr>
          <t>Dissonance is formed by direct movement of voices</t>
        </r>
      </text>
    </comment>
    <comment ref="G134" authorId="1" shapeId="0">
      <text>
        <r>
          <rPr>
            <sz val="9"/>
            <color indexed="81"/>
            <rFont val="Tahoma"/>
            <family val="2"/>
            <charset val="204"/>
          </rPr>
          <t>Dissonance is formed by parallel movement of voices</t>
        </r>
      </text>
    </comment>
    <comment ref="E13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5" authorId="1" shapeId="0">
      <text>
        <r>
          <rPr>
            <sz val="9"/>
            <color indexed="81"/>
            <rFont val="Tahoma"/>
            <family val="2"/>
            <charset val="204"/>
          </rPr>
          <t>Previous note is shorter than anticipation note</t>
        </r>
      </text>
    </comment>
    <comment ref="G135" authorId="1" shapeId="0">
      <text>
        <r>
          <rPr>
            <sz val="9"/>
            <color indexed="81"/>
            <rFont val="Tahoma"/>
            <family val="2"/>
            <charset val="204"/>
          </rPr>
          <t>Next note has equal length with anticipation note</t>
        </r>
      </text>
    </comment>
    <comment ref="H135" authorId="1" shapeId="0">
      <text>
        <r>
          <rPr>
            <sz val="9"/>
            <color indexed="81"/>
            <rFont val="Tahoma"/>
            <family val="2"/>
            <charset val="204"/>
          </rPr>
          <t>Next note is shorter than anticipation note</t>
        </r>
      </text>
    </comment>
    <comment ref="E136" authorId="1" shapeId="0">
      <text>
        <r>
          <rPr>
            <sz val="9"/>
            <color indexed="81"/>
            <rFont val="Tahoma"/>
            <family val="2"/>
            <charset val="204"/>
          </rPr>
          <t>Anticipation inside counterpoint - not in cadence</t>
        </r>
      </text>
    </comment>
    <comment ref="F136" authorId="1" shapeId="0">
      <text>
        <r>
          <rPr>
            <sz val="9"/>
            <color indexed="81"/>
            <rFont val="Tahoma"/>
            <family val="2"/>
            <charset val="204"/>
          </rPr>
          <t>Anticipation start should not be longer</t>
        </r>
      </text>
    </comment>
    <comment ref="G136" authorId="1" shapeId="0">
      <text>
        <r>
          <rPr>
            <sz val="9"/>
            <color indexed="81"/>
            <rFont val="Tahoma"/>
            <family val="2"/>
            <charset val="204"/>
          </rPr>
          <t>Anticipation ending should not be longer than whole</t>
        </r>
      </text>
    </comment>
    <comment ref="H136" authorId="1" shapeId="0">
      <text>
        <r>
          <rPr>
            <sz val="9"/>
            <color indexed="81"/>
            <rFont val="Tahoma"/>
            <family val="2"/>
            <charset val="204"/>
          </rPr>
          <t>Leap to anticipation note</t>
        </r>
      </text>
    </comment>
    <comment ref="I136" authorId="1" shapeId="0">
      <text>
        <r>
          <rPr>
            <sz val="9"/>
            <color indexed="81"/>
            <rFont val="Tahoma"/>
            <family val="2"/>
            <charset val="204"/>
          </rPr>
          <t>Anticipation should resolve to consonance in next measure</t>
        </r>
      </text>
    </comment>
    <comment ref="E137" authorId="1" shapeId="0">
      <text>
        <r>
          <rPr>
            <sz val="9"/>
            <color indexed="81"/>
            <rFont val="Tahoma"/>
            <family val="2"/>
            <charset val="204"/>
          </rPr>
          <t>Prohibit this rule to prevent detection of any appoggiatura</t>
        </r>
      </text>
    </comment>
    <comment ref="F137" authorId="1" shapeId="0">
      <text>
        <r>
          <rPr>
            <sz val="9"/>
            <color indexed="81"/>
            <rFont val="Tahoma"/>
            <family val="2"/>
            <charset val="204"/>
          </rPr>
          <t xml:space="preserve">Appoggiatura is prepared with stepwize motion
</t>
        </r>
      </text>
    </comment>
    <comment ref="G137" authorId="1" shapeId="0">
      <text>
        <r>
          <rPr>
            <b/>
            <sz val="9"/>
            <color indexed="81"/>
            <rFont val="Tahoma"/>
            <family val="2"/>
            <charset val="204"/>
          </rPr>
          <t>Appogiatura is on an upbeat note</t>
        </r>
      </text>
    </comment>
    <comment ref="H137" authorId="1" shapeId="0">
      <text>
        <r>
          <rPr>
            <sz val="9"/>
            <color indexed="81"/>
            <rFont val="Tahoma"/>
            <family val="2"/>
            <charset val="204"/>
          </rPr>
          <t>Appogiatura is resolved in same direction as it was prepared</t>
        </r>
      </text>
    </comment>
    <comment ref="E138" authorId="1" shapeId="0">
      <text>
        <r>
          <rPr>
            <sz val="9"/>
            <color indexed="81"/>
            <rFont val="Tahoma"/>
            <family val="2"/>
            <charset val="204"/>
          </rPr>
          <t>Dotted half note on downbeat</t>
        </r>
      </text>
    </comment>
    <comment ref="F138" authorId="1" shapeId="0">
      <text>
        <r>
          <rPr>
            <sz val="9"/>
            <color indexed="81"/>
            <rFont val="Tahoma"/>
            <family val="2"/>
            <charset val="204"/>
          </rPr>
          <t>Dotted half note on upbeat</t>
        </r>
      </text>
    </comment>
    <comment ref="G138" authorId="1" shapeId="0">
      <text>
        <r>
          <rPr>
            <sz val="9"/>
            <color indexed="81"/>
            <rFont val="Tahoma"/>
            <family val="2"/>
            <charset val="204"/>
          </rPr>
          <t>1/4 on beat 2 or 4 is slurred to next note</t>
        </r>
      </text>
    </comment>
    <comment ref="H138" authorId="1" shapeId="0">
      <text>
        <r>
          <rPr>
            <sz val="9"/>
            <color indexed="81"/>
            <rFont val="Tahoma"/>
            <family val="2"/>
            <charset val="204"/>
          </rPr>
          <t>Downbeat whole note inside counterpoint - not first or last note</t>
        </r>
      </text>
    </comment>
    <comment ref="I138" authorId="0" shapeId="0">
      <text>
        <r>
          <rPr>
            <sz val="9"/>
            <color indexed="81"/>
            <rFont val="Tahoma"/>
            <family val="2"/>
          </rPr>
          <t>Starting pause in first measure does not equal length of next note</t>
        </r>
      </text>
    </comment>
    <comment ref="J138" authorId="1" shapeId="0">
      <text>
        <r>
          <rPr>
            <sz val="9"/>
            <color indexed="81"/>
            <rFont val="Tahoma"/>
            <family val="2"/>
            <charset val="204"/>
          </rPr>
          <t>Starting measure contains notes/pauses of different length</t>
        </r>
      </text>
    </comment>
    <comment ref="K138" authorId="0" shapeId="0">
      <text>
        <r>
          <rPr>
            <sz val="9"/>
            <color indexed="81"/>
            <rFont val="Tahoma"/>
            <family val="2"/>
          </rPr>
          <t>Starting pause is longer than 1/2 note</t>
        </r>
      </text>
    </comment>
    <comment ref="L138" authorId="0" shapeId="0">
      <text>
        <r>
          <rPr>
            <sz val="9"/>
            <color indexed="81"/>
            <rFont val="Tahoma"/>
            <family val="2"/>
          </rPr>
          <t>Rhythm repeats in neighboring measures, while there are no croches or less than 4 notes in measure</t>
        </r>
      </text>
    </comment>
    <comment ref="E139" authorId="1" shapeId="0">
      <text>
        <r>
          <rPr>
            <sz val="9"/>
            <color indexed="81"/>
            <rFont val="Tahoma"/>
            <family val="2"/>
            <charset val="204"/>
          </rPr>
          <t>1/8 note on beat 1</t>
        </r>
      </text>
    </comment>
    <comment ref="F139" authorId="1" shapeId="0">
      <text>
        <r>
          <rPr>
            <sz val="9"/>
            <color indexed="81"/>
            <rFont val="Tahoma"/>
            <family val="2"/>
            <charset val="204"/>
          </rPr>
          <t>1/8 note on beat 2</t>
        </r>
      </text>
    </comment>
    <comment ref="G139" authorId="1" shapeId="0">
      <text>
        <r>
          <rPr>
            <sz val="9"/>
            <color indexed="81"/>
            <rFont val="Tahoma"/>
            <family val="2"/>
            <charset val="204"/>
          </rPr>
          <t>1/8 note on beat 3</t>
        </r>
      </text>
    </comment>
    <comment ref="H139" authorId="1" shapeId="0">
      <text>
        <r>
          <rPr>
            <sz val="9"/>
            <color indexed="81"/>
            <rFont val="Tahoma"/>
            <family val="2"/>
            <charset val="204"/>
          </rPr>
          <t>1/8 note on beat 4</t>
        </r>
      </text>
    </comment>
    <comment ref="I139" authorId="1" shapeId="0">
      <text>
        <r>
          <rPr>
            <sz val="9"/>
            <color indexed="81"/>
            <rFont val="Tahoma"/>
            <family val="2"/>
            <charset val="204"/>
          </rPr>
          <t>1/8 note in the first measure</t>
        </r>
      </text>
    </comment>
    <comment ref="J139" authorId="0" shapeId="0">
      <text>
        <r>
          <rPr>
            <sz val="9"/>
            <color indexed="81"/>
            <rFont val="Tahoma"/>
            <family val="2"/>
            <charset val="204"/>
          </rPr>
          <t>1/8 note without pairing 1/8</t>
        </r>
      </text>
    </comment>
    <comment ref="K139" authorId="1" shapeId="0">
      <text>
        <r>
          <rPr>
            <sz val="9"/>
            <color indexed="81"/>
            <rFont val="Tahoma"/>
            <family val="2"/>
            <charset val="204"/>
          </rPr>
          <t>1/8 note slurred forward to next beat</t>
        </r>
      </text>
    </comment>
    <comment ref="L139" authorId="1" shapeId="0">
      <text>
        <r>
          <rPr>
            <sz val="9"/>
            <color indexed="81"/>
            <rFont val="Tahoma"/>
            <family val="2"/>
            <charset val="204"/>
          </rPr>
          <t>Leap from or to 1/8 note</t>
        </r>
      </text>
    </comment>
    <comment ref="E140" authorId="1" shapeId="0">
      <text>
        <r>
          <rPr>
            <sz val="9"/>
            <color indexed="81"/>
            <rFont val="Tahoma"/>
            <family val="2"/>
            <charset val="204"/>
          </rPr>
          <t>Last or next to last measure</t>
        </r>
      </text>
    </comment>
    <comment ref="F140" authorId="1" shapeId="0">
      <text>
        <r>
          <rPr>
            <sz val="9"/>
            <color indexed="81"/>
            <rFont val="Tahoma"/>
            <family val="2"/>
            <charset val="204"/>
          </rPr>
          <t>1/2 is slurred forward</t>
        </r>
      </text>
    </comment>
    <comment ref="G140" authorId="1" shapeId="0">
      <text>
        <r>
          <rPr>
            <sz val="9"/>
            <color indexed="81"/>
            <rFont val="Tahoma"/>
            <family val="2"/>
            <charset val="204"/>
          </rPr>
          <t>First note in measure is slurred to previous measure</t>
        </r>
      </text>
    </comment>
    <comment ref="H140" authorId="1" shapeId="0">
      <text>
        <r>
          <rPr>
            <sz val="9"/>
            <color indexed="81"/>
            <rFont val="Tahoma"/>
            <family val="2"/>
            <charset val="204"/>
          </rPr>
          <t>Before penultimate measure</t>
        </r>
      </text>
    </comment>
    <comment ref="E141" authorId="1" shapeId="0">
      <text>
        <r>
          <rPr>
            <sz val="9"/>
            <color indexed="81"/>
            <rFont val="Tahoma"/>
            <family val="2"/>
            <charset val="204"/>
          </rPr>
          <t>Usually &gt;8/4</t>
        </r>
      </text>
    </comment>
    <comment ref="F141" authorId="1" shapeId="0">
      <text>
        <r>
          <rPr>
            <sz val="9"/>
            <color indexed="81"/>
            <rFont val="Tahoma"/>
            <family val="2"/>
            <charset val="204"/>
          </rPr>
          <t>Usually &gt;2/4 or &gt;4/4</t>
        </r>
      </text>
    </comment>
    <comment ref="G141" authorId="1" shapeId="0">
      <text>
        <r>
          <rPr>
            <sz val="9"/>
            <color indexed="81"/>
            <rFont val="Tahoma"/>
            <family val="2"/>
            <charset val="204"/>
          </rPr>
          <t>Usually &gt;1/4 or &gt;2/4</t>
        </r>
      </text>
    </comment>
    <comment ref="H141" authorId="1" shapeId="0">
      <text>
        <r>
          <rPr>
            <sz val="9"/>
            <color indexed="81"/>
            <rFont val="Tahoma"/>
            <family val="2"/>
            <charset val="204"/>
          </rPr>
          <t>Usually &gt;4/4</t>
        </r>
      </text>
    </comment>
    <comment ref="I141" authorId="1" shapeId="0">
      <text>
        <r>
          <rPr>
            <sz val="9"/>
            <color indexed="81"/>
            <rFont val="Tahoma"/>
            <family val="2"/>
            <charset val="204"/>
          </rPr>
          <t>Usually &gt;6/4</t>
        </r>
      </text>
    </comment>
    <comment ref="E142" authorId="1" shapeId="0">
      <text>
        <r>
          <rPr>
            <sz val="9"/>
            <color indexed="81"/>
            <rFont val="Tahoma"/>
            <family val="2"/>
            <charset val="204"/>
          </rPr>
          <t>Note crosses more than two measures</t>
        </r>
      </text>
    </comment>
    <comment ref="J144" authorId="1" shapeId="0">
      <text>
        <r>
          <rPr>
            <sz val="9"/>
            <color indexed="81"/>
            <rFont val="Tahoma"/>
            <family val="2"/>
            <charset val="204"/>
          </rPr>
          <t>Suspension start should not be longer</t>
        </r>
      </text>
    </comment>
    <comment ref="K144" authorId="1" shapeId="0">
      <text>
        <r>
          <rPr>
            <sz val="9"/>
            <color indexed="81"/>
            <rFont val="Tahoma"/>
            <family val="2"/>
            <charset val="204"/>
          </rPr>
          <t>Suspension finish should not be longer</t>
        </r>
      </text>
    </comment>
    <comment ref="E145" authorId="1" shapeId="0">
      <text>
        <r>
          <rPr>
            <sz val="9"/>
            <color indexed="81"/>
            <rFont val="Tahoma"/>
            <family val="2"/>
            <charset val="204"/>
          </rPr>
          <t>Suspension before N last measures {sp2,3}</t>
        </r>
      </text>
    </comment>
    <comment ref="F145" authorId="1" shapeId="0">
      <text>
        <r>
          <rPr>
            <sz val="9"/>
            <color indexed="81"/>
            <rFont val="Tahoma"/>
            <family val="2"/>
            <charset val="204"/>
          </rPr>
          <t>At least one suspension is needed each X measures {sp5}</t>
        </r>
      </text>
    </comment>
    <comment ref="G145" authorId="1" shapeId="0">
      <text>
        <r>
          <rPr>
            <sz val="9"/>
            <color indexed="81"/>
            <rFont val="Tahoma"/>
            <family val="2"/>
            <charset val="204"/>
          </rPr>
          <t>Suspension starts with dissonance</t>
        </r>
      </text>
    </comment>
    <comment ref="E146" authorId="1" shapeId="0">
      <text>
        <r>
          <rPr>
            <sz val="9"/>
            <color indexed="81"/>
            <rFont val="Tahoma"/>
            <family val="2"/>
            <charset val="204"/>
          </rPr>
          <t>5 notes in measure only allowed if first note is a suspension from previous measure</t>
        </r>
      </text>
    </comment>
    <comment ref="H146" authorId="1" shapeId="0">
      <text>
        <r>
          <rPr>
            <sz val="9"/>
            <color indexed="81"/>
            <rFont val="Tahoma"/>
            <family val="2"/>
            <charset val="204"/>
          </rPr>
          <t>More than two 1/8 notes in measure</t>
        </r>
      </text>
    </comment>
    <comment ref="F177" authorId="1" shapeId="0">
      <text>
        <r>
          <rPr>
            <sz val="9"/>
            <color indexed="81"/>
            <rFont val="Tahoma"/>
            <family val="2"/>
            <charset val="204"/>
          </rPr>
          <t>Total leaps length more than X notes:
3 is third, 4 is fourth and so on</t>
        </r>
      </text>
    </comment>
    <comment ref="H177" authorId="1" shapeId="0">
      <text>
        <r>
          <rPr>
            <sz val="9"/>
            <color indexed="81"/>
            <rFont val="Tahoma"/>
            <family val="2"/>
            <charset val="204"/>
          </rPr>
          <t>Total leaps length more than X notes:
3 is third, 4 is fourth and so on</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E180" authorId="1" shapeId="0">
      <text>
        <r>
          <rPr>
            <sz val="9"/>
            <color indexed="81"/>
            <rFont val="Tahoma"/>
            <family val="2"/>
            <charset val="204"/>
          </rPr>
          <t>Two consecutive unidirectional leaps total more than 5th</t>
        </r>
      </text>
    </comment>
    <comment ref="E181" authorId="1" shapeId="0">
      <text>
        <r>
          <rPr>
            <sz val="9"/>
            <color indexed="81"/>
            <rFont val="Tahoma"/>
            <family val="2"/>
            <charset val="204"/>
          </rPr>
          <t>After 6th or 8va leap in an opposite direction</t>
        </r>
      </text>
    </comment>
    <comment ref="F18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<sst xmlns="http://schemas.openxmlformats.org/spreadsheetml/2006/main" count="4014" uniqueCount="887">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</sst>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1"/>
  <sheetViews>
    <sheetView zoomScaleNormal="100" workbookViewId="0">
      <pane ySplit="1" topLeftCell="A28" activePane="bottomLeft" state="frozen"/>
      <selection activeCell="C37" sqref="C37"/>
      <selection pane="bottomLeft" activeCell="E43" sqref="E43"/>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881</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8"/>
      <c r="B5" s="107"/>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8"/>
      <c r="B8" s="107"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8"/>
      <c r="B13" s="107"/>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8"/>
      <c r="B14" s="107"/>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8"/>
      <c r="B15" s="107"/>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8"/>
      <c r="B16" s="107"/>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8"/>
      <c r="B17" s="107"/>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8"/>
      <c r="B18" s="107"/>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8"/>
      <c r="B19" s="107"/>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8"/>
      <c r="B20" s="107"/>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8"/>
      <c r="B21" s="107"/>
      <c r="C21" s="26" t="s">
        <v>827</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8"/>
      <c r="B22" s="107"/>
      <c r="C22" s="104" t="s">
        <v>823</v>
      </c>
      <c r="D22" s="3"/>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8"/>
      <c r="B23" s="107"/>
      <c r="C23" s="104" t="s">
        <v>825</v>
      </c>
      <c r="D23" s="3"/>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8"/>
      <c r="B24" s="107"/>
      <c r="C24" s="104" t="s">
        <v>824</v>
      </c>
      <c r="D24" s="3"/>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8"/>
      <c r="B25" s="107"/>
      <c r="C25" s="104" t="s">
        <v>826</v>
      </c>
      <c r="D25" s="3"/>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884</v>
      </c>
      <c r="D29" s="3">
        <v>0</v>
      </c>
      <c r="E29" s="49" t="s">
        <v>276</v>
      </c>
      <c r="F29" s="49" t="s">
        <v>876</v>
      </c>
      <c r="G29" s="48" t="s">
        <v>311</v>
      </c>
      <c r="H29" s="48" t="s">
        <v>852</v>
      </c>
      <c r="I29" s="3"/>
      <c r="J29" s="3"/>
      <c r="K29" s="3"/>
      <c r="L29" s="3"/>
      <c r="M29" s="13"/>
      <c r="N29" s="42"/>
      <c r="P29" s="2">
        <v>493</v>
      </c>
      <c r="Q29" s="2">
        <v>494</v>
      </c>
      <c r="R29" s="2">
        <v>495</v>
      </c>
      <c r="S29" s="2">
        <v>496</v>
      </c>
      <c r="T29" s="23"/>
      <c r="U29" s="23"/>
    </row>
    <row r="30" spans="1:24" ht="15.9" customHeight="1" x14ac:dyDescent="0.25">
      <c r="A30" s="118"/>
      <c r="B30" s="107"/>
      <c r="C30" s="25" t="s">
        <v>884</v>
      </c>
      <c r="D30" s="3">
        <v>1</v>
      </c>
      <c r="E30" s="49" t="s">
        <v>310</v>
      </c>
      <c r="F30" s="49" t="s">
        <v>876</v>
      </c>
      <c r="G30" s="48" t="s">
        <v>311</v>
      </c>
      <c r="H30" s="48" t="s">
        <v>852</v>
      </c>
      <c r="I30" s="3"/>
      <c r="J30" s="3"/>
      <c r="K30" s="3"/>
      <c r="L30" s="3"/>
      <c r="M30" s="13"/>
      <c r="N30" s="42"/>
      <c r="P30" s="2">
        <v>493</v>
      </c>
      <c r="Q30" s="2">
        <v>494</v>
      </c>
      <c r="R30" s="2">
        <v>495</v>
      </c>
      <c r="S30" s="2">
        <v>496</v>
      </c>
      <c r="T30" s="23"/>
      <c r="U30" s="23"/>
    </row>
    <row r="31" spans="1:24" ht="15.9" customHeight="1" x14ac:dyDescent="0.25">
      <c r="A31" s="118"/>
      <c r="B31" s="107"/>
      <c r="C31" s="25" t="s">
        <v>884</v>
      </c>
      <c r="D31" s="3">
        <v>2</v>
      </c>
      <c r="E31" s="48" t="s">
        <v>310</v>
      </c>
      <c r="F31" s="48" t="s">
        <v>853</v>
      </c>
      <c r="G31" s="50" t="s">
        <v>276</v>
      </c>
      <c r="H31" s="50" t="s">
        <v>876</v>
      </c>
      <c r="I31" s="3"/>
      <c r="J31" s="3"/>
      <c r="K31" s="3"/>
      <c r="L31" s="3"/>
      <c r="M31" s="13"/>
      <c r="N31" s="42"/>
      <c r="P31" s="2">
        <v>493</v>
      </c>
      <c r="Q31" s="2">
        <v>494</v>
      </c>
      <c r="R31" s="2">
        <v>495</v>
      </c>
      <c r="S31" s="2">
        <v>496</v>
      </c>
      <c r="T31" s="23"/>
      <c r="U31" s="23"/>
    </row>
    <row r="32" spans="1:24" ht="15.9" customHeight="1" x14ac:dyDescent="0.25">
      <c r="A32" s="118"/>
      <c r="B32" s="107"/>
      <c r="C32" s="25" t="s">
        <v>884</v>
      </c>
      <c r="D32" s="3">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8"/>
      <c r="B33" s="107"/>
      <c r="C33" s="25" t="s">
        <v>884</v>
      </c>
      <c r="D33" s="3">
        <v>4</v>
      </c>
      <c r="E33" s="49" t="s">
        <v>276</v>
      </c>
      <c r="F33" s="49" t="s">
        <v>876</v>
      </c>
      <c r="G33" s="48" t="s">
        <v>311</v>
      </c>
      <c r="H33" s="48" t="s">
        <v>852</v>
      </c>
      <c r="I33" s="3"/>
      <c r="J33" s="3"/>
      <c r="K33" s="3"/>
      <c r="L33" s="3"/>
      <c r="M33" s="13"/>
      <c r="N33" s="42"/>
      <c r="P33" s="2">
        <v>493</v>
      </c>
      <c r="Q33" s="2">
        <v>494</v>
      </c>
      <c r="R33" s="2">
        <v>495</v>
      </c>
      <c r="S33" s="2">
        <v>496</v>
      </c>
      <c r="T33" s="23"/>
      <c r="U33" s="23"/>
    </row>
    <row r="34" spans="1:21" ht="15.9" customHeight="1" x14ac:dyDescent="0.25">
      <c r="A34" s="118"/>
      <c r="B34" s="107"/>
      <c r="C34" s="25" t="s">
        <v>884</v>
      </c>
      <c r="D34" s="3">
        <v>5</v>
      </c>
      <c r="E34" s="49" t="s">
        <v>276</v>
      </c>
      <c r="F34" s="49" t="s">
        <v>876</v>
      </c>
      <c r="G34" s="48" t="s">
        <v>311</v>
      </c>
      <c r="H34" s="48" t="s">
        <v>852</v>
      </c>
      <c r="I34" s="3"/>
      <c r="J34" s="3"/>
      <c r="K34" s="3"/>
      <c r="L34" s="3"/>
      <c r="M34" s="13"/>
      <c r="N34" s="42"/>
      <c r="P34" s="2">
        <v>493</v>
      </c>
      <c r="Q34" s="2">
        <v>494</v>
      </c>
      <c r="R34" s="2">
        <v>495</v>
      </c>
      <c r="S34" s="2">
        <v>496</v>
      </c>
      <c r="T34" s="23"/>
      <c r="U34" s="23"/>
    </row>
    <row r="35" spans="1:21" ht="15.9" customHeight="1" x14ac:dyDescent="0.25">
      <c r="A35" s="118"/>
      <c r="B35" s="107"/>
      <c r="C35" s="25" t="s">
        <v>885</v>
      </c>
      <c r="D35" s="3">
        <v>0</v>
      </c>
      <c r="E35" s="49" t="s">
        <v>877</v>
      </c>
      <c r="F35" s="49" t="s">
        <v>878</v>
      </c>
      <c r="G35" s="48" t="s">
        <v>879</v>
      </c>
      <c r="H35" s="48" t="s">
        <v>880</v>
      </c>
      <c r="I35" s="3"/>
      <c r="J35" s="3"/>
      <c r="K35" s="3"/>
      <c r="L35" s="3"/>
      <c r="M35" s="13"/>
      <c r="N35" s="42"/>
      <c r="P35" s="2">
        <v>497</v>
      </c>
      <c r="Q35" s="2">
        <v>498</v>
      </c>
      <c r="R35" s="2">
        <v>499</v>
      </c>
      <c r="S35" s="2">
        <v>500</v>
      </c>
      <c r="T35" s="23"/>
      <c r="U35" s="23"/>
    </row>
    <row r="36" spans="1:21" ht="15.9" customHeight="1" x14ac:dyDescent="0.25">
      <c r="A36" s="118"/>
      <c r="B36" s="107"/>
      <c r="C36" s="25" t="s">
        <v>885</v>
      </c>
      <c r="D36" s="3">
        <v>1</v>
      </c>
      <c r="E36" s="49" t="s">
        <v>311</v>
      </c>
      <c r="F36" s="49" t="s">
        <v>878</v>
      </c>
      <c r="G36" s="48" t="s">
        <v>879</v>
      </c>
      <c r="H36" s="48" t="s">
        <v>880</v>
      </c>
      <c r="I36" s="3"/>
      <c r="J36" s="3"/>
      <c r="K36" s="3"/>
      <c r="L36" s="3"/>
      <c r="M36" s="13"/>
      <c r="N36" s="42"/>
      <c r="P36" s="2">
        <v>497</v>
      </c>
      <c r="Q36" s="2">
        <v>498</v>
      </c>
      <c r="R36" s="2">
        <v>499</v>
      </c>
      <c r="S36" s="2">
        <v>500</v>
      </c>
      <c r="T36" s="23"/>
      <c r="U36" s="23"/>
    </row>
    <row r="37" spans="1:21" ht="15.9" customHeight="1" x14ac:dyDescent="0.25">
      <c r="A37" s="118"/>
      <c r="B37" s="107"/>
      <c r="C37" s="25" t="s">
        <v>885</v>
      </c>
      <c r="D37" s="3">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8"/>
      <c r="B38" s="107"/>
      <c r="C38" s="25" t="s">
        <v>885</v>
      </c>
      <c r="D38" s="3">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8"/>
      <c r="B39" s="107"/>
      <c r="C39" s="25" t="s">
        <v>885</v>
      </c>
      <c r="D39" s="3">
        <v>4</v>
      </c>
      <c r="E39" s="49" t="s">
        <v>877</v>
      </c>
      <c r="F39" s="49" t="s">
        <v>878</v>
      </c>
      <c r="G39" s="48" t="s">
        <v>879</v>
      </c>
      <c r="H39" s="48" t="s">
        <v>880</v>
      </c>
      <c r="I39" s="3"/>
      <c r="J39" s="3"/>
      <c r="K39" s="3"/>
      <c r="L39" s="3"/>
      <c r="M39" s="13"/>
      <c r="N39" s="42"/>
      <c r="P39" s="2">
        <v>497</v>
      </c>
      <c r="Q39" s="2">
        <v>498</v>
      </c>
      <c r="R39" s="2">
        <v>499</v>
      </c>
      <c r="S39" s="2">
        <v>500</v>
      </c>
      <c r="T39" s="23"/>
      <c r="U39" s="23"/>
    </row>
    <row r="40" spans="1:21" ht="15.9" customHeight="1" x14ac:dyDescent="0.25">
      <c r="A40" s="118"/>
      <c r="B40" s="107"/>
      <c r="C40" s="25" t="s">
        <v>885</v>
      </c>
      <c r="D40" s="3">
        <v>5</v>
      </c>
      <c r="E40" s="49" t="s">
        <v>877</v>
      </c>
      <c r="F40" s="49" t="s">
        <v>878</v>
      </c>
      <c r="G40" s="48" t="s">
        <v>879</v>
      </c>
      <c r="H40" s="48" t="s">
        <v>880</v>
      </c>
      <c r="I40" s="3"/>
      <c r="J40" s="3"/>
      <c r="K40" s="3"/>
      <c r="L40" s="3"/>
      <c r="M40" s="13"/>
      <c r="N40" s="42"/>
      <c r="P40" s="2">
        <v>497</v>
      </c>
      <c r="Q40" s="2">
        <v>498</v>
      </c>
      <c r="R40" s="2">
        <v>499</v>
      </c>
      <c r="S40" s="2">
        <v>500</v>
      </c>
      <c r="T40" s="23"/>
      <c r="U40" s="23"/>
    </row>
    <row r="41" spans="1:21" ht="15.9" customHeight="1" x14ac:dyDescent="0.25">
      <c r="A41" s="118"/>
      <c r="B41" s="107"/>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8"/>
      <c r="B42" s="107"/>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8"/>
      <c r="B43" s="107"/>
      <c r="C43" s="3" t="s">
        <v>886</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8"/>
      <c r="B44" s="107"/>
      <c r="C44" s="3" t="s">
        <v>886</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673</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674</v>
      </c>
      <c r="P46" s="2">
        <v>302</v>
      </c>
      <c r="R46" s="2">
        <v>303</v>
      </c>
    </row>
    <row r="47" spans="1:21" ht="15.9" customHeight="1" x14ac:dyDescent="0.25">
      <c r="A47" s="118"/>
      <c r="B47" s="110" t="s">
        <v>12</v>
      </c>
      <c r="C47" s="26" t="s">
        <v>882</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8"/>
      <c r="B48" s="111"/>
      <c r="C48" s="26" t="s">
        <v>882</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8"/>
      <c r="B49" s="111"/>
      <c r="C49" s="26" t="s">
        <v>883</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8"/>
      <c r="B50" s="111"/>
      <c r="C50" s="26" t="s">
        <v>882</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8"/>
      <c r="B51" s="111"/>
      <c r="C51" s="26" t="s">
        <v>883</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8"/>
      <c r="B54" s="111"/>
      <c r="C54" s="3" t="s">
        <v>116</v>
      </c>
      <c r="D54" s="3"/>
      <c r="E54" s="51" t="s">
        <v>280</v>
      </c>
      <c r="F54" s="3"/>
      <c r="G54" s="3"/>
      <c r="H54" s="3"/>
      <c r="I54" s="3"/>
      <c r="J54" s="3"/>
      <c r="K54" s="3"/>
      <c r="L54" s="3"/>
      <c r="M54" s="10"/>
      <c r="N54" s="19" t="s">
        <v>677</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678</v>
      </c>
      <c r="P55" s="2">
        <v>10</v>
      </c>
      <c r="Q55" s="2">
        <v>39</v>
      </c>
    </row>
    <row r="56" spans="1:22" ht="15.9" customHeight="1" x14ac:dyDescent="0.25">
      <c r="A56" s="118"/>
      <c r="B56" s="112"/>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8"/>
      <c r="B57" s="110"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8"/>
      <c r="B58" s="111"/>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8"/>
      <c r="B59" s="110" t="s">
        <v>430</v>
      </c>
      <c r="C59" s="26" t="s">
        <v>801</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8"/>
      <c r="B60" s="111"/>
      <c r="C60" s="26" t="s">
        <v>802</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8"/>
      <c r="B61" s="111"/>
      <c r="C61" s="26" t="s">
        <v>803</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8"/>
      <c r="B62" s="111"/>
      <c r="C62" s="26" t="s">
        <v>804</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8"/>
      <c r="B63" s="112"/>
      <c r="C63" s="26" t="s">
        <v>805</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8"/>
      <c r="B65" s="107"/>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8"/>
      <c r="B66" s="107"/>
      <c r="C66" s="26" t="s">
        <v>486</v>
      </c>
      <c r="D66" s="3"/>
      <c r="E66" s="53" t="s">
        <v>568</v>
      </c>
      <c r="F66" s="3"/>
      <c r="G66" s="3"/>
      <c r="H66" s="3"/>
      <c r="I66" s="3"/>
      <c r="J66" s="3"/>
      <c r="K66" s="3"/>
      <c r="L66" s="3"/>
      <c r="M66" s="13"/>
      <c r="N66" s="19"/>
      <c r="P66" s="22">
        <v>11</v>
      </c>
      <c r="Q66" s="2"/>
      <c r="R66" s="2"/>
      <c r="S66" s="2"/>
      <c r="T66" s="22"/>
    </row>
    <row r="67" spans="1:24" ht="15.9" customHeight="1" x14ac:dyDescent="0.25">
      <c r="A67" s="118"/>
      <c r="B67" s="107"/>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8"/>
      <c r="B68" s="107"/>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8"/>
      <c r="B69" s="107"/>
      <c r="C69" s="26" t="s">
        <v>786</v>
      </c>
      <c r="D69" s="3"/>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789</v>
      </c>
      <c r="D70" s="3"/>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8"/>
      <c r="B71" s="107"/>
      <c r="C71" s="26" t="s">
        <v>787</v>
      </c>
      <c r="D71" s="3"/>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8"/>
      <c r="B72" s="107"/>
      <c r="C72" s="26" t="s">
        <v>788</v>
      </c>
      <c r="D72" s="3"/>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595</v>
      </c>
      <c r="F73" s="49" t="s">
        <v>596</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8"/>
      <c r="B75" s="107"/>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8"/>
      <c r="B76" s="107"/>
      <c r="C76" s="3" t="s">
        <v>334</v>
      </c>
      <c r="D76" s="3"/>
      <c r="E76" s="18" t="s">
        <v>119</v>
      </c>
      <c r="F76" s="18" t="s">
        <v>59</v>
      </c>
      <c r="G76" s="3"/>
      <c r="H76" s="3"/>
      <c r="I76" s="3"/>
      <c r="J76" s="3"/>
      <c r="K76" s="3"/>
      <c r="L76" s="3"/>
      <c r="M76" s="4"/>
      <c r="N76" s="19" t="s">
        <v>697</v>
      </c>
      <c r="P76" s="2">
        <v>194</v>
      </c>
      <c r="Q76" s="2">
        <v>195</v>
      </c>
      <c r="R76" s="2"/>
    </row>
    <row r="77" spans="1:24" x14ac:dyDescent="0.25">
      <c r="A77" s="118"/>
      <c r="B77" s="107"/>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809</v>
      </c>
      <c r="D79" s="3"/>
      <c r="E79" s="59" t="s">
        <v>693</v>
      </c>
      <c r="G79" s="3"/>
      <c r="H79" s="3"/>
      <c r="I79" s="3"/>
      <c r="J79" s="3"/>
      <c r="K79" s="3"/>
      <c r="L79" s="3"/>
      <c r="M79" s="10"/>
      <c r="N79" s="19"/>
      <c r="P79" s="22">
        <v>375</v>
      </c>
      <c r="S79" s="2"/>
    </row>
    <row r="80" spans="1:24" ht="15.9" customHeight="1" x14ac:dyDescent="0.25">
      <c r="A80" s="118"/>
      <c r="B80" s="107"/>
      <c r="C80" s="3" t="s">
        <v>806</v>
      </c>
      <c r="D80" s="3"/>
      <c r="E80" s="54" t="s">
        <v>807</v>
      </c>
      <c r="F80" s="56" t="s">
        <v>808</v>
      </c>
      <c r="G80" s="3"/>
      <c r="H80" s="3"/>
      <c r="I80" s="3"/>
      <c r="J80" s="3"/>
      <c r="K80" s="3"/>
      <c r="L80" s="3"/>
      <c r="M80" s="10"/>
      <c r="N80" s="19"/>
      <c r="P80" s="22">
        <v>383</v>
      </c>
      <c r="Q80" s="2">
        <v>433</v>
      </c>
      <c r="R80" s="2"/>
      <c r="S80" s="2"/>
    </row>
    <row r="81" spans="1:22" x14ac:dyDescent="0.25">
      <c r="A81" s="118"/>
      <c r="B81" s="107"/>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8"/>
      <c r="B82" s="107"/>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8"/>
      <c r="B83" s="107"/>
      <c r="C83" s="3" t="s">
        <v>614</v>
      </c>
      <c r="D83" s="3"/>
      <c r="E83" s="57" t="s">
        <v>616</v>
      </c>
      <c r="F83" s="64" t="s">
        <v>615</v>
      </c>
      <c r="G83" s="65" t="s">
        <v>617</v>
      </c>
      <c r="H83" s="3"/>
      <c r="I83" s="3"/>
      <c r="J83" s="3"/>
      <c r="K83" s="3"/>
      <c r="L83" s="3"/>
      <c r="M83" s="4"/>
      <c r="N83" s="19"/>
      <c r="P83" s="2">
        <v>418</v>
      </c>
      <c r="Q83" s="23">
        <v>99</v>
      </c>
      <c r="R83" s="23">
        <v>321</v>
      </c>
    </row>
    <row r="84" spans="1:22" x14ac:dyDescent="0.25">
      <c r="A84" s="118"/>
      <c r="B84" s="107"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8"/>
      <c r="B85" s="107"/>
      <c r="C85" s="26" t="s">
        <v>65</v>
      </c>
      <c r="D85" s="3"/>
      <c r="E85" s="18" t="s">
        <v>406</v>
      </c>
      <c r="F85" s="18" t="s">
        <v>407</v>
      </c>
      <c r="G85" s="3"/>
      <c r="H85" s="3"/>
      <c r="I85" s="3"/>
      <c r="J85" s="3"/>
      <c r="K85" s="3"/>
      <c r="L85" s="3"/>
      <c r="M85" s="4"/>
      <c r="N85" s="19" t="s">
        <v>697</v>
      </c>
      <c r="P85" s="2">
        <v>14</v>
      </c>
      <c r="Q85" s="2">
        <v>34</v>
      </c>
    </row>
    <row r="86" spans="1:22" x14ac:dyDescent="0.25">
      <c r="A86" s="118"/>
      <c r="B86" s="107"/>
      <c r="C86" s="26" t="s">
        <v>66</v>
      </c>
      <c r="D86" s="3"/>
      <c r="E86" s="18" t="s">
        <v>405</v>
      </c>
      <c r="F86" s="18" t="s">
        <v>404</v>
      </c>
      <c r="G86" s="3"/>
      <c r="H86" s="3"/>
      <c r="I86" s="3"/>
      <c r="J86" s="3"/>
      <c r="K86" s="3"/>
      <c r="L86" s="3"/>
      <c r="M86" s="43"/>
      <c r="N86" s="19" t="s">
        <v>697</v>
      </c>
      <c r="P86" s="2">
        <v>51</v>
      </c>
      <c r="Q86" s="2">
        <v>13</v>
      </c>
    </row>
    <row r="87" spans="1:22" x14ac:dyDescent="0.25">
      <c r="A87" s="118"/>
      <c r="B87" s="107"/>
      <c r="C87" s="3" t="s">
        <v>432</v>
      </c>
      <c r="D87" s="3"/>
      <c r="E87" s="57" t="s">
        <v>439</v>
      </c>
      <c r="F87" s="57" t="s">
        <v>438</v>
      </c>
      <c r="G87" s="3"/>
      <c r="H87" s="3"/>
      <c r="I87" s="3"/>
      <c r="J87" s="3"/>
      <c r="K87" s="3"/>
      <c r="L87" s="3"/>
      <c r="M87" s="43"/>
      <c r="N87" s="19"/>
      <c r="P87" s="2">
        <v>52</v>
      </c>
      <c r="Q87" s="2">
        <v>87</v>
      </c>
    </row>
    <row r="88" spans="1:22" x14ac:dyDescent="0.25">
      <c r="A88" s="118"/>
      <c r="B88" s="107"/>
      <c r="C88" s="26" t="s">
        <v>67</v>
      </c>
      <c r="D88" s="3"/>
      <c r="E88" s="56" t="s">
        <v>402</v>
      </c>
      <c r="F88" s="3"/>
      <c r="G88" s="3"/>
      <c r="H88" s="3"/>
      <c r="I88" s="3"/>
      <c r="J88" s="3"/>
      <c r="K88" s="3"/>
      <c r="L88" s="3"/>
      <c r="M88" s="13"/>
      <c r="N88" s="19" t="s">
        <v>697</v>
      </c>
      <c r="P88" s="23">
        <v>50</v>
      </c>
      <c r="Q88" s="2"/>
      <c r="R88" s="23"/>
    </row>
    <row r="89" spans="1:22" ht="13.2" customHeight="1" x14ac:dyDescent="0.25">
      <c r="A89" s="115" t="s">
        <v>57</v>
      </c>
      <c r="B89" s="107" t="s">
        <v>54</v>
      </c>
      <c r="C89" s="26" t="s">
        <v>710</v>
      </c>
      <c r="D89" s="3"/>
      <c r="E89" s="54" t="s">
        <v>707</v>
      </c>
      <c r="F89" s="48" t="s">
        <v>118</v>
      </c>
      <c r="G89" s="3"/>
      <c r="H89" s="3"/>
      <c r="I89" s="3"/>
      <c r="J89" s="3"/>
      <c r="K89" s="3"/>
      <c r="L89" s="3"/>
      <c r="M89" s="10"/>
      <c r="N89" s="19"/>
      <c r="P89" s="2">
        <v>74</v>
      </c>
      <c r="Q89" s="2">
        <v>200</v>
      </c>
    </row>
    <row r="90" spans="1:22" x14ac:dyDescent="0.25">
      <c r="A90" s="116"/>
      <c r="B90" s="107"/>
      <c r="C90" s="3" t="s">
        <v>711</v>
      </c>
      <c r="D90" s="3"/>
      <c r="E90" s="48" t="s">
        <v>388</v>
      </c>
      <c r="F90" s="48" t="s">
        <v>387</v>
      </c>
      <c r="G90" s="3"/>
      <c r="H90" s="3"/>
      <c r="I90" s="3"/>
      <c r="J90" s="3"/>
      <c r="K90" s="3"/>
      <c r="L90" s="3"/>
      <c r="M90" s="13"/>
      <c r="N90" s="19"/>
      <c r="P90" s="2">
        <v>349</v>
      </c>
      <c r="Q90" s="2">
        <v>350</v>
      </c>
    </row>
    <row r="91" spans="1:22" x14ac:dyDescent="0.25">
      <c r="A91" s="116"/>
      <c r="B91" s="107"/>
      <c r="C91" s="26" t="s">
        <v>708</v>
      </c>
      <c r="D91" s="3"/>
      <c r="E91" s="48" t="s">
        <v>385</v>
      </c>
      <c r="F91" s="3"/>
      <c r="G91" s="3"/>
      <c r="H91" s="3"/>
      <c r="I91" s="3"/>
      <c r="J91" s="3"/>
      <c r="K91" s="3"/>
      <c r="L91" s="3"/>
      <c r="M91" s="13"/>
      <c r="N91" s="19" t="s">
        <v>709</v>
      </c>
      <c r="P91" s="2">
        <v>199</v>
      </c>
      <c r="Q91" s="2"/>
    </row>
    <row r="92" spans="1:22" x14ac:dyDescent="0.25">
      <c r="A92" s="116"/>
      <c r="B92" s="107"/>
      <c r="C92" s="29" t="s">
        <v>706</v>
      </c>
      <c r="D92" s="3"/>
      <c r="E92" s="49" t="s">
        <v>117</v>
      </c>
      <c r="F92" s="3"/>
      <c r="G92" s="3"/>
      <c r="H92" s="3"/>
      <c r="I92" s="3"/>
      <c r="J92" s="3"/>
      <c r="K92" s="3"/>
      <c r="L92" s="3"/>
      <c r="M92" s="4"/>
      <c r="N92" s="19"/>
      <c r="P92" s="2">
        <v>201</v>
      </c>
    </row>
    <row r="93" spans="1:22" x14ac:dyDescent="0.25">
      <c r="A93" s="116"/>
      <c r="B93" s="107"/>
      <c r="C93" s="26" t="s">
        <v>815</v>
      </c>
      <c r="D93" s="3"/>
      <c r="E93" s="56" t="s">
        <v>85</v>
      </c>
      <c r="F93" s="56" t="s">
        <v>86</v>
      </c>
      <c r="G93" s="3"/>
      <c r="H93" s="3"/>
      <c r="I93" s="3"/>
      <c r="J93" s="3"/>
      <c r="K93" s="3"/>
      <c r="L93" s="3"/>
      <c r="M93" s="43"/>
      <c r="N93" s="19" t="s">
        <v>712</v>
      </c>
      <c r="P93" s="2">
        <v>152</v>
      </c>
      <c r="Q93" s="2">
        <v>153</v>
      </c>
    </row>
    <row r="94" spans="1:22" x14ac:dyDescent="0.25">
      <c r="A94" s="116"/>
      <c r="B94" s="107"/>
      <c r="C94" s="26" t="s">
        <v>816</v>
      </c>
      <c r="D94" s="3"/>
      <c r="E94" s="56" t="s">
        <v>85</v>
      </c>
      <c r="F94" s="56" t="s">
        <v>86</v>
      </c>
      <c r="G94" s="3"/>
      <c r="H94" s="3"/>
      <c r="I94" s="3"/>
      <c r="J94" s="3"/>
      <c r="K94" s="3"/>
      <c r="L94" s="3"/>
      <c r="M94" s="10"/>
      <c r="N94" s="19" t="s">
        <v>713</v>
      </c>
      <c r="P94" s="2">
        <v>158</v>
      </c>
      <c r="Q94" s="2">
        <v>159</v>
      </c>
    </row>
    <row r="95" spans="1:22" x14ac:dyDescent="0.25">
      <c r="A95" s="116"/>
      <c r="B95" s="107"/>
      <c r="C95" s="26" t="s">
        <v>817</v>
      </c>
      <c r="D95" s="3"/>
      <c r="E95" s="56" t="s">
        <v>85</v>
      </c>
      <c r="F95" s="56" t="s">
        <v>86</v>
      </c>
      <c r="G95" s="3"/>
      <c r="H95" s="3"/>
      <c r="I95" s="3"/>
      <c r="J95" s="3"/>
      <c r="K95" s="3"/>
      <c r="L95" s="3"/>
      <c r="M95" s="13"/>
      <c r="N95" s="19" t="s">
        <v>714</v>
      </c>
      <c r="P95" s="2">
        <v>164</v>
      </c>
      <c r="Q95" s="2">
        <v>165</v>
      </c>
    </row>
    <row r="96" spans="1:22" x14ac:dyDescent="0.25">
      <c r="A96" s="116"/>
      <c r="B96" s="107"/>
      <c r="C96" s="26" t="s">
        <v>818</v>
      </c>
      <c r="D96" s="3"/>
      <c r="E96" s="56" t="s">
        <v>85</v>
      </c>
      <c r="F96" s="56" t="s">
        <v>86</v>
      </c>
      <c r="G96" s="3"/>
      <c r="H96" s="3"/>
      <c r="I96" s="3"/>
      <c r="J96" s="3"/>
      <c r="K96" s="3"/>
      <c r="L96" s="3"/>
      <c r="M96" s="4"/>
      <c r="N96" s="19" t="s">
        <v>91</v>
      </c>
      <c r="P96" s="2">
        <v>170</v>
      </c>
      <c r="Q96" s="2">
        <v>171</v>
      </c>
    </row>
    <row r="97" spans="1:23" x14ac:dyDescent="0.25">
      <c r="A97" s="116"/>
      <c r="B97" s="107"/>
      <c r="C97" s="26" t="s">
        <v>819</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6"/>
      <c r="B98" s="107"/>
      <c r="C98" s="26" t="s">
        <v>820</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821</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822</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6"/>
      <c r="B102" s="107"/>
      <c r="C102" s="3" t="s">
        <v>847</v>
      </c>
      <c r="D102" s="3"/>
      <c r="E102" s="57" t="s">
        <v>4</v>
      </c>
      <c r="G102" s="3"/>
      <c r="H102" s="3"/>
      <c r="I102" s="3"/>
      <c r="J102" s="3"/>
      <c r="K102" s="3"/>
      <c r="L102" s="3"/>
      <c r="M102" s="43"/>
      <c r="N102" s="42" t="s">
        <v>449</v>
      </c>
      <c r="P102" s="22">
        <v>325</v>
      </c>
      <c r="R102" s="22"/>
      <c r="S102" s="22"/>
      <c r="T102" s="22"/>
      <c r="U102" s="22"/>
    </row>
    <row r="103" spans="1:23" x14ac:dyDescent="0.25">
      <c r="A103" s="116"/>
      <c r="B103" s="107"/>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6"/>
      <c r="B104" s="107"/>
      <c r="C104" s="26" t="s">
        <v>838</v>
      </c>
      <c r="D104" s="3"/>
      <c r="E104" s="54" t="s">
        <v>61</v>
      </c>
      <c r="F104" s="54" t="s">
        <v>333</v>
      </c>
      <c r="G104" s="18" t="s">
        <v>63</v>
      </c>
      <c r="H104" s="4" t="s">
        <v>340</v>
      </c>
      <c r="I104" s="3"/>
      <c r="J104" s="3"/>
      <c r="K104" s="3"/>
      <c r="L104" s="3"/>
      <c r="M104" s="10"/>
      <c r="N104" s="19"/>
      <c r="P104" s="2">
        <v>84</v>
      </c>
      <c r="Q104" s="2">
        <v>85</v>
      </c>
      <c r="R104" s="2">
        <v>86</v>
      </c>
      <c r="S104" s="2">
        <v>330</v>
      </c>
      <c r="T104" s="2"/>
      <c r="V104" s="2"/>
    </row>
    <row r="105" spans="1:23" x14ac:dyDescent="0.25">
      <c r="A105" s="116"/>
      <c r="B105" s="107"/>
      <c r="C105" s="26" t="s">
        <v>837</v>
      </c>
      <c r="D105" s="3"/>
      <c r="E105" s="54" t="s">
        <v>61</v>
      </c>
      <c r="F105" s="54" t="s">
        <v>333</v>
      </c>
      <c r="G105" s="18" t="s">
        <v>63</v>
      </c>
      <c r="H105" s="3"/>
      <c r="I105" s="3"/>
      <c r="J105" s="3"/>
      <c r="K105" s="3"/>
      <c r="L105" s="3"/>
      <c r="M105" s="10"/>
      <c r="N105" s="19"/>
      <c r="P105" s="2">
        <v>481</v>
      </c>
      <c r="Q105" s="2">
        <v>482</v>
      </c>
      <c r="R105" s="2">
        <v>483</v>
      </c>
      <c r="S105" s="2"/>
      <c r="T105" s="2"/>
      <c r="V105" s="2"/>
    </row>
    <row r="106" spans="1:23" x14ac:dyDescent="0.25">
      <c r="A106" s="116"/>
      <c r="B106" s="107"/>
      <c r="C106" s="28" t="s">
        <v>835</v>
      </c>
      <c r="D106" s="3"/>
      <c r="E106" s="4" t="s">
        <v>166</v>
      </c>
      <c r="F106" s="4" t="s">
        <v>443</v>
      </c>
      <c r="G106" s="54" t="s">
        <v>381</v>
      </c>
      <c r="H106" s="4" t="s">
        <v>436</v>
      </c>
      <c r="I106" s="4" t="s">
        <v>100</v>
      </c>
      <c r="J106" s="3"/>
      <c r="K106" s="3"/>
      <c r="L106" s="3"/>
      <c r="M106" s="13"/>
      <c r="N106" s="19" t="s">
        <v>337</v>
      </c>
      <c r="P106" s="2">
        <v>248</v>
      </c>
      <c r="Q106" s="2">
        <v>376</v>
      </c>
      <c r="R106" s="23">
        <v>347</v>
      </c>
      <c r="S106" s="2">
        <v>374</v>
      </c>
      <c r="T106" s="2">
        <v>249</v>
      </c>
      <c r="U106" s="2"/>
      <c r="W106" s="2"/>
    </row>
    <row r="107" spans="1:23" x14ac:dyDescent="0.25">
      <c r="A107" s="116"/>
      <c r="B107" s="107"/>
      <c r="C107" s="28" t="s">
        <v>835</v>
      </c>
      <c r="D107" s="3"/>
      <c r="E107" s="54" t="s">
        <v>316</v>
      </c>
      <c r="F107" s="56" t="s">
        <v>58</v>
      </c>
      <c r="G107" s="54" t="s">
        <v>459</v>
      </c>
      <c r="H107" s="54" t="s">
        <v>167</v>
      </c>
      <c r="I107" s="3"/>
      <c r="J107" s="3"/>
      <c r="K107" s="3"/>
      <c r="L107" s="3"/>
      <c r="M107" s="13"/>
      <c r="N107" s="19" t="s">
        <v>337</v>
      </c>
      <c r="P107" s="2">
        <v>315</v>
      </c>
      <c r="Q107" s="2">
        <v>316</v>
      </c>
      <c r="R107" s="2">
        <v>385</v>
      </c>
      <c r="S107" s="2">
        <v>250</v>
      </c>
      <c r="V107" s="2"/>
    </row>
    <row r="108" spans="1:23" x14ac:dyDescent="0.25">
      <c r="A108" s="116"/>
      <c r="B108" s="107"/>
      <c r="C108" s="26" t="s">
        <v>836</v>
      </c>
      <c r="D108" s="3"/>
      <c r="E108" s="4" t="s">
        <v>166</v>
      </c>
      <c r="F108" s="4" t="s">
        <v>443</v>
      </c>
      <c r="G108" s="54" t="s">
        <v>381</v>
      </c>
      <c r="H108" s="4" t="s">
        <v>436</v>
      </c>
      <c r="I108" s="4" t="s">
        <v>100</v>
      </c>
      <c r="J108" s="3"/>
      <c r="K108" s="3"/>
      <c r="L108" s="3"/>
      <c r="M108" s="13"/>
      <c r="N108" s="19" t="s">
        <v>337</v>
      </c>
      <c r="P108" s="2">
        <v>484</v>
      </c>
      <c r="Q108" s="2">
        <v>485</v>
      </c>
      <c r="R108" s="23">
        <v>486</v>
      </c>
      <c r="S108" s="2">
        <v>487</v>
      </c>
      <c r="T108" s="2">
        <v>488</v>
      </c>
      <c r="U108" s="2"/>
      <c r="W108" s="2"/>
    </row>
    <row r="109" spans="1:23" x14ac:dyDescent="0.25">
      <c r="A109" s="116"/>
      <c r="B109" s="107"/>
      <c r="C109" s="26" t="s">
        <v>836</v>
      </c>
      <c r="D109" s="3"/>
      <c r="E109" s="54" t="s">
        <v>316</v>
      </c>
      <c r="F109" s="56" t="s">
        <v>58</v>
      </c>
      <c r="G109" s="54" t="s">
        <v>459</v>
      </c>
      <c r="H109" s="54" t="s">
        <v>167</v>
      </c>
      <c r="I109" s="3"/>
      <c r="J109" s="3"/>
      <c r="K109" s="3"/>
      <c r="L109" s="3"/>
      <c r="M109" s="13"/>
      <c r="N109" s="19" t="s">
        <v>337</v>
      </c>
      <c r="P109" s="2">
        <v>489</v>
      </c>
      <c r="Q109" s="2">
        <v>490</v>
      </c>
      <c r="R109" s="2">
        <v>491</v>
      </c>
      <c r="S109" s="2">
        <v>492</v>
      </c>
      <c r="V109" s="2"/>
    </row>
    <row r="110" spans="1:23" x14ac:dyDescent="0.25">
      <c r="A110" s="116"/>
      <c r="B110" s="107"/>
      <c r="C110" s="3" t="s">
        <v>450</v>
      </c>
      <c r="D110" s="3"/>
      <c r="E110" s="101" t="s">
        <v>154</v>
      </c>
      <c r="F110" s="101" t="s">
        <v>155</v>
      </c>
      <c r="G110" s="101" t="s">
        <v>451</v>
      </c>
      <c r="H110" s="101" t="s">
        <v>165</v>
      </c>
      <c r="I110" s="3"/>
      <c r="J110" s="3"/>
      <c r="K110" s="3"/>
      <c r="L110" s="3"/>
      <c r="M110" s="13"/>
      <c r="N110" s="19" t="s">
        <v>715</v>
      </c>
      <c r="P110" s="2">
        <v>379</v>
      </c>
      <c r="Q110" s="2">
        <v>380</v>
      </c>
      <c r="R110" s="2">
        <v>381</v>
      </c>
      <c r="S110" s="2">
        <v>382</v>
      </c>
      <c r="T110" s="2"/>
      <c r="U110" s="2"/>
      <c r="V110" s="2"/>
      <c r="W110" s="2"/>
    </row>
    <row r="111" spans="1:23" x14ac:dyDescent="0.25">
      <c r="A111" s="116"/>
      <c r="B111" s="107"/>
      <c r="C111" s="26" t="s">
        <v>842</v>
      </c>
      <c r="D111" s="3"/>
      <c r="E111" s="4" t="s">
        <v>839</v>
      </c>
      <c r="F111" s="4" t="s">
        <v>840</v>
      </c>
      <c r="G111" s="55" t="s">
        <v>841</v>
      </c>
      <c r="H111" s="55" t="s">
        <v>140</v>
      </c>
      <c r="I111" s="3"/>
      <c r="J111" s="3"/>
      <c r="K111" s="3"/>
      <c r="L111" s="3"/>
      <c r="M111" s="4"/>
      <c r="N111" s="19" t="s">
        <v>716</v>
      </c>
      <c r="P111" s="2">
        <v>208</v>
      </c>
      <c r="Q111" s="2">
        <v>212</v>
      </c>
      <c r="R111" s="2">
        <v>210</v>
      </c>
      <c r="S111" s="2">
        <v>214</v>
      </c>
      <c r="T111" s="2"/>
      <c r="U111" s="2"/>
    </row>
    <row r="112" spans="1:23" x14ac:dyDescent="0.25">
      <c r="A112" s="116"/>
      <c r="B112" s="107"/>
      <c r="C112" s="26" t="s">
        <v>843</v>
      </c>
      <c r="D112" s="3"/>
      <c r="E112" s="4" t="s">
        <v>839</v>
      </c>
      <c r="F112" s="4" t="s">
        <v>840</v>
      </c>
      <c r="G112" s="55" t="s">
        <v>841</v>
      </c>
      <c r="H112" s="55" t="s">
        <v>140</v>
      </c>
      <c r="I112" s="3"/>
      <c r="J112" s="3"/>
      <c r="K112" s="3"/>
      <c r="L112" s="3"/>
      <c r="M112" s="43"/>
      <c r="N112" s="19" t="s">
        <v>717</v>
      </c>
      <c r="P112" s="2">
        <v>209</v>
      </c>
      <c r="Q112" s="2">
        <v>213</v>
      </c>
      <c r="R112" s="2">
        <v>211</v>
      </c>
      <c r="S112" s="2">
        <v>215</v>
      </c>
      <c r="T112" s="2"/>
      <c r="U112" s="2"/>
      <c r="V112" s="2"/>
    </row>
    <row r="113" spans="1:23" x14ac:dyDescent="0.25">
      <c r="A113" s="116"/>
      <c r="B113" s="107"/>
      <c r="C113" s="26" t="s">
        <v>139</v>
      </c>
      <c r="D113" s="3"/>
      <c r="E113" s="56" t="s">
        <v>144</v>
      </c>
      <c r="F113" s="56" t="s">
        <v>143</v>
      </c>
      <c r="G113" s="54" t="s">
        <v>142</v>
      </c>
      <c r="H113" s="100" t="s">
        <v>621</v>
      </c>
      <c r="I113" s="100" t="s">
        <v>622</v>
      </c>
      <c r="J113" s="3"/>
      <c r="K113" s="3"/>
      <c r="L113" s="3"/>
      <c r="M113" s="10"/>
      <c r="N113" s="19"/>
      <c r="P113" s="2">
        <v>216</v>
      </c>
      <c r="Q113" s="2">
        <v>217</v>
      </c>
      <c r="R113" s="2">
        <v>218</v>
      </c>
      <c r="S113" s="2">
        <v>419</v>
      </c>
      <c r="T113" s="22">
        <v>420</v>
      </c>
      <c r="U113" s="2"/>
      <c r="V113" s="2"/>
      <c r="W113" s="2"/>
    </row>
    <row r="114" spans="1:23" x14ac:dyDescent="0.25">
      <c r="A114" s="116"/>
      <c r="B114" s="107"/>
      <c r="C114" s="26" t="s">
        <v>139</v>
      </c>
      <c r="D114" s="3"/>
      <c r="E114" s="54" t="s">
        <v>141</v>
      </c>
      <c r="F114" s="56" t="s">
        <v>47</v>
      </c>
      <c r="G114" s="56" t="s">
        <v>140</v>
      </c>
      <c r="H114" s="87" t="s">
        <v>252</v>
      </c>
      <c r="I114" s="54" t="s">
        <v>251</v>
      </c>
      <c r="J114" s="3"/>
      <c r="K114" s="3"/>
      <c r="M114" s="10"/>
      <c r="N114" s="19"/>
      <c r="P114" s="2">
        <v>219</v>
      </c>
      <c r="Q114" s="2">
        <v>220</v>
      </c>
      <c r="R114" s="2">
        <v>221</v>
      </c>
      <c r="S114" s="2">
        <v>291</v>
      </c>
      <c r="T114" s="2">
        <v>286</v>
      </c>
    </row>
    <row r="115" spans="1:23" x14ac:dyDescent="0.25">
      <c r="A115" s="116"/>
      <c r="B115" s="107"/>
      <c r="C115" s="26" t="s">
        <v>500</v>
      </c>
      <c r="D115" s="3"/>
      <c r="E115" s="30" t="s">
        <v>397</v>
      </c>
      <c r="F115" s="30" t="s">
        <v>398</v>
      </c>
      <c r="G115" s="54" t="s">
        <v>263</v>
      </c>
      <c r="H115" s="56" t="s">
        <v>262</v>
      </c>
      <c r="I115" s="3"/>
      <c r="J115" s="3"/>
      <c r="K115" s="3"/>
      <c r="L115" s="3"/>
      <c r="M115" s="13"/>
      <c r="N115" s="19"/>
      <c r="P115" s="2">
        <v>296</v>
      </c>
      <c r="Q115" s="2">
        <v>136</v>
      </c>
      <c r="R115" s="2">
        <v>292</v>
      </c>
      <c r="S115" s="2">
        <v>295</v>
      </c>
    </row>
    <row r="116" spans="1:23" x14ac:dyDescent="0.25">
      <c r="A116" s="116"/>
      <c r="B116" s="107"/>
      <c r="C116" s="26" t="s">
        <v>502</v>
      </c>
      <c r="D116" s="3"/>
      <c r="E116" s="56" t="s">
        <v>423</v>
      </c>
      <c r="F116" s="56" t="s">
        <v>58</v>
      </c>
      <c r="G116" s="54" t="s">
        <v>732</v>
      </c>
      <c r="H116" s="87" t="s">
        <v>733</v>
      </c>
      <c r="I116" s="56" t="s">
        <v>254</v>
      </c>
      <c r="J116" s="54" t="s">
        <v>343</v>
      </c>
      <c r="K116" s="3"/>
      <c r="L116" s="3"/>
      <c r="M116" s="4"/>
      <c r="N116" s="19"/>
      <c r="P116" s="2">
        <v>359</v>
      </c>
      <c r="Q116" s="2">
        <v>83</v>
      </c>
      <c r="R116" s="2">
        <v>223</v>
      </c>
      <c r="S116" s="2">
        <v>384</v>
      </c>
      <c r="T116" s="2">
        <v>224</v>
      </c>
      <c r="U116" s="2">
        <v>331</v>
      </c>
    </row>
    <row r="117" spans="1:23" x14ac:dyDescent="0.25">
      <c r="A117" s="116"/>
      <c r="B117" s="107"/>
      <c r="C117" s="26" t="s">
        <v>503</v>
      </c>
      <c r="D117" s="3"/>
      <c r="E117" s="18" t="s">
        <v>100</v>
      </c>
      <c r="F117" s="56" t="s">
        <v>140</v>
      </c>
      <c r="G117" s="56" t="s">
        <v>220</v>
      </c>
      <c r="I117" s="3"/>
      <c r="J117" s="3"/>
      <c r="K117" s="3"/>
      <c r="L117" s="3"/>
      <c r="M117" s="43"/>
      <c r="N117" s="19"/>
      <c r="P117" s="2">
        <v>169</v>
      </c>
      <c r="Q117" s="2">
        <v>187</v>
      </c>
      <c r="R117" s="2">
        <v>276</v>
      </c>
    </row>
    <row r="118" spans="1:23" x14ac:dyDescent="0.25">
      <c r="A118" s="116"/>
      <c r="B118" s="107"/>
      <c r="C118" s="3" t="s">
        <v>573</v>
      </c>
      <c r="D118" s="3"/>
      <c r="E118" s="70">
        <v>3</v>
      </c>
      <c r="F118" s="48" t="s">
        <v>844</v>
      </c>
      <c r="G118" s="3"/>
      <c r="H118" s="3"/>
      <c r="I118" s="3"/>
      <c r="J118" s="3"/>
      <c r="K118" s="3"/>
      <c r="L118" s="3"/>
      <c r="M118" s="10"/>
      <c r="N118" s="19" t="s">
        <v>845</v>
      </c>
      <c r="P118" s="2">
        <v>89</v>
      </c>
      <c r="Q118" s="2">
        <v>96</v>
      </c>
    </row>
    <row r="119" spans="1:23" x14ac:dyDescent="0.25">
      <c r="A119" s="116"/>
      <c r="B119" s="107"/>
      <c r="C119" s="3" t="s">
        <v>574</v>
      </c>
      <c r="D119" s="3"/>
      <c r="E119" s="70">
        <v>3</v>
      </c>
      <c r="F119" s="48" t="s">
        <v>844</v>
      </c>
      <c r="G119" s="3"/>
      <c r="H119" s="3"/>
      <c r="I119" s="3"/>
      <c r="J119" s="3"/>
      <c r="K119" s="3"/>
      <c r="L119" s="3"/>
      <c r="M119" s="10"/>
      <c r="N119" s="19" t="s">
        <v>846</v>
      </c>
      <c r="P119" s="2">
        <v>389</v>
      </c>
      <c r="Q119" s="2">
        <v>390</v>
      </c>
      <c r="R119" s="2"/>
      <c r="S119" s="2"/>
    </row>
    <row r="120" spans="1:23" x14ac:dyDescent="0.25">
      <c r="A120" s="116"/>
      <c r="B120" s="107"/>
      <c r="C120" s="26" t="s">
        <v>393</v>
      </c>
      <c r="D120" s="3"/>
      <c r="E120" s="18" t="s">
        <v>408</v>
      </c>
      <c r="F120" s="18" t="s">
        <v>409</v>
      </c>
      <c r="G120" s="57" t="s">
        <v>410</v>
      </c>
      <c r="H120" s="54" t="s">
        <v>630</v>
      </c>
      <c r="I120" s="56" t="s">
        <v>411</v>
      </c>
      <c r="J120" s="56" t="s">
        <v>628</v>
      </c>
      <c r="K120" s="56" t="s">
        <v>629</v>
      </c>
      <c r="L120" s="56" t="s">
        <v>216</v>
      </c>
      <c r="M120" s="13"/>
      <c r="N120" s="19" t="s">
        <v>736</v>
      </c>
      <c r="P120" s="2">
        <v>268</v>
      </c>
      <c r="Q120" s="2">
        <v>269</v>
      </c>
      <c r="R120" s="2">
        <v>270</v>
      </c>
      <c r="S120" s="2">
        <v>421</v>
      </c>
      <c r="T120" s="22">
        <v>271</v>
      </c>
      <c r="U120" s="22">
        <v>423</v>
      </c>
      <c r="V120" s="22">
        <v>425</v>
      </c>
      <c r="W120" s="22">
        <v>272</v>
      </c>
    </row>
    <row r="121" spans="1:23" x14ac:dyDescent="0.25">
      <c r="A121" s="116"/>
      <c r="B121" s="107"/>
      <c r="C121" s="26" t="s">
        <v>394</v>
      </c>
      <c r="D121" s="3"/>
      <c r="E121" s="18" t="s">
        <v>408</v>
      </c>
      <c r="F121" s="54" t="s">
        <v>409</v>
      </c>
      <c r="G121" s="54" t="s">
        <v>410</v>
      </c>
      <c r="H121" s="56" t="s">
        <v>630</v>
      </c>
      <c r="I121" s="56" t="s">
        <v>411</v>
      </c>
      <c r="J121" s="56" t="s">
        <v>628</v>
      </c>
      <c r="K121" s="56" t="s">
        <v>629</v>
      </c>
      <c r="L121" s="56" t="s">
        <v>216</v>
      </c>
      <c r="M121" s="13"/>
      <c r="N121" s="19" t="s">
        <v>736</v>
      </c>
      <c r="P121" s="2">
        <v>354</v>
      </c>
      <c r="Q121" s="2">
        <v>355</v>
      </c>
      <c r="R121" s="2">
        <v>356</v>
      </c>
      <c r="S121" s="2">
        <v>422</v>
      </c>
      <c r="T121" s="22">
        <v>357</v>
      </c>
      <c r="U121" s="22">
        <v>424</v>
      </c>
      <c r="V121" s="22">
        <v>426</v>
      </c>
      <c r="W121" s="22">
        <v>358</v>
      </c>
    </row>
    <row r="122" spans="1:23" x14ac:dyDescent="0.25">
      <c r="A122" s="116"/>
      <c r="B122" s="107"/>
      <c r="C122" s="26" t="s">
        <v>217</v>
      </c>
      <c r="D122" s="3"/>
      <c r="E122" s="54" t="s">
        <v>219</v>
      </c>
      <c r="F122" s="3"/>
      <c r="G122" s="3"/>
      <c r="H122" s="3"/>
      <c r="I122" s="3"/>
      <c r="J122" s="3"/>
      <c r="K122" s="3"/>
      <c r="L122" s="3"/>
      <c r="M122" s="4"/>
      <c r="N122" s="19"/>
      <c r="P122" s="2">
        <v>273</v>
      </c>
      <c r="Q122" s="2"/>
      <c r="R122" s="2"/>
      <c r="S122" s="22"/>
      <c r="T122" s="22"/>
      <c r="U122" s="22"/>
      <c r="V122" s="22"/>
    </row>
    <row r="123" spans="1:23" x14ac:dyDescent="0.25">
      <c r="A123" s="116"/>
      <c r="B123" s="107"/>
      <c r="C123" s="26" t="s">
        <v>68</v>
      </c>
      <c r="D123" s="3"/>
      <c r="E123" s="54" t="s">
        <v>225</v>
      </c>
      <c r="F123" s="54" t="s">
        <v>223</v>
      </c>
      <c r="G123" s="54" t="s">
        <v>224</v>
      </c>
      <c r="H123" s="3"/>
      <c r="I123" s="3"/>
      <c r="J123" s="3"/>
      <c r="K123" s="3"/>
      <c r="L123" s="3"/>
      <c r="M123" s="43"/>
      <c r="N123" s="19"/>
      <c r="P123" s="2">
        <v>91</v>
      </c>
      <c r="Q123" s="2">
        <v>275</v>
      </c>
      <c r="R123" s="2">
        <v>277</v>
      </c>
    </row>
    <row r="124" spans="1:23" x14ac:dyDescent="0.25">
      <c r="A124" s="116"/>
      <c r="B124" s="107"/>
      <c r="C124" s="26" t="s">
        <v>319</v>
      </c>
      <c r="D124" s="3"/>
      <c r="E124" s="59" t="s">
        <v>412</v>
      </c>
      <c r="F124" s="59" t="s">
        <v>871</v>
      </c>
      <c r="G124" s="59" t="s">
        <v>737</v>
      </c>
      <c r="H124" s="102" t="s">
        <v>392</v>
      </c>
      <c r="I124" s="54" t="s">
        <v>335</v>
      </c>
      <c r="J124" s="54" t="s">
        <v>360</v>
      </c>
      <c r="K124" s="3"/>
      <c r="L124" s="3"/>
      <c r="M124" s="10"/>
      <c r="N124" s="19"/>
      <c r="P124" s="2">
        <v>47</v>
      </c>
      <c r="Q124" s="2">
        <v>75</v>
      </c>
      <c r="R124" s="2">
        <v>317</v>
      </c>
      <c r="S124" s="22">
        <v>318</v>
      </c>
      <c r="T124" s="22">
        <v>322</v>
      </c>
      <c r="U124" s="22">
        <v>335</v>
      </c>
    </row>
    <row r="125" spans="1:23" x14ac:dyDescent="0.25">
      <c r="A125" s="116"/>
      <c r="B125" s="107"/>
      <c r="C125" s="26" t="s">
        <v>466</v>
      </c>
      <c r="D125" s="3"/>
      <c r="E125" s="4" t="s">
        <v>467</v>
      </c>
      <c r="F125" s="54" t="s">
        <v>627</v>
      </c>
      <c r="G125" s="3"/>
      <c r="H125" s="3"/>
      <c r="I125" s="3"/>
      <c r="J125" s="3"/>
      <c r="K125" s="3"/>
      <c r="L125" s="3"/>
      <c r="M125" s="10"/>
      <c r="N125" s="19"/>
      <c r="P125" s="2">
        <v>387</v>
      </c>
      <c r="Q125" s="2">
        <v>388</v>
      </c>
      <c r="R125" s="2"/>
      <c r="S125" s="22"/>
      <c r="T125" s="22"/>
      <c r="U125" s="22"/>
    </row>
    <row r="126" spans="1:23" x14ac:dyDescent="0.25">
      <c r="A126" s="116"/>
      <c r="B126" s="107"/>
      <c r="C126" s="3" t="s">
        <v>107</v>
      </c>
      <c r="D126" s="3"/>
      <c r="E126" s="44" t="s">
        <v>145</v>
      </c>
      <c r="F126" s="56" t="s">
        <v>93</v>
      </c>
      <c r="G126" s="3"/>
      <c r="H126" s="3"/>
      <c r="I126" s="3"/>
      <c r="J126" s="3"/>
      <c r="K126" s="3"/>
      <c r="L126" s="3"/>
      <c r="M126" s="13"/>
      <c r="N126" s="19"/>
      <c r="P126" s="2">
        <v>225</v>
      </c>
      <c r="Q126" s="2">
        <v>30</v>
      </c>
      <c r="R126" s="2"/>
    </row>
    <row r="127" spans="1:23" x14ac:dyDescent="0.25">
      <c r="A127" s="116"/>
      <c r="B127" s="107"/>
      <c r="C127" s="25" t="s">
        <v>745</v>
      </c>
      <c r="D127" s="3"/>
      <c r="E127" s="57">
        <v>1</v>
      </c>
      <c r="F127" s="55">
        <v>2</v>
      </c>
      <c r="G127" s="54" t="s">
        <v>49</v>
      </c>
      <c r="H127" s="3"/>
      <c r="I127" s="3"/>
      <c r="J127" s="3"/>
      <c r="K127" s="3"/>
      <c r="L127" s="3"/>
      <c r="M127" s="4"/>
      <c r="N127" s="19" t="s">
        <v>105</v>
      </c>
      <c r="P127" s="2">
        <v>93</v>
      </c>
      <c r="Q127" s="2">
        <v>94</v>
      </c>
      <c r="R127" s="2">
        <v>95</v>
      </c>
      <c r="U127" s="2"/>
    </row>
    <row r="128" spans="1:23" x14ac:dyDescent="0.25">
      <c r="A128" s="116"/>
      <c r="B128" s="107"/>
      <c r="C128" s="25" t="s">
        <v>108</v>
      </c>
      <c r="D128" s="3"/>
      <c r="E128" s="44">
        <v>1</v>
      </c>
      <c r="F128" s="4">
        <v>2</v>
      </c>
      <c r="G128" s="54" t="s">
        <v>49</v>
      </c>
      <c r="H128" s="3"/>
      <c r="I128" s="3"/>
      <c r="J128" s="3"/>
      <c r="K128" s="3"/>
      <c r="L128" s="3"/>
      <c r="M128" s="43"/>
      <c r="N128" s="19" t="s">
        <v>106</v>
      </c>
      <c r="P128" s="2">
        <v>188</v>
      </c>
      <c r="Q128" s="2">
        <v>189</v>
      </c>
      <c r="R128" s="2">
        <v>190</v>
      </c>
      <c r="S128" s="2"/>
      <c r="T128" s="2"/>
      <c r="U128" s="2"/>
    </row>
    <row r="129" spans="1:23" x14ac:dyDescent="0.25">
      <c r="A129" s="116"/>
      <c r="B129" s="107"/>
      <c r="C129" s="26" t="s">
        <v>511</v>
      </c>
      <c r="D129" s="3"/>
      <c r="E129" s="57" t="s">
        <v>570</v>
      </c>
      <c r="F129" s="3"/>
      <c r="G129" s="3"/>
      <c r="H129" s="3"/>
      <c r="I129" s="3"/>
      <c r="J129" s="3"/>
      <c r="K129" s="3"/>
      <c r="L129" s="3"/>
      <c r="M129" s="10"/>
      <c r="N129" s="19"/>
      <c r="P129" s="2">
        <v>24</v>
      </c>
    </row>
    <row r="130" spans="1:23" x14ac:dyDescent="0.25">
      <c r="A130" s="116"/>
      <c r="B130" s="107"/>
      <c r="C130" s="3" t="s">
        <v>79</v>
      </c>
      <c r="D130" s="3"/>
      <c r="E130" s="45" t="s">
        <v>104</v>
      </c>
      <c r="F130" s="45" t="s">
        <v>103</v>
      </c>
      <c r="G130" s="24"/>
      <c r="H130" s="24"/>
      <c r="I130" s="24"/>
      <c r="J130" s="3"/>
      <c r="K130" s="3"/>
      <c r="L130" s="3"/>
      <c r="M130" s="13"/>
      <c r="N130" s="19" t="s">
        <v>746</v>
      </c>
      <c r="P130" s="2">
        <v>35</v>
      </c>
      <c r="Q130" s="2">
        <v>46</v>
      </c>
    </row>
    <row r="131" spans="1:23" x14ac:dyDescent="0.25">
      <c r="A131" s="116"/>
      <c r="B131" s="110" t="s">
        <v>190</v>
      </c>
      <c r="C131" s="3" t="s">
        <v>191</v>
      </c>
      <c r="D131" s="3"/>
      <c r="E131" s="4" t="s">
        <v>237</v>
      </c>
      <c r="F131" s="4" t="s">
        <v>192</v>
      </c>
      <c r="G131" s="54" t="s">
        <v>339</v>
      </c>
      <c r="H131" s="54" t="s">
        <v>193</v>
      </c>
      <c r="I131" s="4" t="s">
        <v>194</v>
      </c>
      <c r="J131" s="3"/>
      <c r="K131" s="3"/>
      <c r="L131" s="3"/>
      <c r="M131" s="4"/>
      <c r="N131" s="19"/>
      <c r="P131" s="2">
        <v>256</v>
      </c>
      <c r="Q131" s="2">
        <v>257</v>
      </c>
      <c r="R131" s="22">
        <v>327</v>
      </c>
      <c r="S131" s="22">
        <v>259</v>
      </c>
      <c r="T131" s="22">
        <v>261</v>
      </c>
      <c r="U131" s="22"/>
    </row>
    <row r="132" spans="1:23" x14ac:dyDescent="0.25">
      <c r="A132" s="116"/>
      <c r="B132" s="111"/>
      <c r="C132" s="3" t="s">
        <v>191</v>
      </c>
      <c r="D132" s="3"/>
      <c r="E132" s="4" t="s">
        <v>329</v>
      </c>
      <c r="F132" s="54" t="s">
        <v>195</v>
      </c>
      <c r="G132" s="4" t="s">
        <v>196</v>
      </c>
      <c r="H132" s="4" t="s">
        <v>197</v>
      </c>
      <c r="I132" s="4" t="s">
        <v>233</v>
      </c>
      <c r="J132" s="4" t="s">
        <v>232</v>
      </c>
      <c r="K132" s="3"/>
      <c r="L132" s="3"/>
      <c r="M132" s="43"/>
      <c r="N132" s="19"/>
      <c r="P132" s="2">
        <v>323</v>
      </c>
      <c r="Q132" s="2">
        <v>263</v>
      </c>
      <c r="R132" s="2">
        <v>264</v>
      </c>
      <c r="S132" s="22">
        <v>265</v>
      </c>
      <c r="T132" s="22">
        <v>266</v>
      </c>
      <c r="U132" s="22">
        <v>279</v>
      </c>
    </row>
    <row r="133" spans="1:23" x14ac:dyDescent="0.25">
      <c r="A133" s="116"/>
      <c r="B133" s="111"/>
      <c r="C133" s="3" t="s">
        <v>236</v>
      </c>
      <c r="D133" s="3"/>
      <c r="E133" s="4" t="s">
        <v>237</v>
      </c>
      <c r="F133" s="4" t="s">
        <v>192</v>
      </c>
      <c r="G133" s="54" t="s">
        <v>339</v>
      </c>
      <c r="H133" s="54" t="s">
        <v>193</v>
      </c>
      <c r="I133" s="48" t="s">
        <v>238</v>
      </c>
      <c r="J133" s="87" t="s">
        <v>872</v>
      </c>
      <c r="K133" s="54" t="s">
        <v>873</v>
      </c>
      <c r="L133" s="3"/>
      <c r="M133" s="10"/>
      <c r="N133" s="19"/>
      <c r="P133" s="2">
        <v>258</v>
      </c>
      <c r="Q133" s="2">
        <v>280</v>
      </c>
      <c r="R133" s="2">
        <v>328</v>
      </c>
      <c r="S133" s="2">
        <v>281</v>
      </c>
      <c r="T133" s="22">
        <v>260</v>
      </c>
      <c r="U133" s="22">
        <v>571</v>
      </c>
      <c r="V133" s="22">
        <v>97</v>
      </c>
    </row>
    <row r="134" spans="1:23" x14ac:dyDescent="0.25">
      <c r="A134" s="116"/>
      <c r="B134" s="111"/>
      <c r="C134" s="3" t="s">
        <v>247</v>
      </c>
      <c r="D134" s="3"/>
      <c r="E134" s="4" t="s">
        <v>248</v>
      </c>
      <c r="F134" s="55" t="s">
        <v>264</v>
      </c>
      <c r="G134" s="55" t="s">
        <v>61</v>
      </c>
      <c r="H134" s="3"/>
      <c r="I134" s="3"/>
      <c r="J134" s="3"/>
      <c r="K134" s="3"/>
      <c r="L134" s="3"/>
      <c r="M134" s="13"/>
      <c r="N134" s="19" t="s">
        <v>279</v>
      </c>
      <c r="P134" s="2">
        <v>282</v>
      </c>
      <c r="Q134" s="2">
        <v>297</v>
      </c>
      <c r="R134" s="2">
        <v>298</v>
      </c>
      <c r="S134" s="22"/>
      <c r="T134" s="22"/>
    </row>
    <row r="135" spans="1:23" x14ac:dyDescent="0.25">
      <c r="A135" s="116"/>
      <c r="B135" s="111"/>
      <c r="C135" s="26" t="s">
        <v>253</v>
      </c>
      <c r="D135" s="3"/>
      <c r="E135" s="57" t="s">
        <v>237</v>
      </c>
      <c r="F135" s="55" t="s">
        <v>261</v>
      </c>
      <c r="G135" s="4" t="s">
        <v>259</v>
      </c>
      <c r="H135" s="55" t="s">
        <v>260</v>
      </c>
      <c r="I135" s="3"/>
      <c r="J135" s="3"/>
      <c r="K135" s="3"/>
      <c r="L135" s="3"/>
      <c r="M135" s="4"/>
      <c r="N135" s="14"/>
      <c r="P135" s="2">
        <v>287</v>
      </c>
      <c r="Q135" s="2">
        <v>294</v>
      </c>
      <c r="R135" s="2">
        <v>293</v>
      </c>
      <c r="S135" s="2">
        <v>288</v>
      </c>
    </row>
    <row r="136" spans="1:23" x14ac:dyDescent="0.25">
      <c r="A136" s="116"/>
      <c r="B136" s="111"/>
      <c r="C136" s="26" t="s">
        <v>253</v>
      </c>
      <c r="D136" s="3"/>
      <c r="E136" s="54" t="s">
        <v>69</v>
      </c>
      <c r="F136" s="54" t="s">
        <v>354</v>
      </c>
      <c r="G136" s="54" t="s">
        <v>357</v>
      </c>
      <c r="H136" s="4" t="s">
        <v>140</v>
      </c>
      <c r="I136" s="54" t="s">
        <v>47</v>
      </c>
      <c r="J136" s="3"/>
      <c r="K136" s="3"/>
      <c r="L136" s="3"/>
      <c r="M136" s="4"/>
      <c r="N136" s="14"/>
      <c r="P136" s="22">
        <v>290</v>
      </c>
      <c r="Q136" s="22">
        <v>333</v>
      </c>
      <c r="R136" s="22">
        <v>334</v>
      </c>
      <c r="S136" s="2">
        <v>289</v>
      </c>
      <c r="T136" s="22">
        <v>459</v>
      </c>
      <c r="U136" s="22"/>
      <c r="V136" s="22"/>
      <c r="W136" s="2"/>
    </row>
    <row r="137" spans="1:23" x14ac:dyDescent="0.25">
      <c r="A137" s="116"/>
      <c r="B137" s="112"/>
      <c r="C137" s="31" t="s">
        <v>239</v>
      </c>
      <c r="D137" s="3"/>
      <c r="E137" s="66" t="s">
        <v>237</v>
      </c>
      <c r="F137" s="67" t="s">
        <v>100</v>
      </c>
      <c r="G137" s="67" t="s">
        <v>241</v>
      </c>
      <c r="H137" s="67" t="s">
        <v>240</v>
      </c>
      <c r="I137" s="3"/>
      <c r="J137" s="3"/>
      <c r="K137" s="3"/>
      <c r="L137" s="3"/>
      <c r="M137" s="43"/>
      <c r="N137" s="14"/>
      <c r="P137" s="2">
        <v>262</v>
      </c>
      <c r="Q137" s="2">
        <v>283</v>
      </c>
      <c r="R137" s="2">
        <v>284</v>
      </c>
      <c r="S137" s="22">
        <v>285</v>
      </c>
      <c r="T137" s="22"/>
      <c r="U137" s="22"/>
      <c r="V137" s="22"/>
    </row>
    <row r="138" spans="1:23" x14ac:dyDescent="0.25">
      <c r="A138" s="116"/>
      <c r="B138" s="107" t="s">
        <v>161</v>
      </c>
      <c r="C138" s="26" t="s">
        <v>161</v>
      </c>
      <c r="D138" s="3"/>
      <c r="E138" s="4" t="s">
        <v>169</v>
      </c>
      <c r="F138" s="54" t="s">
        <v>168</v>
      </c>
      <c r="G138" s="54" t="s">
        <v>162</v>
      </c>
      <c r="H138" s="54" t="s">
        <v>160</v>
      </c>
      <c r="I138" s="54" t="s">
        <v>172</v>
      </c>
      <c r="J138" s="54" t="s">
        <v>176</v>
      </c>
      <c r="K138" s="54" t="s">
        <v>175</v>
      </c>
      <c r="L138" s="54" t="s">
        <v>165</v>
      </c>
      <c r="M138" s="10"/>
      <c r="N138" s="14"/>
      <c r="P138" s="2">
        <v>233</v>
      </c>
      <c r="Q138" s="2">
        <v>234</v>
      </c>
      <c r="R138" s="2">
        <v>235</v>
      </c>
      <c r="S138" s="22">
        <v>236</v>
      </c>
      <c r="T138" s="22">
        <v>237</v>
      </c>
      <c r="U138" s="22">
        <v>254</v>
      </c>
      <c r="V138" s="22">
        <v>197</v>
      </c>
      <c r="W138" s="22">
        <v>247</v>
      </c>
    </row>
    <row r="139" spans="1:23" x14ac:dyDescent="0.25">
      <c r="A139" s="116"/>
      <c r="B139" s="107"/>
      <c r="C139" s="26" t="s">
        <v>814</v>
      </c>
      <c r="D139" s="3"/>
      <c r="E139" s="54" t="s">
        <v>810</v>
      </c>
      <c r="F139" s="4" t="s">
        <v>811</v>
      </c>
      <c r="G139" s="54" t="s">
        <v>812</v>
      </c>
      <c r="H139" s="4" t="s">
        <v>813</v>
      </c>
      <c r="I139" s="54" t="s">
        <v>163</v>
      </c>
      <c r="J139" s="54" t="s">
        <v>149</v>
      </c>
      <c r="K139" s="54" t="s">
        <v>164</v>
      </c>
      <c r="L139" s="54" t="s">
        <v>140</v>
      </c>
      <c r="M139" s="13"/>
      <c r="N139" s="14"/>
      <c r="P139" s="2">
        <v>226</v>
      </c>
      <c r="Q139" s="2">
        <v>227</v>
      </c>
      <c r="R139" s="2">
        <v>228</v>
      </c>
      <c r="S139" s="22">
        <v>229</v>
      </c>
      <c r="T139" s="22">
        <v>230</v>
      </c>
      <c r="U139" s="22">
        <v>231</v>
      </c>
      <c r="V139" s="22">
        <v>232</v>
      </c>
      <c r="W139" s="22">
        <v>88</v>
      </c>
    </row>
    <row r="140" spans="1:23" x14ac:dyDescent="0.25">
      <c r="A140" s="116"/>
      <c r="B140" s="107"/>
      <c r="C140" s="26" t="s">
        <v>170</v>
      </c>
      <c r="D140" s="3"/>
      <c r="E140" s="4" t="s">
        <v>159</v>
      </c>
      <c r="F140" s="4" t="s">
        <v>226</v>
      </c>
      <c r="G140" s="4" t="s">
        <v>227</v>
      </c>
      <c r="H140" s="54" t="s">
        <v>69</v>
      </c>
      <c r="I140" s="31"/>
      <c r="J140" s="31"/>
      <c r="K140" s="31"/>
      <c r="L140" s="31"/>
      <c r="M140" s="4"/>
      <c r="N140" s="14"/>
      <c r="P140" s="2">
        <v>238</v>
      </c>
      <c r="Q140" s="2">
        <v>239</v>
      </c>
      <c r="R140" s="2">
        <v>278</v>
      </c>
      <c r="S140" s="2">
        <v>240</v>
      </c>
    </row>
    <row r="141" spans="1:23" x14ac:dyDescent="0.25">
      <c r="A141" s="116"/>
      <c r="B141" s="107"/>
      <c r="C141" s="3" t="s">
        <v>768</v>
      </c>
      <c r="D141" s="3"/>
      <c r="E141" s="48" t="s">
        <v>364</v>
      </c>
      <c r="F141" s="48" t="s">
        <v>362</v>
      </c>
      <c r="G141" s="48" t="s">
        <v>414</v>
      </c>
      <c r="H141" s="48" t="s">
        <v>363</v>
      </c>
      <c r="I141" s="48" t="s">
        <v>365</v>
      </c>
      <c r="J141" s="3"/>
      <c r="K141" s="3"/>
      <c r="L141" s="3"/>
      <c r="M141" s="13"/>
      <c r="N141" s="19" t="s">
        <v>366</v>
      </c>
      <c r="P141" s="2">
        <v>336</v>
      </c>
      <c r="Q141" s="2">
        <v>337</v>
      </c>
      <c r="R141" s="2">
        <v>338</v>
      </c>
      <c r="S141" s="22">
        <v>339</v>
      </c>
      <c r="T141" s="22">
        <v>340</v>
      </c>
    </row>
    <row r="142" spans="1:23" x14ac:dyDescent="0.25">
      <c r="A142" s="116"/>
      <c r="B142" s="107"/>
      <c r="C142" s="3" t="s">
        <v>416</v>
      </c>
      <c r="D142" s="3"/>
      <c r="E142" s="54" t="s">
        <v>49</v>
      </c>
      <c r="F142" s="3"/>
      <c r="G142" s="3"/>
      <c r="H142" s="3"/>
      <c r="I142" s="3"/>
      <c r="J142" s="3"/>
      <c r="K142" s="3"/>
      <c r="L142" s="3"/>
      <c r="M142" s="13"/>
      <c r="N142" s="19"/>
      <c r="P142" s="2">
        <v>41</v>
      </c>
      <c r="Q142" s="2"/>
      <c r="R142" s="2"/>
      <c r="S142" s="22"/>
      <c r="T142" s="22"/>
    </row>
    <row r="143" spans="1:23" x14ac:dyDescent="0.25">
      <c r="A143" s="116"/>
      <c r="B143" s="107"/>
      <c r="C143" s="26" t="s">
        <v>67</v>
      </c>
      <c r="D143" s="3"/>
      <c r="E143" s="57" t="s">
        <v>215</v>
      </c>
      <c r="F143" s="54" t="s">
        <v>173</v>
      </c>
      <c r="G143" s="54" t="s">
        <v>174</v>
      </c>
      <c r="H143" s="31"/>
      <c r="I143" s="31"/>
      <c r="J143" s="31"/>
      <c r="K143" s="31"/>
      <c r="L143" s="31"/>
      <c r="M143" s="43"/>
      <c r="N143" s="14"/>
      <c r="P143" s="2">
        <v>267</v>
      </c>
      <c r="Q143" s="2">
        <v>252</v>
      </c>
      <c r="R143" s="2">
        <v>253</v>
      </c>
    </row>
    <row r="144" spans="1:23" x14ac:dyDescent="0.25">
      <c r="A144" s="116"/>
      <c r="B144" s="107"/>
      <c r="C144" s="26" t="s">
        <v>281</v>
      </c>
      <c r="D144" s="3"/>
      <c r="E144" s="4" t="s">
        <v>153</v>
      </c>
      <c r="F144" s="4" t="s">
        <v>156</v>
      </c>
      <c r="G144" s="4" t="s">
        <v>158</v>
      </c>
      <c r="H144" s="54" t="s">
        <v>157</v>
      </c>
      <c r="I144" s="54" t="s">
        <v>631</v>
      </c>
      <c r="J144" s="54" t="s">
        <v>354</v>
      </c>
      <c r="K144" s="54" t="s">
        <v>358</v>
      </c>
      <c r="L144" s="54" t="s">
        <v>171</v>
      </c>
      <c r="M144" s="10"/>
      <c r="N144" s="19" t="s">
        <v>767</v>
      </c>
      <c r="P144" s="2">
        <v>241</v>
      </c>
      <c r="Q144" s="2">
        <v>242</v>
      </c>
      <c r="R144" s="2">
        <v>243</v>
      </c>
      <c r="S144" s="22">
        <v>244</v>
      </c>
      <c r="T144" s="22">
        <v>427</v>
      </c>
      <c r="U144" s="22">
        <v>274</v>
      </c>
      <c r="V144" s="22">
        <v>332</v>
      </c>
      <c r="W144" s="2">
        <v>251</v>
      </c>
    </row>
    <row r="145" spans="1:22" x14ac:dyDescent="0.25">
      <c r="A145" s="116"/>
      <c r="B145" s="107"/>
      <c r="C145" s="3" t="s">
        <v>152</v>
      </c>
      <c r="D145" s="3"/>
      <c r="E145" s="49" t="s">
        <v>273</v>
      </c>
      <c r="F145" s="49" t="s">
        <v>372</v>
      </c>
      <c r="G145" s="56" t="s">
        <v>793</v>
      </c>
      <c r="H145" s="31"/>
      <c r="I145" s="31"/>
      <c r="J145" s="31"/>
      <c r="K145" s="31"/>
      <c r="L145" s="31"/>
      <c r="M145" s="13"/>
      <c r="N145" s="14"/>
      <c r="P145" s="22">
        <v>139</v>
      </c>
      <c r="Q145" s="2">
        <v>341</v>
      </c>
      <c r="R145" s="2">
        <v>458</v>
      </c>
      <c r="S145" s="2"/>
      <c r="T145" s="22"/>
      <c r="U145" s="22"/>
      <c r="V145" s="22"/>
    </row>
    <row r="146" spans="1:22" x14ac:dyDescent="0.25">
      <c r="A146" s="117"/>
      <c r="B146" s="107"/>
      <c r="C146" s="26" t="s">
        <v>151</v>
      </c>
      <c r="D146" s="3"/>
      <c r="E146" s="4" t="s">
        <v>285</v>
      </c>
      <c r="F146" s="57">
        <v>5</v>
      </c>
      <c r="G146" s="54" t="s">
        <v>150</v>
      </c>
      <c r="H146" s="54" t="s">
        <v>177</v>
      </c>
      <c r="I146" s="31"/>
      <c r="J146" s="31"/>
      <c r="K146" s="31"/>
      <c r="L146" s="31"/>
      <c r="M146" s="4"/>
      <c r="N146" s="14"/>
      <c r="P146" s="2">
        <v>301</v>
      </c>
      <c r="Q146" s="2">
        <v>245</v>
      </c>
      <c r="R146" s="2">
        <v>246</v>
      </c>
      <c r="S146" s="2">
        <v>255</v>
      </c>
    </row>
    <row r="148" spans="1:22" x14ac:dyDescent="0.25">
      <c r="B148" s="1" t="s">
        <v>26</v>
      </c>
    </row>
    <row r="149" spans="1:22" x14ac:dyDescent="0.25">
      <c r="B149" s="1"/>
    </row>
    <row r="150" spans="1:22" x14ac:dyDescent="0.25">
      <c r="B150" s="1" t="s">
        <v>27</v>
      </c>
      <c r="C150" s="2" t="s">
        <v>34</v>
      </c>
      <c r="D150" s="2"/>
    </row>
    <row r="151" spans="1:22" x14ac:dyDescent="0.25">
      <c r="B151" s="76" t="s">
        <v>101</v>
      </c>
      <c r="C151" s="2" t="s">
        <v>102</v>
      </c>
      <c r="D151" s="2"/>
    </row>
    <row r="152" spans="1:22" x14ac:dyDescent="0.25">
      <c r="B152" s="27" t="s">
        <v>127</v>
      </c>
      <c r="C152" s="2" t="s">
        <v>128</v>
      </c>
      <c r="D152" s="2"/>
    </row>
    <row r="153" spans="1:22" x14ac:dyDescent="0.25">
      <c r="B153" s="75" t="s">
        <v>31</v>
      </c>
      <c r="C153" s="2" t="s">
        <v>29</v>
      </c>
      <c r="D153" s="2"/>
    </row>
    <row r="154" spans="1:22" ht="15" x14ac:dyDescent="0.25">
      <c r="B154" s="68" t="s">
        <v>33</v>
      </c>
      <c r="C154" s="2" t="s">
        <v>32</v>
      </c>
      <c r="D154" s="2"/>
    </row>
    <row r="155" spans="1:22" x14ac:dyDescent="0.25">
      <c r="B155" s="15" t="s">
        <v>28</v>
      </c>
      <c r="C155" s="2" t="s">
        <v>30</v>
      </c>
      <c r="D155" s="2"/>
    </row>
    <row r="156" spans="1:22" x14ac:dyDescent="0.25">
      <c r="B156" s="7" t="s">
        <v>35</v>
      </c>
      <c r="C156" s="2" t="s">
        <v>352</v>
      </c>
      <c r="D156" s="2"/>
    </row>
    <row r="157" spans="1:22" x14ac:dyDescent="0.25">
      <c r="B157" s="17">
        <v>63</v>
      </c>
      <c r="C157" s="2" t="s">
        <v>55</v>
      </c>
      <c r="D157" s="2"/>
    </row>
    <row r="159" spans="1:22" x14ac:dyDescent="0.25">
      <c r="B159" s="69" t="s">
        <v>39</v>
      </c>
    </row>
    <row r="161" spans="2:4" x14ac:dyDescent="0.25">
      <c r="B161" t="s">
        <v>40</v>
      </c>
      <c r="C161" t="s">
        <v>41</v>
      </c>
    </row>
    <row r="162" spans="2:4" x14ac:dyDescent="0.25">
      <c r="B162" t="s">
        <v>42</v>
      </c>
      <c r="C162" t="s">
        <v>43</v>
      </c>
    </row>
    <row r="164" spans="2:4" x14ac:dyDescent="0.25">
      <c r="B164" s="2" t="s">
        <v>44</v>
      </c>
    </row>
    <row r="166" spans="2:4" x14ac:dyDescent="0.25">
      <c r="B166" t="s">
        <v>53</v>
      </c>
    </row>
    <row r="167" spans="2:4" x14ac:dyDescent="0.25">
      <c r="B167" s="2" t="s">
        <v>45</v>
      </c>
    </row>
    <row r="168" spans="2:4" x14ac:dyDescent="0.25">
      <c r="B168" s="2" t="s">
        <v>56</v>
      </c>
    </row>
    <row r="170" spans="2:4" x14ac:dyDescent="0.25">
      <c r="B170" s="2" t="s">
        <v>122</v>
      </c>
    </row>
    <row r="171" spans="2:4" x14ac:dyDescent="0.25">
      <c r="B171" s="2" t="s">
        <v>54</v>
      </c>
      <c r="C171" s="2" t="s">
        <v>129</v>
      </c>
      <c r="D171" s="2"/>
    </row>
    <row r="172" spans="2:4" x14ac:dyDescent="0.25">
      <c r="B172" s="2" t="s">
        <v>123</v>
      </c>
      <c r="C172" s="2" t="s">
        <v>131</v>
      </c>
      <c r="D172" s="2"/>
    </row>
    <row r="173" spans="2:4" x14ac:dyDescent="0.25">
      <c r="B173" s="2" t="s">
        <v>124</v>
      </c>
      <c r="C173" s="2" t="s">
        <v>130</v>
      </c>
      <c r="D173" s="2"/>
    </row>
    <row r="174" spans="2:4" x14ac:dyDescent="0.25">
      <c r="B174" s="2" t="s">
        <v>13</v>
      </c>
      <c r="C174" s="2" t="s">
        <v>125</v>
      </c>
      <c r="D174" s="2"/>
    </row>
    <row r="177" spans="3:19" ht="15.9" customHeight="1" x14ac:dyDescent="0.25">
      <c r="C177" s="25" t="s">
        <v>133</v>
      </c>
      <c r="D177" s="25"/>
      <c r="E177" s="48" t="s">
        <v>311</v>
      </c>
      <c r="F177" s="48" t="s">
        <v>850</v>
      </c>
      <c r="G177" s="49" t="s">
        <v>301</v>
      </c>
      <c r="H177" s="49" t="s">
        <v>277</v>
      </c>
      <c r="I177" s="3"/>
      <c r="J177" s="3"/>
      <c r="K177" s="3"/>
      <c r="L177" s="3"/>
      <c r="M177" s="4"/>
      <c r="N177" s="19"/>
      <c r="P177" s="2">
        <v>3</v>
      </c>
      <c r="Q177" s="2">
        <v>25</v>
      </c>
      <c r="R177" s="2">
        <v>311</v>
      </c>
      <c r="S177" s="2">
        <v>312</v>
      </c>
    </row>
    <row r="178" spans="3:19" ht="15.9" customHeight="1" x14ac:dyDescent="0.25">
      <c r="C178" s="25" t="s">
        <v>134</v>
      </c>
      <c r="D178" s="25"/>
      <c r="E178" s="48" t="s">
        <v>849</v>
      </c>
      <c r="F178" s="48" t="s">
        <v>851</v>
      </c>
      <c r="G178" s="49" t="s">
        <v>276</v>
      </c>
      <c r="H178" s="49" t="s">
        <v>278</v>
      </c>
      <c r="I178" s="3"/>
      <c r="J178" s="3"/>
      <c r="K178" s="3"/>
      <c r="L178" s="3"/>
      <c r="M178" s="43"/>
      <c r="N178" s="19"/>
      <c r="P178" s="2">
        <v>202</v>
      </c>
      <c r="Q178" s="2">
        <v>203</v>
      </c>
      <c r="R178" s="2">
        <v>313</v>
      </c>
      <c r="S178" s="2">
        <v>314</v>
      </c>
    </row>
    <row r="179" spans="3:19" ht="15.9" customHeight="1" x14ac:dyDescent="0.25">
      <c r="C179" s="28" t="s">
        <v>834</v>
      </c>
      <c r="D179" s="28"/>
      <c r="E179" s="48">
        <v>3</v>
      </c>
      <c r="F179" s="50" t="s">
        <v>50</v>
      </c>
      <c r="G179" s="3"/>
      <c r="H179" s="3"/>
      <c r="I179" s="3"/>
      <c r="J179" s="3"/>
      <c r="K179" s="3"/>
      <c r="L179" s="3"/>
      <c r="M179" s="10"/>
      <c r="N179" s="19" t="s">
        <v>796</v>
      </c>
      <c r="P179" s="2">
        <v>70</v>
      </c>
      <c r="Q179" s="2">
        <v>71</v>
      </c>
    </row>
    <row r="180" spans="3:19" ht="15.9" customHeight="1" x14ac:dyDescent="0.25">
      <c r="C180" s="26" t="s">
        <v>9</v>
      </c>
      <c r="D180" s="26"/>
      <c r="E180" s="56" t="s">
        <v>626</v>
      </c>
      <c r="F180" s="20"/>
      <c r="G180" s="3"/>
      <c r="H180" s="3"/>
      <c r="I180" s="3"/>
      <c r="J180" s="3"/>
      <c r="K180" s="3"/>
      <c r="L180" s="3"/>
      <c r="M180" s="13"/>
      <c r="N180" s="19" t="s">
        <v>668</v>
      </c>
      <c r="P180" s="2">
        <v>27</v>
      </c>
      <c r="Q180" s="17"/>
    </row>
    <row r="181" spans="3:19" ht="15.9" customHeight="1" x14ac:dyDescent="0.25">
      <c r="C181" s="3" t="s">
        <v>797</v>
      </c>
      <c r="D181" s="3"/>
      <c r="E181" s="18" t="s">
        <v>10</v>
      </c>
      <c r="F181" s="60" t="s">
        <v>670</v>
      </c>
      <c r="G181" s="3"/>
      <c r="H181" s="3"/>
      <c r="I181" s="3"/>
      <c r="J181" s="3"/>
      <c r="K181" s="3"/>
      <c r="L181" s="3"/>
      <c r="M181" s="4"/>
      <c r="N181" s="19" t="s">
        <v>669</v>
      </c>
      <c r="P181" s="2">
        <v>28</v>
      </c>
      <c r="Q181" s="2">
        <v>6</v>
      </c>
    </row>
  </sheetData>
  <mergeCells count="23">
    <mergeCell ref="A2:A73"/>
    <mergeCell ref="A74:A88"/>
    <mergeCell ref="A89:A146"/>
    <mergeCell ref="B138:B146"/>
    <mergeCell ref="B89:B100"/>
    <mergeCell ref="B84:B88"/>
    <mergeCell ref="B101:B130"/>
    <mergeCell ref="B131:B137"/>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7"/>
  <sheetViews>
    <sheetView tabSelected="1" zoomScale="130" zoomScaleNormal="130" workbookViewId="0">
      <pane ySplit="1" topLeftCell="A445" activePane="bottomLeft" state="frozen"/>
      <selection pane="bottomLeft" activeCell="L464" sqref="L46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881</v>
      </c>
      <c r="V1" s="32" t="s">
        <v>71</v>
      </c>
      <c r="W1" s="32" t="s">
        <v>19</v>
      </c>
      <c r="X1" s="32" t="s">
        <v>24</v>
      </c>
    </row>
    <row r="2" spans="1:24" ht="13.2"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customHeight="1" x14ac:dyDescent="0.25">
      <c r="A16" s="38">
        <v>18</v>
      </c>
      <c r="B16" s="38" t="s">
        <v>36</v>
      </c>
      <c r="C16" s="38" t="s">
        <v>430</v>
      </c>
      <c r="D16" s="38" t="s">
        <v>804</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customHeight="1" x14ac:dyDescent="0.25">
      <c r="A17" s="38">
        <v>19</v>
      </c>
      <c r="B17" s="38" t="s">
        <v>36</v>
      </c>
      <c r="C17" s="38" t="s">
        <v>430</v>
      </c>
      <c r="D17" s="38" t="s">
        <v>804</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customHeight="1" x14ac:dyDescent="0.25">
      <c r="A24" s="38">
        <v>29</v>
      </c>
      <c r="B24" s="38" t="s">
        <v>57</v>
      </c>
      <c r="C24" s="38" t="s">
        <v>54</v>
      </c>
      <c r="D24" s="38" t="s">
        <v>821</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c r="P57" s="36"/>
      <c r="Q57" s="36"/>
      <c r="R57" s="36"/>
      <c r="S57" s="38">
        <v>100</v>
      </c>
      <c r="T57" s="38">
        <v>0</v>
      </c>
      <c r="V57" s="38" t="s">
        <v>657</v>
      </c>
      <c r="X57" s="38">
        <v>1</v>
      </c>
    </row>
    <row r="58" spans="1:24" ht="13.2"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customHeight="1" x14ac:dyDescent="0.25">
      <c r="A68" s="38">
        <v>75</v>
      </c>
      <c r="B68" s="38" t="s">
        <v>57</v>
      </c>
      <c r="C68" s="38" t="s">
        <v>57</v>
      </c>
      <c r="D68" s="38" t="s">
        <v>319</v>
      </c>
      <c r="E68" s="41" t="s">
        <v>871</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customHeight="1" x14ac:dyDescent="0.25">
      <c r="A77" s="38">
        <v>84</v>
      </c>
      <c r="B77" s="38" t="s">
        <v>57</v>
      </c>
      <c r="C77" s="38" t="s">
        <v>57</v>
      </c>
      <c r="D77" s="38" t="s">
        <v>838</v>
      </c>
      <c r="E77" s="41" t="s">
        <v>61</v>
      </c>
      <c r="F77" s="35" t="s">
        <v>472</v>
      </c>
      <c r="G77" s="35" t="s">
        <v>201</v>
      </c>
      <c r="H77" s="35" t="s">
        <v>201</v>
      </c>
      <c r="I77" s="35"/>
      <c r="J77" s="82">
        <f>VLOOKUP($A77, Stat!$A$1:$C$501, 2,0)</f>
        <v>120</v>
      </c>
      <c r="K77" s="82">
        <f>VLOOKUP($A77, Stat!$A$1:$C$501, 3,0)</f>
        <v>7</v>
      </c>
      <c r="P77" s="36"/>
      <c r="Q77" s="36"/>
      <c r="R77" s="36"/>
      <c r="S77" s="38">
        <v>60</v>
      </c>
      <c r="T77" s="38">
        <v>0</v>
      </c>
      <c r="X77" s="38">
        <v>1</v>
      </c>
    </row>
    <row r="78" spans="1:24" ht="13.2" customHeight="1" x14ac:dyDescent="0.25">
      <c r="A78" s="38">
        <v>85</v>
      </c>
      <c r="B78" s="38" t="s">
        <v>57</v>
      </c>
      <c r="C78" s="38" t="s">
        <v>57</v>
      </c>
      <c r="D78" s="38" t="s">
        <v>838</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customHeight="1" x14ac:dyDescent="0.25">
      <c r="A79" s="38">
        <v>86</v>
      </c>
      <c r="B79" s="38" t="s">
        <v>57</v>
      </c>
      <c r="C79" s="38" t="s">
        <v>57</v>
      </c>
      <c r="D79" s="38" t="s">
        <v>838</v>
      </c>
      <c r="E79" s="41" t="s">
        <v>63</v>
      </c>
      <c r="F79" s="35" t="s">
        <v>472</v>
      </c>
      <c r="G79" s="35" t="s">
        <v>201</v>
      </c>
      <c r="H79" s="35" t="s">
        <v>201</v>
      </c>
      <c r="I79" s="35"/>
      <c r="J79" s="82">
        <f>VLOOKUP($A79, Stat!$A$1:$C$501, 2,0)</f>
        <v>160</v>
      </c>
      <c r="K79" s="82">
        <f>VLOOKUP($A79, Stat!$A$1:$C$501, 3,0)</f>
        <v>1</v>
      </c>
      <c r="L79" s="85"/>
      <c r="P79" s="36"/>
      <c r="Q79" s="36"/>
      <c r="R79" s="36"/>
      <c r="S79" s="38">
        <v>0</v>
      </c>
      <c r="T79" s="38">
        <v>-1</v>
      </c>
      <c r="W79" s="38" t="s">
        <v>720</v>
      </c>
      <c r="X79" s="38">
        <v>1</v>
      </c>
    </row>
    <row r="80" spans="1:24" ht="13.2"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customHeight="1" x14ac:dyDescent="0.25">
      <c r="A81" s="38">
        <v>88</v>
      </c>
      <c r="B81" s="38" t="s">
        <v>57</v>
      </c>
      <c r="C81" s="38" t="s">
        <v>161</v>
      </c>
      <c r="D81" s="38" t="s">
        <v>814</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845</v>
      </c>
      <c r="X82" s="38">
        <v>1</v>
      </c>
    </row>
    <row r="83" spans="1:24" ht="13.2"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customHeight="1" x14ac:dyDescent="0.25">
      <c r="A89" s="38">
        <v>96</v>
      </c>
      <c r="B89" s="38" t="s">
        <v>57</v>
      </c>
      <c r="C89" s="38" t="s">
        <v>57</v>
      </c>
      <c r="D89" s="38" t="s">
        <v>573</v>
      </c>
      <c r="E89" s="41" t="s">
        <v>844</v>
      </c>
      <c r="F89" s="96" t="s">
        <v>475</v>
      </c>
      <c r="G89" s="35" t="s">
        <v>201</v>
      </c>
      <c r="H89" s="36"/>
      <c r="I89" s="35" t="s">
        <v>573</v>
      </c>
      <c r="J89" s="82">
        <f>VLOOKUP($A89, Stat!$A$1:$C$501, 2,0)</f>
        <v>14</v>
      </c>
      <c r="K89" s="82">
        <f>VLOOKUP($A89, Stat!$A$1:$C$501, 3,0)</f>
        <v>0</v>
      </c>
      <c r="L89" s="85"/>
      <c r="P89" s="36"/>
      <c r="Q89" s="36"/>
      <c r="R89" s="36"/>
      <c r="S89" s="38">
        <v>60</v>
      </c>
      <c r="T89" s="38">
        <v>0</v>
      </c>
      <c r="V89" s="38" t="s">
        <v>845</v>
      </c>
      <c r="X89" s="38">
        <v>1</v>
      </c>
    </row>
    <row r="90" spans="1:24" ht="13.2" customHeight="1" x14ac:dyDescent="0.25">
      <c r="A90" s="38">
        <v>97</v>
      </c>
      <c r="B90" s="38" t="s">
        <v>57</v>
      </c>
      <c r="C90" s="38" t="s">
        <v>190</v>
      </c>
      <c r="D90" s="38" t="s">
        <v>236</v>
      </c>
      <c r="E90" s="38" t="s">
        <v>873</v>
      </c>
      <c r="J90" s="82">
        <f>VLOOKUP($A90, Stat!$A$1:$C$501, 2,0)</f>
        <v>4</v>
      </c>
      <c r="K90" s="82">
        <f>VLOOKUP($A90, Stat!$A$1:$C$501, 3,0)</f>
        <v>0</v>
      </c>
      <c r="L90" s="84"/>
      <c r="S90" s="38">
        <v>60</v>
      </c>
      <c r="T90" s="38">
        <v>0</v>
      </c>
      <c r="W90" s="38" t="s">
        <v>874</v>
      </c>
      <c r="X90" s="38">
        <v>1</v>
      </c>
    </row>
    <row r="91" spans="1:24" ht="13.2"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customHeight="1" x14ac:dyDescent="0.25">
      <c r="A92" s="38">
        <v>100</v>
      </c>
      <c r="B92" s="38" t="s">
        <v>36</v>
      </c>
      <c r="C92" s="38" t="s">
        <v>74</v>
      </c>
      <c r="D92" s="38" t="s">
        <v>833</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customHeight="1" x14ac:dyDescent="0.25">
      <c r="A93" s="38">
        <v>101</v>
      </c>
      <c r="B93" s="38" t="s">
        <v>36</v>
      </c>
      <c r="C93" s="38" t="s">
        <v>74</v>
      </c>
      <c r="D93" s="38" t="s">
        <v>833</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customHeight="1" x14ac:dyDescent="0.25">
      <c r="A94" s="38">
        <v>102</v>
      </c>
      <c r="B94" s="38" t="s">
        <v>36</v>
      </c>
      <c r="C94" s="38" t="s">
        <v>74</v>
      </c>
      <c r="D94" s="38" t="s">
        <v>833</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customHeight="1" x14ac:dyDescent="0.25">
      <c r="A95" s="38">
        <v>103</v>
      </c>
      <c r="B95" s="38" t="s">
        <v>36</v>
      </c>
      <c r="C95" s="38" t="s">
        <v>74</v>
      </c>
      <c r="D95" s="38" t="s">
        <v>833</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customHeight="1" x14ac:dyDescent="0.25">
      <c r="A104" s="38">
        <v>112</v>
      </c>
      <c r="B104" s="38" t="s">
        <v>36</v>
      </c>
      <c r="C104" s="38" t="s">
        <v>73</v>
      </c>
      <c r="D104" s="38" t="s">
        <v>832</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customHeight="1" x14ac:dyDescent="0.25">
      <c r="A105" s="38">
        <v>113</v>
      </c>
      <c r="B105" s="38" t="s">
        <v>36</v>
      </c>
      <c r="C105" s="38" t="s">
        <v>73</v>
      </c>
      <c r="D105" s="38" t="s">
        <v>832</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customHeight="1" x14ac:dyDescent="0.25">
      <c r="A106" s="38">
        <v>114</v>
      </c>
      <c r="B106" s="38" t="s">
        <v>36</v>
      </c>
      <c r="C106" s="38" t="s">
        <v>73</v>
      </c>
      <c r="D106" s="38" t="s">
        <v>832</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customHeight="1" x14ac:dyDescent="0.25">
      <c r="A107" s="38">
        <v>115</v>
      </c>
      <c r="B107" s="38" t="s">
        <v>36</v>
      </c>
      <c r="C107" s="38" t="s">
        <v>73</v>
      </c>
      <c r="D107" s="38" t="s">
        <v>832</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customHeight="1" x14ac:dyDescent="0.25">
      <c r="A142" s="38">
        <v>152</v>
      </c>
      <c r="B142" s="38" t="s">
        <v>57</v>
      </c>
      <c r="C142" s="38" t="s">
        <v>54</v>
      </c>
      <c r="D142" s="38" t="s">
        <v>815</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customHeight="1" x14ac:dyDescent="0.25">
      <c r="A143" s="38">
        <v>153</v>
      </c>
      <c r="B143" s="38" t="s">
        <v>57</v>
      </c>
      <c r="C143" s="38" t="s">
        <v>54</v>
      </c>
      <c r="D143" s="38" t="s">
        <v>815</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customHeight="1" x14ac:dyDescent="0.25">
      <c r="A144" s="38">
        <v>154</v>
      </c>
      <c r="B144" s="38" t="s">
        <v>57</v>
      </c>
      <c r="C144" s="38" t="s">
        <v>54</v>
      </c>
      <c r="D144" s="38" t="s">
        <v>819</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customHeight="1" x14ac:dyDescent="0.25">
      <c r="A145" s="38">
        <v>155</v>
      </c>
      <c r="B145" s="38" t="s">
        <v>57</v>
      </c>
      <c r="C145" s="38" t="s">
        <v>54</v>
      </c>
      <c r="D145" s="38" t="s">
        <v>819</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customHeight="1" x14ac:dyDescent="0.25">
      <c r="A146" s="38">
        <v>156</v>
      </c>
      <c r="B146" s="38" t="s">
        <v>57</v>
      </c>
      <c r="C146" s="38" t="s">
        <v>54</v>
      </c>
      <c r="D146" s="38" t="s">
        <v>819</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customHeight="1" x14ac:dyDescent="0.25">
      <c r="A147" s="38">
        <v>157</v>
      </c>
      <c r="B147" s="38" t="s">
        <v>57</v>
      </c>
      <c r="C147" s="38" t="s">
        <v>54</v>
      </c>
      <c r="D147" s="38" t="s">
        <v>819</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customHeight="1" x14ac:dyDescent="0.25">
      <c r="A148" s="38">
        <v>158</v>
      </c>
      <c r="B148" s="38" t="s">
        <v>57</v>
      </c>
      <c r="C148" s="38" t="s">
        <v>54</v>
      </c>
      <c r="D148" s="38" t="s">
        <v>816</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customHeight="1" x14ac:dyDescent="0.25">
      <c r="A149" s="38">
        <v>159</v>
      </c>
      <c r="B149" s="38" t="s">
        <v>57</v>
      </c>
      <c r="C149" s="38" t="s">
        <v>54</v>
      </c>
      <c r="D149" s="38" t="s">
        <v>816</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customHeight="1" x14ac:dyDescent="0.25">
      <c r="A150" s="38">
        <v>160</v>
      </c>
      <c r="B150" s="38" t="s">
        <v>57</v>
      </c>
      <c r="C150" s="38" t="s">
        <v>54</v>
      </c>
      <c r="D150" s="38" t="s">
        <v>820</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customHeight="1" x14ac:dyDescent="0.25">
      <c r="A151" s="38">
        <v>161</v>
      </c>
      <c r="B151" s="38" t="s">
        <v>57</v>
      </c>
      <c r="C151" s="38" t="s">
        <v>54</v>
      </c>
      <c r="D151" s="38" t="s">
        <v>820</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customHeight="1" x14ac:dyDescent="0.25">
      <c r="A152" s="38">
        <v>162</v>
      </c>
      <c r="B152" s="38" t="s">
        <v>57</v>
      </c>
      <c r="C152" s="38" t="s">
        <v>54</v>
      </c>
      <c r="D152" s="38" t="s">
        <v>820</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customHeight="1" x14ac:dyDescent="0.25">
      <c r="A153" s="38">
        <v>163</v>
      </c>
      <c r="B153" s="38" t="s">
        <v>57</v>
      </c>
      <c r="C153" s="38" t="s">
        <v>54</v>
      </c>
      <c r="D153" s="38" t="s">
        <v>820</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customHeight="1" x14ac:dyDescent="0.25">
      <c r="A154" s="38">
        <v>164</v>
      </c>
      <c r="B154" s="38" t="s">
        <v>57</v>
      </c>
      <c r="C154" s="38" t="s">
        <v>54</v>
      </c>
      <c r="D154" s="38" t="s">
        <v>817</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customHeight="1" x14ac:dyDescent="0.25">
      <c r="A155" s="38">
        <v>165</v>
      </c>
      <c r="B155" s="38" t="s">
        <v>57</v>
      </c>
      <c r="C155" s="38" t="s">
        <v>54</v>
      </c>
      <c r="D155" s="38" t="s">
        <v>817</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customHeight="1" x14ac:dyDescent="0.25">
      <c r="A156" s="38">
        <v>166</v>
      </c>
      <c r="B156" s="38" t="s">
        <v>57</v>
      </c>
      <c r="C156" s="38" t="s">
        <v>54</v>
      </c>
      <c r="D156" s="38" t="s">
        <v>821</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customHeight="1" x14ac:dyDescent="0.25">
      <c r="A157" s="38">
        <v>167</v>
      </c>
      <c r="B157" s="38" t="s">
        <v>57</v>
      </c>
      <c r="C157" s="38" t="s">
        <v>54</v>
      </c>
      <c r="D157" s="38" t="s">
        <v>821</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customHeight="1" x14ac:dyDescent="0.25">
      <c r="A158" s="38">
        <v>168</v>
      </c>
      <c r="B158" s="38" t="s">
        <v>57</v>
      </c>
      <c r="C158" s="38" t="s">
        <v>54</v>
      </c>
      <c r="D158" s="38" t="s">
        <v>821</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customHeight="1" x14ac:dyDescent="0.25">
      <c r="A160" s="38">
        <v>170</v>
      </c>
      <c r="B160" s="38" t="s">
        <v>57</v>
      </c>
      <c r="C160" s="38" t="s">
        <v>54</v>
      </c>
      <c r="D160" s="38" t="s">
        <v>818</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customHeight="1" x14ac:dyDescent="0.25">
      <c r="A161" s="38">
        <v>171</v>
      </c>
      <c r="B161" s="38" t="s">
        <v>57</v>
      </c>
      <c r="C161" s="38" t="s">
        <v>54</v>
      </c>
      <c r="D161" s="38" t="s">
        <v>818</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customHeight="1" x14ac:dyDescent="0.25">
      <c r="A162" s="38">
        <v>172</v>
      </c>
      <c r="B162" s="38" t="s">
        <v>57</v>
      </c>
      <c r="C162" s="38" t="s">
        <v>54</v>
      </c>
      <c r="D162" s="38" t="s">
        <v>822</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customHeight="1" x14ac:dyDescent="0.25">
      <c r="A163" s="38">
        <v>173</v>
      </c>
      <c r="B163" s="38" t="s">
        <v>57</v>
      </c>
      <c r="C163" s="38" t="s">
        <v>54</v>
      </c>
      <c r="D163" s="38" t="s">
        <v>822</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customHeight="1" x14ac:dyDescent="0.25">
      <c r="A164" s="38">
        <v>174</v>
      </c>
      <c r="B164" s="38" t="s">
        <v>57</v>
      </c>
      <c r="C164" s="38" t="s">
        <v>54</v>
      </c>
      <c r="D164" s="38" t="s">
        <v>822</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customHeight="1" x14ac:dyDescent="0.25">
      <c r="A195" s="38">
        <v>208</v>
      </c>
      <c r="B195" s="38" t="s">
        <v>57</v>
      </c>
      <c r="C195" s="38" t="s">
        <v>57</v>
      </c>
      <c r="D195" s="38" t="s">
        <v>842</v>
      </c>
      <c r="E195" s="41" t="s">
        <v>839</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customHeight="1" x14ac:dyDescent="0.25">
      <c r="A196" s="38">
        <v>209</v>
      </c>
      <c r="B196" s="38" t="s">
        <v>57</v>
      </c>
      <c r="C196" s="38" t="s">
        <v>57</v>
      </c>
      <c r="D196" s="38" t="s">
        <v>843</v>
      </c>
      <c r="E196" s="41" t="s">
        <v>839</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customHeight="1" x14ac:dyDescent="0.25">
      <c r="A197" s="38">
        <v>210</v>
      </c>
      <c r="B197" s="38" t="s">
        <v>57</v>
      </c>
      <c r="C197" s="38" t="s">
        <v>57</v>
      </c>
      <c r="D197" s="38" t="s">
        <v>842</v>
      </c>
      <c r="E197" s="41" t="s">
        <v>841</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customHeight="1" x14ac:dyDescent="0.25">
      <c r="A198" s="38">
        <v>211</v>
      </c>
      <c r="B198" s="38" t="s">
        <v>57</v>
      </c>
      <c r="C198" s="38" t="s">
        <v>57</v>
      </c>
      <c r="D198" s="38" t="s">
        <v>843</v>
      </c>
      <c r="E198" s="41" t="s">
        <v>841</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customHeight="1" x14ac:dyDescent="0.25">
      <c r="A199" s="38">
        <v>212</v>
      </c>
      <c r="B199" s="38" t="s">
        <v>57</v>
      </c>
      <c r="C199" s="38" t="s">
        <v>57</v>
      </c>
      <c r="D199" s="38" t="s">
        <v>842</v>
      </c>
      <c r="E199" s="41" t="s">
        <v>840</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customHeight="1" x14ac:dyDescent="0.25">
      <c r="A200" s="38">
        <v>213</v>
      </c>
      <c r="B200" s="38" t="s">
        <v>57</v>
      </c>
      <c r="C200" s="38" t="s">
        <v>57</v>
      </c>
      <c r="D200" s="38" t="s">
        <v>843</v>
      </c>
      <c r="E200" s="41" t="s">
        <v>840</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customHeight="1" x14ac:dyDescent="0.25">
      <c r="A201" s="38">
        <v>214</v>
      </c>
      <c r="B201" s="38" t="s">
        <v>57</v>
      </c>
      <c r="C201" s="38" t="s">
        <v>57</v>
      </c>
      <c r="D201" s="38" t="s">
        <v>842</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customHeight="1" x14ac:dyDescent="0.25">
      <c r="A202" s="38">
        <v>215</v>
      </c>
      <c r="B202" s="38" t="s">
        <v>57</v>
      </c>
      <c r="C202" s="38" t="s">
        <v>57</v>
      </c>
      <c r="D202" s="38" t="s">
        <v>843</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customHeight="1" x14ac:dyDescent="0.25">
      <c r="A212" s="38">
        <v>226</v>
      </c>
      <c r="B212" s="38" t="s">
        <v>57</v>
      </c>
      <c r="C212" s="38" t="s">
        <v>161</v>
      </c>
      <c r="D212" s="38" t="s">
        <v>814</v>
      </c>
      <c r="E212" s="41" t="s">
        <v>810</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customHeight="1" x14ac:dyDescent="0.25">
      <c r="A213" s="38">
        <v>227</v>
      </c>
      <c r="B213" s="38" t="s">
        <v>57</v>
      </c>
      <c r="C213" s="38" t="s">
        <v>161</v>
      </c>
      <c r="D213" s="38" t="s">
        <v>814</v>
      </c>
      <c r="E213" s="41" t="s">
        <v>811</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customHeight="1" x14ac:dyDescent="0.25">
      <c r="A214" s="38">
        <v>228</v>
      </c>
      <c r="B214" s="38" t="s">
        <v>57</v>
      </c>
      <c r="C214" s="38" t="s">
        <v>161</v>
      </c>
      <c r="D214" s="38" t="s">
        <v>814</v>
      </c>
      <c r="E214" s="41" t="s">
        <v>812</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customHeight="1" x14ac:dyDescent="0.25">
      <c r="A215" s="38">
        <v>229</v>
      </c>
      <c r="B215" s="38" t="s">
        <v>57</v>
      </c>
      <c r="C215" s="38" t="s">
        <v>161</v>
      </c>
      <c r="D215" s="38" t="s">
        <v>814</v>
      </c>
      <c r="E215" s="41" t="s">
        <v>813</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customHeight="1" x14ac:dyDescent="0.25">
      <c r="A216" s="38">
        <v>230</v>
      </c>
      <c r="B216" s="38" t="s">
        <v>57</v>
      </c>
      <c r="C216" s="38" t="s">
        <v>161</v>
      </c>
      <c r="D216" s="38" t="s">
        <v>814</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customHeight="1" x14ac:dyDescent="0.25">
      <c r="A217" s="38">
        <v>231</v>
      </c>
      <c r="B217" s="38" t="s">
        <v>57</v>
      </c>
      <c r="C217" s="38" t="s">
        <v>161</v>
      </c>
      <c r="D217" s="38" t="s">
        <v>814</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customHeight="1" x14ac:dyDescent="0.25">
      <c r="A218" s="38">
        <v>232</v>
      </c>
      <c r="B218" s="38" t="s">
        <v>57</v>
      </c>
      <c r="C218" s="38" t="s">
        <v>161</v>
      </c>
      <c r="D218" s="38" t="s">
        <v>814</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customHeight="1" x14ac:dyDescent="0.25">
      <c r="A234" s="38">
        <v>248</v>
      </c>
      <c r="B234" s="38" t="s">
        <v>57</v>
      </c>
      <c r="C234" s="38" t="s">
        <v>57</v>
      </c>
      <c r="D234" s="38" t="s">
        <v>835</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customHeight="1" x14ac:dyDescent="0.25">
      <c r="A235" s="38">
        <v>249</v>
      </c>
      <c r="B235" s="38" t="s">
        <v>57</v>
      </c>
      <c r="C235" s="38" t="s">
        <v>57</v>
      </c>
      <c r="D235" s="38" t="s">
        <v>835</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customHeight="1" x14ac:dyDescent="0.25">
      <c r="A236" s="38">
        <v>250</v>
      </c>
      <c r="B236" s="38" t="s">
        <v>57</v>
      </c>
      <c r="C236" s="38" t="s">
        <v>57</v>
      </c>
      <c r="D236" s="38" t="s">
        <v>835</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customHeight="1" x14ac:dyDescent="0.25">
      <c r="A293" s="38">
        <v>315</v>
      </c>
      <c r="B293" s="38" t="s">
        <v>57</v>
      </c>
      <c r="C293" s="38" t="s">
        <v>57</v>
      </c>
      <c r="D293" s="38" t="s">
        <v>835</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customHeight="1" x14ac:dyDescent="0.25">
      <c r="A294" s="38">
        <v>316</v>
      </c>
      <c r="B294" s="38" t="s">
        <v>57</v>
      </c>
      <c r="C294" s="38" t="s">
        <v>57</v>
      </c>
      <c r="D294" s="38" t="s">
        <v>835</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customHeight="1" x14ac:dyDescent="0.25">
      <c r="A301" s="38">
        <v>325</v>
      </c>
      <c r="B301" s="38" t="s">
        <v>57</v>
      </c>
      <c r="C301" s="38" t="s">
        <v>57</v>
      </c>
      <c r="D301" s="38" t="s">
        <v>847</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customHeight="1" x14ac:dyDescent="0.25">
      <c r="A302" s="38">
        <v>326</v>
      </c>
      <c r="B302" s="38" t="s">
        <v>57</v>
      </c>
      <c r="C302" s="38" t="s">
        <v>57</v>
      </c>
      <c r="D302" s="38" t="s">
        <v>848</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customHeight="1" x14ac:dyDescent="0.25">
      <c r="A306" s="38">
        <v>330</v>
      </c>
      <c r="B306" s="38" t="s">
        <v>57</v>
      </c>
      <c r="C306" s="38" t="s">
        <v>57</v>
      </c>
      <c r="D306" s="38" t="s">
        <v>838</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x14ac:dyDescent="0.25">
      <c r="A318" s="38">
        <v>342</v>
      </c>
      <c r="B318" s="38" t="s">
        <v>36</v>
      </c>
      <c r="C318" s="38" t="s">
        <v>430</v>
      </c>
      <c r="D318" s="38" t="s">
        <v>805</v>
      </c>
      <c r="E318" s="38" t="s">
        <v>46</v>
      </c>
      <c r="F318" s="35" t="s">
        <v>567</v>
      </c>
      <c r="I318" s="35" t="s">
        <v>532</v>
      </c>
      <c r="J318" s="83">
        <f>VLOOKUP($A318, Stat!$A$1:$C$501, 2,0)</f>
        <v>3</v>
      </c>
      <c r="K318" s="82">
        <f>VLOOKUP($A318, Stat!$A$1:$C$501, 3,0)</f>
        <v>1</v>
      </c>
      <c r="S318" s="38">
        <v>0</v>
      </c>
      <c r="T318" s="38">
        <v>0</v>
      </c>
      <c r="V318" s="38" t="s">
        <v>427</v>
      </c>
      <c r="X318" s="38">
        <v>1</v>
      </c>
    </row>
    <row r="319" spans="1:24" x14ac:dyDescent="0.25">
      <c r="A319" s="38">
        <v>343</v>
      </c>
      <c r="B319" s="38" t="s">
        <v>36</v>
      </c>
      <c r="C319" s="38" t="s">
        <v>430</v>
      </c>
      <c r="D319" s="38" t="s">
        <v>805</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x14ac:dyDescent="0.25">
      <c r="A323" s="38">
        <v>347</v>
      </c>
      <c r="B323" s="38" t="s">
        <v>57</v>
      </c>
      <c r="C323" s="38" t="s">
        <v>57</v>
      </c>
      <c r="D323" s="38" t="s">
        <v>835</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x14ac:dyDescent="0.25">
      <c r="A333" s="38">
        <v>360</v>
      </c>
      <c r="B333" s="38" t="s">
        <v>36</v>
      </c>
      <c r="C333" s="38" t="s">
        <v>430</v>
      </c>
      <c r="D333" s="38" t="s">
        <v>803</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x14ac:dyDescent="0.25">
      <c r="A334" s="38">
        <v>361</v>
      </c>
      <c r="B334" s="38" t="s">
        <v>36</v>
      </c>
      <c r="C334" s="38" t="s">
        <v>430</v>
      </c>
      <c r="D334" s="38" t="s">
        <v>803</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x14ac:dyDescent="0.25">
      <c r="A335" s="38">
        <v>362</v>
      </c>
      <c r="B335" s="38" t="s">
        <v>36</v>
      </c>
      <c r="C335" s="38" t="s">
        <v>430</v>
      </c>
      <c r="D335" s="38" t="s">
        <v>803</v>
      </c>
      <c r="E335" s="38" t="s">
        <v>20</v>
      </c>
      <c r="F335" s="35" t="s">
        <v>567</v>
      </c>
      <c r="I335" s="35" t="s">
        <v>532</v>
      </c>
      <c r="J335" s="82">
        <f>VLOOKUP($A335, Stat!$A$1:$C$501, 2,0)</f>
        <v>4</v>
      </c>
      <c r="K335" s="82">
        <f>VLOOKUP($A335, Stat!$A$1:$C$501, 3,0)</f>
        <v>1</v>
      </c>
      <c r="S335" s="38">
        <v>0</v>
      </c>
      <c r="T335" s="38">
        <v>0</v>
      </c>
      <c r="V335" s="38" t="s">
        <v>426</v>
      </c>
      <c r="X335" s="38">
        <v>1</v>
      </c>
    </row>
    <row r="336" spans="1:24" x14ac:dyDescent="0.25">
      <c r="A336" s="38">
        <v>363</v>
      </c>
      <c r="B336" s="38" t="s">
        <v>36</v>
      </c>
      <c r="C336" s="38" t="s">
        <v>430</v>
      </c>
      <c r="D336" s="38" t="s">
        <v>804</v>
      </c>
      <c r="E336" s="38" t="s">
        <v>20</v>
      </c>
      <c r="F336" s="35" t="s">
        <v>567</v>
      </c>
      <c r="I336" s="35" t="s">
        <v>532</v>
      </c>
      <c r="J336" s="82">
        <f>VLOOKUP($A336, Stat!$A$1:$C$501, 2,0)</f>
        <v>8</v>
      </c>
      <c r="K336" s="82">
        <f>VLOOKUP($A336, Stat!$A$1:$C$501, 3,0)</f>
        <v>2</v>
      </c>
      <c r="S336" s="38">
        <v>0</v>
      </c>
      <c r="T336" s="38">
        <v>0</v>
      </c>
      <c r="V336" s="38" t="s">
        <v>424</v>
      </c>
      <c r="X336" s="38">
        <v>1</v>
      </c>
    </row>
    <row r="337" spans="1:24" x14ac:dyDescent="0.25">
      <c r="A337" s="38">
        <v>364</v>
      </c>
      <c r="B337" s="38" t="s">
        <v>36</v>
      </c>
      <c r="C337" s="38" t="s">
        <v>430</v>
      </c>
      <c r="D337" s="38" t="s">
        <v>805</v>
      </c>
      <c r="E337" s="38" t="s">
        <v>20</v>
      </c>
      <c r="F337" s="35" t="s">
        <v>567</v>
      </c>
      <c r="I337" s="35" t="s">
        <v>532</v>
      </c>
      <c r="J337" s="82">
        <f>VLOOKUP($A337, Stat!$A$1:$C$501, 2,0)</f>
        <v>1</v>
      </c>
      <c r="K337" s="82">
        <f>VLOOKUP($A337, Stat!$A$1:$C$501, 3,0)</f>
        <v>1</v>
      </c>
      <c r="S337" s="38">
        <v>0</v>
      </c>
      <c r="T337" s="38">
        <v>0</v>
      </c>
      <c r="V337" s="38" t="s">
        <v>427</v>
      </c>
      <c r="X337" s="38">
        <v>1</v>
      </c>
    </row>
    <row r="338" spans="1:24" x14ac:dyDescent="0.25">
      <c r="A338" s="38">
        <v>365</v>
      </c>
      <c r="B338" s="38" t="s">
        <v>36</v>
      </c>
      <c r="C338" s="38" t="s">
        <v>430</v>
      </c>
      <c r="D338" s="38" t="s">
        <v>802</v>
      </c>
      <c r="E338" s="38" t="s">
        <v>46</v>
      </c>
      <c r="F338" s="35" t="s">
        <v>567</v>
      </c>
      <c r="I338" s="35" t="s">
        <v>532</v>
      </c>
      <c r="J338" s="82">
        <f>VLOOKUP($A338, Stat!$A$1:$C$501, 2,0)</f>
        <v>18</v>
      </c>
      <c r="K338" s="82">
        <f>VLOOKUP($A338, Stat!$A$1:$C$501, 3,0)</f>
        <v>4</v>
      </c>
      <c r="S338" s="38">
        <v>40</v>
      </c>
      <c r="T338" s="38">
        <v>0</v>
      </c>
      <c r="V338" s="38" t="s">
        <v>425</v>
      </c>
      <c r="X338" s="38">
        <v>1</v>
      </c>
    </row>
    <row r="339" spans="1:24" x14ac:dyDescent="0.25">
      <c r="A339" s="38">
        <v>366</v>
      </c>
      <c r="B339" s="38" t="s">
        <v>36</v>
      </c>
      <c r="C339" s="38" t="s">
        <v>430</v>
      </c>
      <c r="D339" s="38" t="s">
        <v>802</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x14ac:dyDescent="0.25">
      <c r="A340" s="38">
        <v>367</v>
      </c>
      <c r="B340" s="38" t="s">
        <v>36</v>
      </c>
      <c r="C340" s="38" t="s">
        <v>430</v>
      </c>
      <c r="D340" s="38" t="s">
        <v>802</v>
      </c>
      <c r="E340" s="38" t="s">
        <v>20</v>
      </c>
      <c r="F340" s="35" t="s">
        <v>567</v>
      </c>
      <c r="I340" s="35" t="s">
        <v>532</v>
      </c>
      <c r="J340" s="82">
        <f>VLOOKUP($A340, Stat!$A$1:$C$501, 2,0)</f>
        <v>6</v>
      </c>
      <c r="K340" s="82">
        <f>VLOOKUP($A340, Stat!$A$1:$C$501, 3,0)</f>
        <v>4</v>
      </c>
      <c r="S340" s="38">
        <v>0</v>
      </c>
      <c r="T340" s="38">
        <v>0</v>
      </c>
      <c r="V340" s="38" t="s">
        <v>425</v>
      </c>
      <c r="X340" s="38">
        <v>1</v>
      </c>
    </row>
    <row r="341" spans="1:24" x14ac:dyDescent="0.25">
      <c r="A341" s="38">
        <v>368</v>
      </c>
      <c r="B341" s="38" t="s">
        <v>36</v>
      </c>
      <c r="C341" s="38" t="s">
        <v>430</v>
      </c>
      <c r="D341" s="38" t="s">
        <v>801</v>
      </c>
      <c r="E341" s="38" t="s">
        <v>46</v>
      </c>
      <c r="F341" s="35" t="s">
        <v>567</v>
      </c>
      <c r="I341" s="35" t="s">
        <v>532</v>
      </c>
      <c r="J341" s="82">
        <f>VLOOKUP($A341, Stat!$A$1:$C$501, 2,0)</f>
        <v>5</v>
      </c>
      <c r="K341" s="82">
        <f>VLOOKUP($A341, Stat!$A$1:$C$501, 3,0)</f>
        <v>2</v>
      </c>
      <c r="S341" s="38">
        <v>0</v>
      </c>
      <c r="T341" s="38">
        <v>0</v>
      </c>
      <c r="V341" s="38" t="s">
        <v>425</v>
      </c>
      <c r="X341" s="38">
        <v>1</v>
      </c>
    </row>
    <row r="342" spans="1:24" x14ac:dyDescent="0.25">
      <c r="A342" s="38">
        <v>369</v>
      </c>
      <c r="B342" s="38" t="s">
        <v>36</v>
      </c>
      <c r="C342" s="38" t="s">
        <v>430</v>
      </c>
      <c r="D342" s="38" t="s">
        <v>801</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x14ac:dyDescent="0.25">
      <c r="A343" s="38">
        <v>370</v>
      </c>
      <c r="B343" s="38" t="s">
        <v>36</v>
      </c>
      <c r="C343" s="38" t="s">
        <v>430</v>
      </c>
      <c r="D343" s="38" t="s">
        <v>801</v>
      </c>
      <c r="E343" s="38" t="s">
        <v>20</v>
      </c>
      <c r="F343" s="35" t="s">
        <v>567</v>
      </c>
      <c r="I343" s="35" t="s">
        <v>532</v>
      </c>
      <c r="J343" s="82">
        <f>VLOOKUP($A343, Stat!$A$1:$C$501, 2,0)</f>
        <v>3</v>
      </c>
      <c r="K343" s="82">
        <f>VLOOKUP($A343, Stat!$A$1:$C$501, 3,0)</f>
        <v>2</v>
      </c>
      <c r="S343" s="38">
        <v>0</v>
      </c>
      <c r="T343" s="38">
        <v>0</v>
      </c>
      <c r="V343" s="38" t="s">
        <v>425</v>
      </c>
      <c r="X343" s="38">
        <v>1</v>
      </c>
    </row>
    <row r="344" spans="1:24"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x14ac:dyDescent="0.25">
      <c r="A347" s="38">
        <v>374</v>
      </c>
      <c r="B347" s="38" t="s">
        <v>57</v>
      </c>
      <c r="C347" s="38" t="s">
        <v>57</v>
      </c>
      <c r="D347" s="38" t="s">
        <v>835</v>
      </c>
      <c r="E347" s="38" t="s">
        <v>436</v>
      </c>
      <c r="F347" s="34">
        <v>7</v>
      </c>
      <c r="G347" s="34">
        <v>1</v>
      </c>
      <c r="H347" s="34">
        <v>1</v>
      </c>
      <c r="J347" s="82">
        <f>VLOOKUP($A347, Stat!$A$1:$C$501, 2,0)</f>
        <v>20</v>
      </c>
      <c r="K347" s="82">
        <f>VLOOKUP($A347, Stat!$A$1:$C$501, 3,0)</f>
        <v>7</v>
      </c>
      <c r="L347" s="34">
        <v>1</v>
      </c>
      <c r="S347" s="38">
        <v>0</v>
      </c>
      <c r="T347" s="38">
        <v>1</v>
      </c>
      <c r="V347" s="38" t="s">
        <v>337</v>
      </c>
      <c r="W347" s="38" t="s">
        <v>437</v>
      </c>
      <c r="X347" s="38">
        <v>1</v>
      </c>
    </row>
    <row r="348" spans="1:24" x14ac:dyDescent="0.25">
      <c r="A348" s="38">
        <v>375</v>
      </c>
      <c r="B348" s="38" t="s">
        <v>38</v>
      </c>
      <c r="C348" s="38" t="s">
        <v>15</v>
      </c>
      <c r="D348" s="38" t="s">
        <v>809</v>
      </c>
      <c r="E348" s="38" t="s">
        <v>693</v>
      </c>
      <c r="F348" s="34">
        <v>1</v>
      </c>
      <c r="J348" s="82">
        <f>VLOOKUP($A348, Stat!$A$1:$C$501, 2,0)</f>
        <v>39</v>
      </c>
      <c r="K348" s="86">
        <f>VLOOKUP($A348, Stat!$A$1:$C$501, 3,0)</f>
        <v>0</v>
      </c>
      <c r="S348" s="38">
        <v>30</v>
      </c>
      <c r="T348" s="38">
        <v>0</v>
      </c>
      <c r="W348" s="38" t="s">
        <v>440</v>
      </c>
      <c r="X348" s="38">
        <v>1</v>
      </c>
    </row>
    <row r="349" spans="1:24" x14ac:dyDescent="0.25">
      <c r="A349" s="38">
        <v>376</v>
      </c>
      <c r="B349" s="38" t="s">
        <v>57</v>
      </c>
      <c r="C349" s="38" t="s">
        <v>57</v>
      </c>
      <c r="D349" s="38" t="s">
        <v>835</v>
      </c>
      <c r="E349" s="38" t="s">
        <v>443</v>
      </c>
      <c r="F349" s="34">
        <v>7</v>
      </c>
      <c r="G349" s="34">
        <v>1</v>
      </c>
      <c r="H349" s="34">
        <v>1</v>
      </c>
      <c r="J349" s="82">
        <f>VLOOKUP($A349, Stat!$A$1:$C$501, 2,0)</f>
        <v>7</v>
      </c>
      <c r="K349" s="82">
        <f>VLOOKUP($A349, Stat!$A$1:$C$501, 3,0)</f>
        <v>4</v>
      </c>
      <c r="L349" s="34">
        <v>1</v>
      </c>
      <c r="S349" s="38">
        <v>0</v>
      </c>
      <c r="T349" s="38">
        <v>1</v>
      </c>
      <c r="V349" s="38" t="s">
        <v>337</v>
      </c>
      <c r="W349" s="38" t="s">
        <v>442</v>
      </c>
      <c r="X349" s="38">
        <v>1</v>
      </c>
    </row>
    <row r="350" spans="1:24"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x14ac:dyDescent="0.25">
      <c r="A356" s="38">
        <v>383</v>
      </c>
      <c r="B356" s="38" t="s">
        <v>38</v>
      </c>
      <c r="C356" s="38" t="s">
        <v>15</v>
      </c>
      <c r="D356" s="38" t="s">
        <v>806</v>
      </c>
      <c r="E356" s="38" t="s">
        <v>807</v>
      </c>
      <c r="F356" s="34">
        <v>1</v>
      </c>
      <c r="J356" s="82">
        <f>VLOOKUP($A356, Stat!$A$1:$C$501, 2,0)</f>
        <v>176</v>
      </c>
      <c r="K356" s="86">
        <f>VLOOKUP($A356, Stat!$A$1:$C$501, 3,0)</f>
        <v>0</v>
      </c>
      <c r="S356" s="38">
        <v>60</v>
      </c>
      <c r="T356" s="38">
        <v>0</v>
      </c>
      <c r="W356" s="38" t="s">
        <v>782</v>
      </c>
      <c r="X356" s="38">
        <v>1</v>
      </c>
    </row>
    <row r="357" spans="1:24"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x14ac:dyDescent="0.25">
      <c r="A358" s="38">
        <v>385</v>
      </c>
      <c r="B358" s="38" t="s">
        <v>57</v>
      </c>
      <c r="C358" s="38" t="s">
        <v>57</v>
      </c>
      <c r="D358" s="38" t="s">
        <v>835</v>
      </c>
      <c r="E358" s="38" t="s">
        <v>459</v>
      </c>
      <c r="F358" s="34">
        <v>7</v>
      </c>
      <c r="G358" s="34">
        <v>1</v>
      </c>
      <c r="H358" s="34">
        <v>1</v>
      </c>
      <c r="L358" s="34">
        <v>1</v>
      </c>
      <c r="S358" s="38">
        <v>60</v>
      </c>
      <c r="T358" s="38">
        <v>0</v>
      </c>
      <c r="V358" s="38" t="s">
        <v>337</v>
      </c>
      <c r="W358" s="38" t="s">
        <v>461</v>
      </c>
      <c r="X358" s="38">
        <v>1</v>
      </c>
    </row>
    <row r="359" spans="1:24"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x14ac:dyDescent="0.25">
      <c r="A360" s="38">
        <v>387</v>
      </c>
      <c r="B360" s="38" t="s">
        <v>57</v>
      </c>
      <c r="C360" s="38" t="s">
        <v>57</v>
      </c>
      <c r="D360" s="38" t="s">
        <v>466</v>
      </c>
      <c r="E360" s="38" t="s">
        <v>467</v>
      </c>
      <c r="S360" s="38">
        <v>0</v>
      </c>
      <c r="T360" s="38">
        <v>1</v>
      </c>
      <c r="W360" s="38" t="s">
        <v>748</v>
      </c>
      <c r="X360" s="38">
        <v>1</v>
      </c>
    </row>
    <row r="361" spans="1:24" x14ac:dyDescent="0.25">
      <c r="A361" s="38">
        <v>388</v>
      </c>
      <c r="B361" s="38" t="s">
        <v>57</v>
      </c>
      <c r="C361" s="38" t="s">
        <v>57</v>
      </c>
      <c r="D361" s="38" t="s">
        <v>466</v>
      </c>
      <c r="E361" s="38" t="s">
        <v>627</v>
      </c>
      <c r="S361" s="38">
        <v>60</v>
      </c>
      <c r="T361" s="38">
        <v>0</v>
      </c>
      <c r="W361" s="38" t="s">
        <v>749</v>
      </c>
      <c r="X361" s="38">
        <v>1</v>
      </c>
    </row>
    <row r="362" spans="1:24" x14ac:dyDescent="0.25">
      <c r="A362" s="38">
        <v>389</v>
      </c>
      <c r="B362" s="38" t="s">
        <v>57</v>
      </c>
      <c r="C362" s="38" t="s">
        <v>57</v>
      </c>
      <c r="D362" s="38" t="s">
        <v>574</v>
      </c>
      <c r="E362" s="38">
        <v>3</v>
      </c>
      <c r="F362" s="34">
        <v>9</v>
      </c>
      <c r="G362" s="34">
        <v>1</v>
      </c>
      <c r="I362" s="34" t="s">
        <v>574</v>
      </c>
      <c r="S362" s="38">
        <v>0</v>
      </c>
      <c r="T362" s="38">
        <v>1</v>
      </c>
      <c r="V362" s="38" t="s">
        <v>846</v>
      </c>
      <c r="X362" s="38">
        <v>1</v>
      </c>
    </row>
    <row r="363" spans="1:24" x14ac:dyDescent="0.25">
      <c r="A363" s="38">
        <v>390</v>
      </c>
      <c r="B363" s="38" t="s">
        <v>57</v>
      </c>
      <c r="C363" s="38" t="s">
        <v>57</v>
      </c>
      <c r="D363" s="38" t="s">
        <v>574</v>
      </c>
      <c r="E363" s="38" t="s">
        <v>844</v>
      </c>
      <c r="F363" s="34">
        <v>9</v>
      </c>
      <c r="G363" s="34">
        <v>1</v>
      </c>
      <c r="I363" s="34" t="s">
        <v>574</v>
      </c>
      <c r="S363" s="38">
        <v>60</v>
      </c>
      <c r="T363" s="38">
        <v>0</v>
      </c>
      <c r="V363" s="38" t="s">
        <v>846</v>
      </c>
      <c r="X363" s="38">
        <v>1</v>
      </c>
    </row>
    <row r="364" spans="1:24" x14ac:dyDescent="0.25">
      <c r="A364" s="38">
        <v>391</v>
      </c>
      <c r="B364" s="38" t="s">
        <v>36</v>
      </c>
      <c r="C364" s="38" t="s">
        <v>579</v>
      </c>
      <c r="D364" s="38" t="s">
        <v>590</v>
      </c>
      <c r="E364" s="38" t="s">
        <v>2</v>
      </c>
      <c r="F364" s="35" t="s">
        <v>229</v>
      </c>
      <c r="P364" s="35" t="s">
        <v>601</v>
      </c>
      <c r="S364" s="38">
        <v>0</v>
      </c>
      <c r="T364" s="38">
        <v>1</v>
      </c>
      <c r="V364" s="38" t="s">
        <v>660</v>
      </c>
      <c r="X364" s="38">
        <v>1</v>
      </c>
    </row>
    <row r="365" spans="1:24" x14ac:dyDescent="0.25">
      <c r="A365" s="38">
        <v>392</v>
      </c>
      <c r="B365" s="38" t="s">
        <v>36</v>
      </c>
      <c r="C365" s="38" t="s">
        <v>579</v>
      </c>
      <c r="D365" s="38" t="s">
        <v>590</v>
      </c>
      <c r="E365" s="38" t="s">
        <v>3</v>
      </c>
      <c r="F365" s="35" t="s">
        <v>229</v>
      </c>
      <c r="P365" s="35" t="s">
        <v>611</v>
      </c>
      <c r="S365" s="38">
        <v>0</v>
      </c>
      <c r="T365" s="38">
        <v>0</v>
      </c>
      <c r="V365" s="38" t="s">
        <v>660</v>
      </c>
      <c r="X365" s="38">
        <v>1</v>
      </c>
    </row>
    <row r="366" spans="1:24" x14ac:dyDescent="0.25">
      <c r="A366" s="38">
        <v>393</v>
      </c>
      <c r="B366" s="38" t="s">
        <v>36</v>
      </c>
      <c r="C366" s="38" t="s">
        <v>579</v>
      </c>
      <c r="D366" s="38" t="s">
        <v>590</v>
      </c>
      <c r="E366" s="38" t="s">
        <v>4</v>
      </c>
      <c r="F366" s="35" t="s">
        <v>229</v>
      </c>
      <c r="P366" s="35" t="s">
        <v>612</v>
      </c>
      <c r="S366" s="38">
        <v>60</v>
      </c>
      <c r="T366" s="38">
        <v>0</v>
      </c>
      <c r="V366" s="38" t="s">
        <v>660</v>
      </c>
      <c r="X366" s="38">
        <v>1</v>
      </c>
    </row>
    <row r="367" spans="1:24" x14ac:dyDescent="0.25">
      <c r="A367" s="38">
        <v>394</v>
      </c>
      <c r="B367" s="38" t="s">
        <v>36</v>
      </c>
      <c r="C367" s="38" t="s">
        <v>579</v>
      </c>
      <c r="D367" s="38" t="s">
        <v>590</v>
      </c>
      <c r="E367" s="38" t="s">
        <v>48</v>
      </c>
      <c r="F367" s="35" t="s">
        <v>229</v>
      </c>
      <c r="P367" s="35" t="s">
        <v>613</v>
      </c>
      <c r="S367" s="38">
        <v>100</v>
      </c>
      <c r="T367" s="38">
        <v>0</v>
      </c>
      <c r="V367" s="38" t="s">
        <v>660</v>
      </c>
      <c r="X367" s="38">
        <v>1</v>
      </c>
    </row>
    <row r="368" spans="1:24" x14ac:dyDescent="0.25">
      <c r="A368" s="38">
        <v>398</v>
      </c>
      <c r="B368" s="38" t="s">
        <v>36</v>
      </c>
      <c r="C368" s="38" t="s">
        <v>579</v>
      </c>
      <c r="D368" s="38" t="s">
        <v>592</v>
      </c>
      <c r="E368" s="38" t="s">
        <v>2</v>
      </c>
      <c r="F368" s="35" t="s">
        <v>229</v>
      </c>
      <c r="P368" s="35" t="s">
        <v>580</v>
      </c>
      <c r="S368" s="38">
        <v>0</v>
      </c>
      <c r="T368" s="38">
        <v>1</v>
      </c>
      <c r="V368" s="38" t="s">
        <v>662</v>
      </c>
      <c r="X368" s="38">
        <v>1</v>
      </c>
    </row>
    <row r="369" spans="1:24" x14ac:dyDescent="0.25">
      <c r="A369" s="38">
        <v>399</v>
      </c>
      <c r="B369" s="38" t="s">
        <v>36</v>
      </c>
      <c r="C369" s="38" t="s">
        <v>579</v>
      </c>
      <c r="D369" s="38" t="s">
        <v>592</v>
      </c>
      <c r="E369" s="38" t="s">
        <v>3</v>
      </c>
      <c r="F369" s="35" t="s">
        <v>229</v>
      </c>
      <c r="P369" s="35" t="s">
        <v>581</v>
      </c>
      <c r="S369" s="38">
        <v>0</v>
      </c>
      <c r="T369" s="38">
        <v>0</v>
      </c>
      <c r="V369" s="38" t="s">
        <v>662</v>
      </c>
      <c r="X369" s="38">
        <v>1</v>
      </c>
    </row>
    <row r="370" spans="1:24" x14ac:dyDescent="0.25">
      <c r="A370" s="38">
        <v>400</v>
      </c>
      <c r="B370" s="38" t="s">
        <v>36</v>
      </c>
      <c r="C370" s="38" t="s">
        <v>579</v>
      </c>
      <c r="D370" s="38" t="s">
        <v>592</v>
      </c>
      <c r="E370" s="38" t="s">
        <v>4</v>
      </c>
      <c r="F370" s="35" t="s">
        <v>229</v>
      </c>
      <c r="P370" s="35" t="s">
        <v>582</v>
      </c>
      <c r="S370" s="38">
        <v>100</v>
      </c>
      <c r="T370" s="38">
        <v>0</v>
      </c>
      <c r="V370" s="38" t="s">
        <v>662</v>
      </c>
      <c r="X370" s="38">
        <v>1</v>
      </c>
    </row>
    <row r="371" spans="1:24" x14ac:dyDescent="0.25">
      <c r="A371" s="38">
        <v>401</v>
      </c>
      <c r="B371" s="38" t="s">
        <v>36</v>
      </c>
      <c r="C371" s="38" t="s">
        <v>579</v>
      </c>
      <c r="D371" s="38" t="s">
        <v>592</v>
      </c>
      <c r="E371" s="38" t="s">
        <v>48</v>
      </c>
      <c r="F371" s="35" t="s">
        <v>229</v>
      </c>
      <c r="P371" s="35" t="s">
        <v>583</v>
      </c>
      <c r="S371" s="38">
        <v>100</v>
      </c>
      <c r="T371" s="38">
        <v>0</v>
      </c>
      <c r="V371" s="38" t="s">
        <v>662</v>
      </c>
      <c r="X371" s="38">
        <v>1</v>
      </c>
    </row>
    <row r="372" spans="1:24" x14ac:dyDescent="0.25">
      <c r="A372" s="38">
        <v>402</v>
      </c>
      <c r="B372" s="38" t="s">
        <v>36</v>
      </c>
      <c r="C372" s="38" t="s">
        <v>12</v>
      </c>
      <c r="D372" s="38" t="s">
        <v>882</v>
      </c>
      <c r="E372" s="38" t="s">
        <v>322</v>
      </c>
      <c r="F372" s="34">
        <v>3</v>
      </c>
      <c r="L372" s="34">
        <v>1</v>
      </c>
      <c r="S372" s="38">
        <v>60</v>
      </c>
      <c r="T372" s="38">
        <v>0</v>
      </c>
      <c r="U372" s="38">
        <v>5</v>
      </c>
      <c r="V372" s="38" t="s">
        <v>675</v>
      </c>
      <c r="W372" s="38" t="s">
        <v>324</v>
      </c>
      <c r="X372" s="38">
        <v>1</v>
      </c>
    </row>
    <row r="373" spans="1:24" x14ac:dyDescent="0.25">
      <c r="A373" s="38">
        <v>403</v>
      </c>
      <c r="B373" s="38" t="s">
        <v>36</v>
      </c>
      <c r="C373" s="38" t="s">
        <v>12</v>
      </c>
      <c r="D373" s="38" t="s">
        <v>882</v>
      </c>
      <c r="E373" s="38" t="s">
        <v>320</v>
      </c>
      <c r="F373" s="34">
        <v>3</v>
      </c>
      <c r="L373" s="34">
        <v>1</v>
      </c>
      <c r="S373" s="38">
        <v>0</v>
      </c>
      <c r="T373" s="38">
        <v>0</v>
      </c>
      <c r="U373" s="38">
        <v>5</v>
      </c>
      <c r="V373" s="38" t="s">
        <v>675</v>
      </c>
      <c r="W373" s="38" t="s">
        <v>323</v>
      </c>
      <c r="X373" s="38">
        <v>1</v>
      </c>
    </row>
    <row r="374" spans="1:24" x14ac:dyDescent="0.25">
      <c r="A374" s="38">
        <v>404</v>
      </c>
      <c r="B374" s="38" t="s">
        <v>36</v>
      </c>
      <c r="C374" s="38" t="s">
        <v>12</v>
      </c>
      <c r="D374" s="38" t="s">
        <v>882</v>
      </c>
      <c r="E374" s="38" t="s">
        <v>321</v>
      </c>
      <c r="F374" s="34">
        <v>3</v>
      </c>
      <c r="L374" s="34">
        <v>1</v>
      </c>
      <c r="S374" s="38">
        <v>0</v>
      </c>
      <c r="T374" s="38">
        <v>1</v>
      </c>
      <c r="U374" s="38">
        <v>5</v>
      </c>
      <c r="V374" s="38" t="s">
        <v>675</v>
      </c>
      <c r="X374" s="38">
        <v>1</v>
      </c>
    </row>
    <row r="375" spans="1:24" x14ac:dyDescent="0.25">
      <c r="A375" s="38">
        <v>411</v>
      </c>
      <c r="B375" s="38" t="s">
        <v>36</v>
      </c>
      <c r="C375" s="38" t="s">
        <v>12</v>
      </c>
      <c r="D375" s="38" t="s">
        <v>883</v>
      </c>
      <c r="E375" s="38" t="s">
        <v>322</v>
      </c>
      <c r="F375" s="34">
        <v>3</v>
      </c>
      <c r="L375" s="34">
        <v>1</v>
      </c>
      <c r="S375" s="38">
        <v>60</v>
      </c>
      <c r="T375" s="38">
        <v>0</v>
      </c>
      <c r="U375" s="38">
        <v>5</v>
      </c>
      <c r="V375" s="38" t="s">
        <v>676</v>
      </c>
      <c r="W375" s="38" t="s">
        <v>324</v>
      </c>
      <c r="X375" s="38">
        <v>1</v>
      </c>
    </row>
    <row r="376" spans="1:24" x14ac:dyDescent="0.25">
      <c r="A376" s="38">
        <v>412</v>
      </c>
      <c r="B376" s="38" t="s">
        <v>36</v>
      </c>
      <c r="C376" s="38" t="s">
        <v>12</v>
      </c>
      <c r="D376" s="38" t="s">
        <v>883</v>
      </c>
      <c r="E376" s="38" t="s">
        <v>320</v>
      </c>
      <c r="F376" s="34">
        <v>3</v>
      </c>
      <c r="L376" s="34">
        <v>1</v>
      </c>
      <c r="S376" s="38">
        <v>60</v>
      </c>
      <c r="T376" s="38">
        <v>0</v>
      </c>
      <c r="U376" s="38">
        <v>5</v>
      </c>
      <c r="V376" s="38" t="s">
        <v>676</v>
      </c>
      <c r="W376" s="38" t="s">
        <v>323</v>
      </c>
      <c r="X376" s="38">
        <v>1</v>
      </c>
    </row>
    <row r="377" spans="1:24" x14ac:dyDescent="0.25">
      <c r="A377" s="38">
        <v>413</v>
      </c>
      <c r="B377" s="38" t="s">
        <v>36</v>
      </c>
      <c r="C377" s="38" t="s">
        <v>12</v>
      </c>
      <c r="D377" s="38" t="s">
        <v>883</v>
      </c>
      <c r="E377" s="38" t="s">
        <v>321</v>
      </c>
      <c r="F377" s="34">
        <v>3</v>
      </c>
      <c r="L377" s="34">
        <v>1</v>
      </c>
      <c r="N377" s="34">
        <v>999</v>
      </c>
      <c r="S377" s="38">
        <v>0</v>
      </c>
      <c r="T377" s="38">
        <v>0</v>
      </c>
      <c r="U377" s="38">
        <v>5</v>
      </c>
      <c r="V377" s="38" t="s">
        <v>676</v>
      </c>
      <c r="X377" s="38">
        <v>1</v>
      </c>
    </row>
    <row r="378" spans="1:24" x14ac:dyDescent="0.25">
      <c r="A378" s="38">
        <v>414</v>
      </c>
      <c r="B378" s="38" t="s">
        <v>36</v>
      </c>
      <c r="C378" s="38" t="s">
        <v>579</v>
      </c>
      <c r="D378" s="38" t="s">
        <v>827</v>
      </c>
      <c r="E378" s="38" t="s">
        <v>2</v>
      </c>
      <c r="F378" s="34">
        <v>5</v>
      </c>
      <c r="S378" s="38">
        <v>0</v>
      </c>
      <c r="T378" s="38">
        <v>1</v>
      </c>
      <c r="V378" s="38" t="s">
        <v>597</v>
      </c>
      <c r="X378" s="38">
        <v>1</v>
      </c>
    </row>
    <row r="379" spans="1:24" x14ac:dyDescent="0.25">
      <c r="A379" s="38">
        <v>415</v>
      </c>
      <c r="B379" s="38" t="s">
        <v>36</v>
      </c>
      <c r="C379" s="38" t="s">
        <v>579</v>
      </c>
      <c r="D379" s="38" t="s">
        <v>827</v>
      </c>
      <c r="E379" s="38" t="s">
        <v>3</v>
      </c>
      <c r="F379" s="34">
        <v>5</v>
      </c>
      <c r="S379" s="38">
        <v>0</v>
      </c>
      <c r="T379" s="38">
        <v>1</v>
      </c>
      <c r="V379" s="38" t="s">
        <v>597</v>
      </c>
      <c r="X379" s="38">
        <v>1</v>
      </c>
    </row>
    <row r="380" spans="1:24" x14ac:dyDescent="0.25">
      <c r="A380" s="38">
        <v>416</v>
      </c>
      <c r="B380" s="38" t="s">
        <v>36</v>
      </c>
      <c r="C380" s="38" t="s">
        <v>579</v>
      </c>
      <c r="D380" s="38" t="s">
        <v>827</v>
      </c>
      <c r="E380" s="38" t="s">
        <v>4</v>
      </c>
      <c r="F380" s="34">
        <v>5</v>
      </c>
      <c r="S380" s="38">
        <v>0</v>
      </c>
      <c r="T380" s="38">
        <v>1</v>
      </c>
      <c r="V380" s="38" t="s">
        <v>597</v>
      </c>
      <c r="X380" s="38">
        <v>1</v>
      </c>
    </row>
    <row r="381" spans="1:24" x14ac:dyDescent="0.25">
      <c r="A381" s="38">
        <v>417</v>
      </c>
      <c r="B381" s="38" t="s">
        <v>36</v>
      </c>
      <c r="C381" s="38" t="s">
        <v>579</v>
      </c>
      <c r="D381" s="38" t="s">
        <v>827</v>
      </c>
      <c r="E381" s="38" t="s">
        <v>48</v>
      </c>
      <c r="F381" s="34">
        <v>5</v>
      </c>
      <c r="S381" s="38">
        <v>0</v>
      </c>
      <c r="T381" s="38">
        <v>1</v>
      </c>
      <c r="V381" s="38" t="s">
        <v>597</v>
      </c>
      <c r="X381" s="38">
        <v>1</v>
      </c>
    </row>
    <row r="382" spans="1:24" x14ac:dyDescent="0.25">
      <c r="A382" s="38">
        <v>418</v>
      </c>
      <c r="B382" s="38" t="s">
        <v>38</v>
      </c>
      <c r="C382" s="38" t="s">
        <v>15</v>
      </c>
      <c r="D382" s="38" t="s">
        <v>614</v>
      </c>
      <c r="E382" s="38" t="s">
        <v>616</v>
      </c>
      <c r="F382" s="34">
        <v>1</v>
      </c>
      <c r="S382" s="38">
        <v>0</v>
      </c>
      <c r="T382" s="38">
        <v>0</v>
      </c>
      <c r="W382" s="38" t="s">
        <v>619</v>
      </c>
      <c r="X382" s="38">
        <v>1</v>
      </c>
    </row>
    <row r="383" spans="1:24" x14ac:dyDescent="0.25">
      <c r="A383" s="38">
        <v>419</v>
      </c>
      <c r="B383" s="38" t="s">
        <v>57</v>
      </c>
      <c r="C383" s="38" t="s">
        <v>57</v>
      </c>
      <c r="D383" s="38" t="s">
        <v>139</v>
      </c>
      <c r="E383" s="38" t="s">
        <v>621</v>
      </c>
      <c r="S383" s="38">
        <v>0</v>
      </c>
      <c r="T383" s="38">
        <v>1</v>
      </c>
      <c r="W383" s="38" t="s">
        <v>624</v>
      </c>
      <c r="X383" s="38">
        <v>1</v>
      </c>
    </row>
    <row r="384" spans="1:24" x14ac:dyDescent="0.25">
      <c r="A384" s="38">
        <v>420</v>
      </c>
      <c r="B384" s="38" t="s">
        <v>57</v>
      </c>
      <c r="C384" s="38" t="s">
        <v>57</v>
      </c>
      <c r="D384" s="38" t="s">
        <v>139</v>
      </c>
      <c r="E384" s="38" t="s">
        <v>622</v>
      </c>
      <c r="S384" s="38">
        <v>0</v>
      </c>
      <c r="T384" s="38">
        <v>1</v>
      </c>
      <c r="W384" s="38" t="s">
        <v>625</v>
      </c>
      <c r="X384" s="38">
        <v>1</v>
      </c>
    </row>
    <row r="385" spans="1:24" x14ac:dyDescent="0.25">
      <c r="A385" s="38">
        <v>421</v>
      </c>
      <c r="B385" s="38" t="s">
        <v>57</v>
      </c>
      <c r="C385" s="38" t="s">
        <v>57</v>
      </c>
      <c r="D385" s="38" t="s">
        <v>393</v>
      </c>
      <c r="E385" s="38" t="s">
        <v>630</v>
      </c>
      <c r="S385" s="38">
        <v>60</v>
      </c>
      <c r="T385" s="38">
        <v>0</v>
      </c>
      <c r="V385" s="38" t="s">
        <v>736</v>
      </c>
      <c r="X385" s="38">
        <v>1</v>
      </c>
    </row>
    <row r="386" spans="1:24" x14ac:dyDescent="0.25">
      <c r="A386" s="38">
        <v>422</v>
      </c>
      <c r="B386" s="38" t="s">
        <v>57</v>
      </c>
      <c r="C386" s="38" t="s">
        <v>57</v>
      </c>
      <c r="D386" s="38" t="s">
        <v>394</v>
      </c>
      <c r="E386" s="38" t="s">
        <v>630</v>
      </c>
      <c r="S386" s="38">
        <v>100</v>
      </c>
      <c r="T386" s="38">
        <v>0</v>
      </c>
      <c r="V386" s="38" t="s">
        <v>736</v>
      </c>
      <c r="X386" s="38">
        <v>1</v>
      </c>
    </row>
    <row r="387" spans="1:24" x14ac:dyDescent="0.25">
      <c r="A387" s="38">
        <v>423</v>
      </c>
      <c r="B387" s="38" t="s">
        <v>57</v>
      </c>
      <c r="C387" s="38" t="s">
        <v>57</v>
      </c>
      <c r="D387" s="38" t="s">
        <v>393</v>
      </c>
      <c r="E387" s="38" t="s">
        <v>628</v>
      </c>
      <c r="S387" s="38">
        <v>100</v>
      </c>
      <c r="T387" s="38">
        <v>0</v>
      </c>
      <c r="V387" s="38" t="s">
        <v>736</v>
      </c>
      <c r="X387" s="38">
        <v>1</v>
      </c>
    </row>
    <row r="388" spans="1:24" x14ac:dyDescent="0.25">
      <c r="A388" s="38">
        <v>424</v>
      </c>
      <c r="B388" s="38" t="s">
        <v>57</v>
      </c>
      <c r="C388" s="38" t="s">
        <v>57</v>
      </c>
      <c r="D388" s="38" t="s">
        <v>394</v>
      </c>
      <c r="E388" s="38" t="s">
        <v>628</v>
      </c>
      <c r="S388" s="38">
        <v>100</v>
      </c>
      <c r="T388" s="38">
        <v>0</v>
      </c>
      <c r="V388" s="38" t="s">
        <v>736</v>
      </c>
      <c r="X388" s="38">
        <v>1</v>
      </c>
    </row>
    <row r="389" spans="1:24" x14ac:dyDescent="0.25">
      <c r="A389" s="38">
        <v>425</v>
      </c>
      <c r="B389" s="38" t="s">
        <v>57</v>
      </c>
      <c r="C389" s="38" t="s">
        <v>57</v>
      </c>
      <c r="D389" s="38" t="s">
        <v>393</v>
      </c>
      <c r="E389" s="38" t="s">
        <v>629</v>
      </c>
      <c r="S389" s="38">
        <v>100</v>
      </c>
      <c r="T389" s="38">
        <v>0</v>
      </c>
      <c r="V389" s="38" t="s">
        <v>736</v>
      </c>
      <c r="X389" s="38">
        <v>1</v>
      </c>
    </row>
    <row r="390" spans="1:24" x14ac:dyDescent="0.25">
      <c r="A390" s="38">
        <v>426</v>
      </c>
      <c r="B390" s="38" t="s">
        <v>57</v>
      </c>
      <c r="C390" s="38" t="s">
        <v>57</v>
      </c>
      <c r="D390" s="38" t="s">
        <v>394</v>
      </c>
      <c r="E390" s="38" t="s">
        <v>629</v>
      </c>
      <c r="S390" s="38">
        <v>100</v>
      </c>
      <c r="T390" s="38">
        <v>0</v>
      </c>
      <c r="V390" s="38" t="s">
        <v>736</v>
      </c>
      <c r="X390" s="38">
        <v>1</v>
      </c>
    </row>
    <row r="391" spans="1:24" x14ac:dyDescent="0.25">
      <c r="A391" s="38">
        <v>427</v>
      </c>
      <c r="B391" s="38" t="s">
        <v>57</v>
      </c>
      <c r="C391" s="38" t="s">
        <v>161</v>
      </c>
      <c r="D391" s="38" t="s">
        <v>281</v>
      </c>
      <c r="E391" s="38" t="s">
        <v>631</v>
      </c>
      <c r="S391" s="38">
        <v>60</v>
      </c>
      <c r="T391" s="38">
        <v>0</v>
      </c>
      <c r="V391" s="38" t="s">
        <v>767</v>
      </c>
      <c r="X391" s="38">
        <v>1</v>
      </c>
    </row>
    <row r="392" spans="1:24"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x14ac:dyDescent="0.25">
      <c r="A396" s="38">
        <v>432</v>
      </c>
      <c r="B396" s="38" t="s">
        <v>57</v>
      </c>
      <c r="C396" s="38" t="s">
        <v>54</v>
      </c>
      <c r="D396" s="38" t="s">
        <v>819</v>
      </c>
      <c r="E396" s="38" t="s">
        <v>649</v>
      </c>
      <c r="P396" s="34">
        <v>157</v>
      </c>
      <c r="S396" s="38">
        <v>0</v>
      </c>
      <c r="T396" s="38">
        <v>1</v>
      </c>
      <c r="W396" s="38" t="s">
        <v>184</v>
      </c>
      <c r="X396" s="38">
        <v>1</v>
      </c>
    </row>
    <row r="397" spans="1:24" x14ac:dyDescent="0.25">
      <c r="A397" s="38">
        <v>433</v>
      </c>
      <c r="B397" s="38" t="s">
        <v>38</v>
      </c>
      <c r="C397" s="38" t="s">
        <v>15</v>
      </c>
      <c r="D397" s="38" t="s">
        <v>806</v>
      </c>
      <c r="E397" s="38" t="s">
        <v>808</v>
      </c>
      <c r="F397" s="34">
        <v>1</v>
      </c>
      <c r="S397" s="38">
        <v>100</v>
      </c>
      <c r="T397" s="38">
        <v>0</v>
      </c>
      <c r="W397" s="38" t="s">
        <v>783</v>
      </c>
      <c r="X397" s="38">
        <v>1</v>
      </c>
    </row>
    <row r="398" spans="1:24" x14ac:dyDescent="0.25">
      <c r="A398" s="38">
        <v>434</v>
      </c>
      <c r="B398" s="38" t="s">
        <v>36</v>
      </c>
      <c r="C398" s="38" t="s">
        <v>14</v>
      </c>
      <c r="D398" s="38" t="s">
        <v>791</v>
      </c>
      <c r="E398" s="38" t="s">
        <v>284</v>
      </c>
      <c r="F398" s="34">
        <v>9</v>
      </c>
      <c r="I398" s="88" t="s">
        <v>483</v>
      </c>
      <c r="S398" s="38">
        <v>100</v>
      </c>
      <c r="T398" s="38">
        <v>0</v>
      </c>
      <c r="W398" s="38" t="s">
        <v>685</v>
      </c>
      <c r="X398" s="38">
        <v>1</v>
      </c>
    </row>
    <row r="399" spans="1:24" x14ac:dyDescent="0.25">
      <c r="A399" s="38">
        <v>435</v>
      </c>
      <c r="B399" s="38" t="s">
        <v>36</v>
      </c>
      <c r="C399" s="38" t="s">
        <v>14</v>
      </c>
      <c r="D399" s="38" t="s">
        <v>791</v>
      </c>
      <c r="E399" s="38" t="s">
        <v>353</v>
      </c>
      <c r="F399" s="34">
        <v>9</v>
      </c>
      <c r="I399" s="88" t="s">
        <v>483</v>
      </c>
      <c r="S399" s="38">
        <v>60</v>
      </c>
      <c r="T399" s="38">
        <v>0</v>
      </c>
      <c r="W399" s="38" t="s">
        <v>685</v>
      </c>
      <c r="X399" s="38">
        <v>1</v>
      </c>
    </row>
    <row r="400" spans="1:24" x14ac:dyDescent="0.25">
      <c r="A400" s="38">
        <v>436</v>
      </c>
      <c r="B400" s="38" t="s">
        <v>36</v>
      </c>
      <c r="C400" s="38" t="s">
        <v>14</v>
      </c>
      <c r="D400" s="38" t="s">
        <v>791</v>
      </c>
      <c r="E400" s="38" t="s">
        <v>784</v>
      </c>
      <c r="F400" s="34">
        <v>9</v>
      </c>
      <c r="I400" s="88" t="s">
        <v>483</v>
      </c>
      <c r="S400" s="38">
        <v>60</v>
      </c>
      <c r="T400" s="38">
        <v>0</v>
      </c>
      <c r="W400" s="38" t="s">
        <v>685</v>
      </c>
      <c r="X400" s="38">
        <v>1</v>
      </c>
    </row>
    <row r="401" spans="1:24" x14ac:dyDescent="0.25">
      <c r="A401" s="38">
        <v>437</v>
      </c>
      <c r="B401" s="38" t="s">
        <v>36</v>
      </c>
      <c r="C401" s="38" t="s">
        <v>14</v>
      </c>
      <c r="D401" s="38" t="s">
        <v>791</v>
      </c>
      <c r="E401" s="38" t="s">
        <v>391</v>
      </c>
      <c r="F401" s="34">
        <v>9</v>
      </c>
      <c r="I401" s="88" t="s">
        <v>483</v>
      </c>
      <c r="S401" s="38">
        <v>0</v>
      </c>
      <c r="T401" s="38">
        <v>0</v>
      </c>
      <c r="W401" s="38" t="s">
        <v>685</v>
      </c>
      <c r="X401" s="38">
        <v>1</v>
      </c>
    </row>
    <row r="402" spans="1:24" x14ac:dyDescent="0.25">
      <c r="A402" s="38">
        <v>438</v>
      </c>
      <c r="B402" s="38" t="s">
        <v>36</v>
      </c>
      <c r="C402" s="38" t="s">
        <v>14</v>
      </c>
      <c r="D402" s="38" t="s">
        <v>790</v>
      </c>
      <c r="E402" s="38" t="s">
        <v>284</v>
      </c>
      <c r="F402" s="34">
        <v>9</v>
      </c>
      <c r="I402" s="88" t="s">
        <v>483</v>
      </c>
      <c r="S402" s="38">
        <v>100</v>
      </c>
      <c r="T402" s="38">
        <v>0</v>
      </c>
      <c r="W402" s="38" t="s">
        <v>685</v>
      </c>
      <c r="X402" s="38">
        <v>1</v>
      </c>
    </row>
    <row r="403" spans="1:24" x14ac:dyDescent="0.25">
      <c r="A403" s="38">
        <v>439</v>
      </c>
      <c r="B403" s="38" t="s">
        <v>36</v>
      </c>
      <c r="C403" s="38" t="s">
        <v>14</v>
      </c>
      <c r="D403" s="38" t="s">
        <v>790</v>
      </c>
      <c r="E403" s="38" t="s">
        <v>353</v>
      </c>
      <c r="F403" s="34">
        <v>9</v>
      </c>
      <c r="I403" s="88" t="s">
        <v>483</v>
      </c>
      <c r="S403" s="38">
        <v>60</v>
      </c>
      <c r="T403" s="38">
        <v>0</v>
      </c>
      <c r="W403" s="38" t="s">
        <v>685</v>
      </c>
      <c r="X403" s="38">
        <v>1</v>
      </c>
    </row>
    <row r="404" spans="1:24" x14ac:dyDescent="0.25">
      <c r="A404" s="38">
        <v>440</v>
      </c>
      <c r="B404" s="38" t="s">
        <v>36</v>
      </c>
      <c r="C404" s="38" t="s">
        <v>14</v>
      </c>
      <c r="D404" s="38" t="s">
        <v>790</v>
      </c>
      <c r="E404" s="38" t="s">
        <v>784</v>
      </c>
      <c r="F404" s="34">
        <v>9</v>
      </c>
      <c r="I404" s="88" t="s">
        <v>483</v>
      </c>
      <c r="S404" s="38">
        <v>60</v>
      </c>
      <c r="T404" s="38">
        <v>0</v>
      </c>
      <c r="W404" s="38" t="s">
        <v>685</v>
      </c>
      <c r="X404" s="38">
        <v>1</v>
      </c>
    </row>
    <row r="405" spans="1:24" x14ac:dyDescent="0.25">
      <c r="A405" s="38">
        <v>441</v>
      </c>
      <c r="B405" s="38" t="s">
        <v>36</v>
      </c>
      <c r="C405" s="38" t="s">
        <v>14</v>
      </c>
      <c r="D405" s="38" t="s">
        <v>790</v>
      </c>
      <c r="E405" s="38" t="s">
        <v>391</v>
      </c>
      <c r="F405" s="34">
        <v>9</v>
      </c>
      <c r="I405" s="88" t="s">
        <v>483</v>
      </c>
      <c r="S405" s="38">
        <v>0</v>
      </c>
      <c r="T405" s="38">
        <v>0</v>
      </c>
      <c r="W405" s="38" t="s">
        <v>685</v>
      </c>
      <c r="X405" s="38">
        <v>1</v>
      </c>
    </row>
    <row r="406" spans="1:24" x14ac:dyDescent="0.25">
      <c r="A406" s="38">
        <v>442</v>
      </c>
      <c r="B406" s="38" t="s">
        <v>36</v>
      </c>
      <c r="C406" s="38" t="s">
        <v>14</v>
      </c>
      <c r="D406" s="38" t="s">
        <v>786</v>
      </c>
      <c r="E406" s="38" t="s">
        <v>284</v>
      </c>
      <c r="F406" s="34">
        <v>9</v>
      </c>
      <c r="I406" s="88" t="s">
        <v>483</v>
      </c>
      <c r="S406" s="38">
        <v>100</v>
      </c>
      <c r="T406" s="38">
        <v>0</v>
      </c>
      <c r="W406" s="38" t="s">
        <v>181</v>
      </c>
      <c r="X406" s="38">
        <v>1</v>
      </c>
    </row>
    <row r="407" spans="1:24" x14ac:dyDescent="0.25">
      <c r="A407" s="38">
        <v>443</v>
      </c>
      <c r="B407" s="38" t="s">
        <v>36</v>
      </c>
      <c r="C407" s="38" t="s">
        <v>14</v>
      </c>
      <c r="D407" s="38" t="s">
        <v>786</v>
      </c>
      <c r="E407" s="38" t="s">
        <v>383</v>
      </c>
      <c r="F407" s="34">
        <v>9</v>
      </c>
      <c r="I407" s="88" t="s">
        <v>483</v>
      </c>
      <c r="S407" s="38">
        <v>60</v>
      </c>
      <c r="T407" s="38">
        <v>0</v>
      </c>
      <c r="W407" s="38" t="s">
        <v>685</v>
      </c>
      <c r="X407" s="38">
        <v>1</v>
      </c>
    </row>
    <row r="408" spans="1:24" x14ac:dyDescent="0.25">
      <c r="A408" s="38">
        <v>444</v>
      </c>
      <c r="B408" s="38" t="s">
        <v>36</v>
      </c>
      <c r="C408" s="38" t="s">
        <v>14</v>
      </c>
      <c r="D408" s="38" t="s">
        <v>786</v>
      </c>
      <c r="E408" s="38" t="s">
        <v>784</v>
      </c>
      <c r="F408" s="34">
        <v>9</v>
      </c>
      <c r="I408" s="88" t="s">
        <v>483</v>
      </c>
      <c r="S408" s="38">
        <v>60</v>
      </c>
      <c r="T408" s="38">
        <v>0</v>
      </c>
      <c r="W408" s="38" t="s">
        <v>685</v>
      </c>
      <c r="X408" s="38">
        <v>1</v>
      </c>
    </row>
    <row r="409" spans="1:24" x14ac:dyDescent="0.25">
      <c r="A409" s="38">
        <v>445</v>
      </c>
      <c r="B409" s="38" t="s">
        <v>36</v>
      </c>
      <c r="C409" s="38" t="s">
        <v>14</v>
      </c>
      <c r="D409" s="38" t="s">
        <v>786</v>
      </c>
      <c r="E409" s="38" t="s">
        <v>295</v>
      </c>
      <c r="F409" s="34">
        <v>9</v>
      </c>
      <c r="I409" s="88" t="s">
        <v>483</v>
      </c>
      <c r="S409" s="38">
        <v>0</v>
      </c>
      <c r="T409" s="38">
        <v>0</v>
      </c>
      <c r="W409" s="38" t="s">
        <v>685</v>
      </c>
      <c r="X409" s="38">
        <v>1</v>
      </c>
    </row>
    <row r="410" spans="1:24" x14ac:dyDescent="0.25">
      <c r="A410" s="38">
        <v>446</v>
      </c>
      <c r="B410" s="38" t="s">
        <v>36</v>
      </c>
      <c r="C410" s="38" t="s">
        <v>14</v>
      </c>
      <c r="D410" s="38" t="s">
        <v>789</v>
      </c>
      <c r="E410" s="38" t="s">
        <v>284</v>
      </c>
      <c r="F410" s="34">
        <v>9</v>
      </c>
      <c r="I410" s="88" t="s">
        <v>483</v>
      </c>
      <c r="S410" s="38">
        <v>100</v>
      </c>
      <c r="T410" s="38">
        <v>0</v>
      </c>
      <c r="W410" s="38" t="s">
        <v>181</v>
      </c>
      <c r="X410" s="38">
        <v>1</v>
      </c>
    </row>
    <row r="411" spans="1:24" x14ac:dyDescent="0.25">
      <c r="A411" s="38">
        <v>447</v>
      </c>
      <c r="B411" s="38" t="s">
        <v>36</v>
      </c>
      <c r="C411" s="38" t="s">
        <v>14</v>
      </c>
      <c r="D411" s="38" t="s">
        <v>789</v>
      </c>
      <c r="E411" s="38" t="s">
        <v>576</v>
      </c>
      <c r="F411" s="34">
        <v>9</v>
      </c>
      <c r="I411" s="88" t="s">
        <v>483</v>
      </c>
      <c r="S411" s="38">
        <v>60</v>
      </c>
      <c r="T411" s="38">
        <v>0</v>
      </c>
      <c r="W411" s="38" t="s">
        <v>685</v>
      </c>
      <c r="X411" s="38">
        <v>1</v>
      </c>
    </row>
    <row r="412" spans="1:24" x14ac:dyDescent="0.25">
      <c r="A412" s="38">
        <v>448</v>
      </c>
      <c r="B412" s="38" t="s">
        <v>36</v>
      </c>
      <c r="C412" s="38" t="s">
        <v>14</v>
      </c>
      <c r="D412" s="38" t="s">
        <v>789</v>
      </c>
      <c r="E412" s="38" t="s">
        <v>785</v>
      </c>
      <c r="F412" s="34">
        <v>9</v>
      </c>
      <c r="I412" s="88" t="s">
        <v>483</v>
      </c>
      <c r="S412" s="38">
        <v>60</v>
      </c>
      <c r="T412" s="38">
        <v>0</v>
      </c>
      <c r="W412" s="38" t="s">
        <v>685</v>
      </c>
      <c r="X412" s="38">
        <v>1</v>
      </c>
    </row>
    <row r="413" spans="1:24" x14ac:dyDescent="0.25">
      <c r="A413" s="38">
        <v>449</v>
      </c>
      <c r="B413" s="38" t="s">
        <v>36</v>
      </c>
      <c r="C413" s="38" t="s">
        <v>14</v>
      </c>
      <c r="D413" s="38" t="s">
        <v>789</v>
      </c>
      <c r="E413" s="38" t="s">
        <v>577</v>
      </c>
      <c r="F413" s="34">
        <v>9</v>
      </c>
      <c r="I413" s="88" t="s">
        <v>483</v>
      </c>
      <c r="S413" s="38">
        <v>0</v>
      </c>
      <c r="T413" s="38">
        <v>0</v>
      </c>
      <c r="W413" s="38" t="s">
        <v>685</v>
      </c>
      <c r="X413" s="38">
        <v>1</v>
      </c>
    </row>
    <row r="414" spans="1:24" x14ac:dyDescent="0.25">
      <c r="A414" s="38">
        <v>450</v>
      </c>
      <c r="B414" s="38" t="s">
        <v>36</v>
      </c>
      <c r="C414" s="38" t="s">
        <v>14</v>
      </c>
      <c r="D414" s="38" t="s">
        <v>787</v>
      </c>
      <c r="E414" s="38" t="s">
        <v>284</v>
      </c>
      <c r="F414" s="34">
        <v>9</v>
      </c>
      <c r="I414" s="88" t="s">
        <v>483</v>
      </c>
      <c r="S414" s="38">
        <v>100</v>
      </c>
      <c r="T414" s="38">
        <v>0</v>
      </c>
      <c r="W414" s="38" t="s">
        <v>181</v>
      </c>
      <c r="X414" s="38">
        <v>1</v>
      </c>
    </row>
    <row r="415" spans="1:24" x14ac:dyDescent="0.25">
      <c r="A415" s="38">
        <v>451</v>
      </c>
      <c r="B415" s="38" t="s">
        <v>36</v>
      </c>
      <c r="C415" s="38" t="s">
        <v>14</v>
      </c>
      <c r="D415" s="38" t="s">
        <v>787</v>
      </c>
      <c r="E415" s="38" t="s">
        <v>353</v>
      </c>
      <c r="F415" s="34">
        <v>9</v>
      </c>
      <c r="I415" s="88" t="s">
        <v>483</v>
      </c>
      <c r="S415" s="38">
        <v>60</v>
      </c>
      <c r="T415" s="38">
        <v>0</v>
      </c>
      <c r="W415" s="38" t="s">
        <v>685</v>
      </c>
      <c r="X415" s="38">
        <v>1</v>
      </c>
    </row>
    <row r="416" spans="1:24" x14ac:dyDescent="0.25">
      <c r="A416" s="38">
        <v>452</v>
      </c>
      <c r="B416" s="38" t="s">
        <v>36</v>
      </c>
      <c r="C416" s="38" t="s">
        <v>14</v>
      </c>
      <c r="D416" s="38" t="s">
        <v>787</v>
      </c>
      <c r="E416" s="38" t="s">
        <v>784</v>
      </c>
      <c r="F416" s="34">
        <v>9</v>
      </c>
      <c r="I416" s="88" t="s">
        <v>483</v>
      </c>
      <c r="S416" s="38">
        <v>60</v>
      </c>
      <c r="T416" s="38">
        <v>0</v>
      </c>
      <c r="W416" s="38" t="s">
        <v>685</v>
      </c>
      <c r="X416" s="38">
        <v>1</v>
      </c>
    </row>
    <row r="417" spans="1:24" x14ac:dyDescent="0.25">
      <c r="A417" s="38">
        <v>453</v>
      </c>
      <c r="B417" s="38" t="s">
        <v>36</v>
      </c>
      <c r="C417" s="38" t="s">
        <v>14</v>
      </c>
      <c r="D417" s="38" t="s">
        <v>787</v>
      </c>
      <c r="E417" s="38" t="s">
        <v>391</v>
      </c>
      <c r="F417" s="34">
        <v>9</v>
      </c>
      <c r="I417" s="88" t="s">
        <v>483</v>
      </c>
      <c r="S417" s="38">
        <v>0</v>
      </c>
      <c r="T417" s="38">
        <v>0</v>
      </c>
      <c r="W417" s="38" t="s">
        <v>685</v>
      </c>
      <c r="X417" s="38">
        <v>1</v>
      </c>
    </row>
    <row r="418" spans="1:24" x14ac:dyDescent="0.25">
      <c r="A418" s="38">
        <v>454</v>
      </c>
      <c r="B418" s="38" t="s">
        <v>36</v>
      </c>
      <c r="C418" s="38" t="s">
        <v>14</v>
      </c>
      <c r="D418" s="38" t="s">
        <v>788</v>
      </c>
      <c r="E418" s="38" t="s">
        <v>284</v>
      </c>
      <c r="F418" s="34">
        <v>9</v>
      </c>
      <c r="I418" s="88" t="s">
        <v>483</v>
      </c>
      <c r="S418" s="38">
        <v>100</v>
      </c>
      <c r="T418" s="38">
        <v>0</v>
      </c>
      <c r="W418" s="38" t="s">
        <v>181</v>
      </c>
      <c r="X418" s="38">
        <v>1</v>
      </c>
    </row>
    <row r="419" spans="1:24" x14ac:dyDescent="0.25">
      <c r="A419" s="38">
        <v>455</v>
      </c>
      <c r="B419" s="38" t="s">
        <v>36</v>
      </c>
      <c r="C419" s="38" t="s">
        <v>14</v>
      </c>
      <c r="D419" s="38" t="s">
        <v>788</v>
      </c>
      <c r="E419" s="38" t="s">
        <v>576</v>
      </c>
      <c r="F419" s="34">
        <v>9</v>
      </c>
      <c r="I419" s="88" t="s">
        <v>483</v>
      </c>
      <c r="S419" s="38">
        <v>60</v>
      </c>
      <c r="T419" s="38">
        <v>0</v>
      </c>
      <c r="W419" s="38" t="s">
        <v>685</v>
      </c>
      <c r="X419" s="38">
        <v>1</v>
      </c>
    </row>
    <row r="420" spans="1:24" x14ac:dyDescent="0.25">
      <c r="A420" s="38">
        <v>456</v>
      </c>
      <c r="B420" s="38" t="s">
        <v>36</v>
      </c>
      <c r="C420" s="38" t="s">
        <v>14</v>
      </c>
      <c r="D420" s="38" t="s">
        <v>788</v>
      </c>
      <c r="E420" s="38" t="s">
        <v>785</v>
      </c>
      <c r="F420" s="34">
        <v>9</v>
      </c>
      <c r="I420" s="88" t="s">
        <v>483</v>
      </c>
      <c r="S420" s="38">
        <v>60</v>
      </c>
      <c r="T420" s="38">
        <v>0</v>
      </c>
      <c r="W420" s="38" t="s">
        <v>685</v>
      </c>
      <c r="X420" s="38">
        <v>1</v>
      </c>
    </row>
    <row r="421" spans="1:24" x14ac:dyDescent="0.25">
      <c r="A421" s="38">
        <v>457</v>
      </c>
      <c r="B421" s="38" t="s">
        <v>36</v>
      </c>
      <c r="C421" s="38" t="s">
        <v>14</v>
      </c>
      <c r="D421" s="38" t="s">
        <v>788</v>
      </c>
      <c r="E421" s="38" t="s">
        <v>577</v>
      </c>
      <c r="F421" s="34">
        <v>9</v>
      </c>
      <c r="I421" s="88" t="s">
        <v>483</v>
      </c>
      <c r="S421" s="38">
        <v>0</v>
      </c>
      <c r="T421" s="38">
        <v>0</v>
      </c>
      <c r="W421" s="38" t="s">
        <v>685</v>
      </c>
      <c r="X421" s="38">
        <v>1</v>
      </c>
    </row>
    <row r="422" spans="1:24" x14ac:dyDescent="0.25">
      <c r="A422" s="38">
        <v>458</v>
      </c>
      <c r="B422" s="38" t="s">
        <v>57</v>
      </c>
      <c r="C422" s="38" t="s">
        <v>161</v>
      </c>
      <c r="D422" s="38" t="s">
        <v>152</v>
      </c>
      <c r="E422" s="38" t="s">
        <v>793</v>
      </c>
      <c r="S422" s="38">
        <v>100</v>
      </c>
      <c r="T422" s="38">
        <v>0</v>
      </c>
      <c r="W422" s="38" t="s">
        <v>794</v>
      </c>
      <c r="X422" s="38">
        <v>1</v>
      </c>
    </row>
    <row r="423" spans="1:24" x14ac:dyDescent="0.25">
      <c r="A423" s="38">
        <v>459</v>
      </c>
      <c r="B423" s="38" t="s">
        <v>57</v>
      </c>
      <c r="C423" s="38" t="s">
        <v>190</v>
      </c>
      <c r="D423" s="38" t="s">
        <v>253</v>
      </c>
      <c r="E423" s="38" t="s">
        <v>47</v>
      </c>
      <c r="S423" s="38">
        <v>60</v>
      </c>
      <c r="T423" s="38">
        <v>0</v>
      </c>
      <c r="W423" s="38" t="s">
        <v>795</v>
      </c>
      <c r="X423" s="38">
        <v>1</v>
      </c>
    </row>
    <row r="424" spans="1:24" x14ac:dyDescent="0.25">
      <c r="A424" s="38">
        <v>460</v>
      </c>
      <c r="B424" s="38" t="s">
        <v>36</v>
      </c>
      <c r="C424" s="38" t="s">
        <v>579</v>
      </c>
      <c r="D424" s="38" t="s">
        <v>823</v>
      </c>
      <c r="E424" s="38" t="s">
        <v>2</v>
      </c>
      <c r="F424" s="34">
        <v>5</v>
      </c>
      <c r="P424" s="35" t="s">
        <v>598</v>
      </c>
      <c r="S424" s="38">
        <v>60</v>
      </c>
      <c r="T424" s="38">
        <v>0</v>
      </c>
      <c r="V424" s="38" t="s">
        <v>828</v>
      </c>
      <c r="X424" s="38">
        <v>1</v>
      </c>
    </row>
    <row r="425" spans="1:24" x14ac:dyDescent="0.25">
      <c r="A425" s="38">
        <v>461</v>
      </c>
      <c r="B425" s="38" t="s">
        <v>36</v>
      </c>
      <c r="C425" s="38" t="s">
        <v>579</v>
      </c>
      <c r="D425" s="38" t="s">
        <v>823</v>
      </c>
      <c r="E425" s="38" t="s">
        <v>3</v>
      </c>
      <c r="F425" s="34">
        <v>5</v>
      </c>
      <c r="P425" s="35" t="s">
        <v>602</v>
      </c>
      <c r="S425" s="38">
        <v>60</v>
      </c>
      <c r="T425" s="38">
        <v>0</v>
      </c>
      <c r="V425" s="38" t="s">
        <v>828</v>
      </c>
      <c r="X425" s="38">
        <v>1</v>
      </c>
    </row>
    <row r="426" spans="1:24" x14ac:dyDescent="0.25">
      <c r="A426" s="38">
        <v>462</v>
      </c>
      <c r="B426" s="38" t="s">
        <v>36</v>
      </c>
      <c r="C426" s="38" t="s">
        <v>579</v>
      </c>
      <c r="D426" s="38" t="s">
        <v>823</v>
      </c>
      <c r="E426" s="38" t="s">
        <v>4</v>
      </c>
      <c r="F426" s="34">
        <v>5</v>
      </c>
      <c r="P426" s="35" t="s">
        <v>603</v>
      </c>
      <c r="S426" s="38">
        <v>100</v>
      </c>
      <c r="T426" s="38">
        <v>0</v>
      </c>
      <c r="V426" s="38" t="s">
        <v>828</v>
      </c>
      <c r="X426" s="38">
        <v>1</v>
      </c>
    </row>
    <row r="427" spans="1:24" x14ac:dyDescent="0.25">
      <c r="A427" s="38">
        <v>463</v>
      </c>
      <c r="B427" s="38" t="s">
        <v>36</v>
      </c>
      <c r="C427" s="38" t="s">
        <v>579</v>
      </c>
      <c r="D427" s="38" t="s">
        <v>823</v>
      </c>
      <c r="E427" s="38" t="s">
        <v>48</v>
      </c>
      <c r="F427" s="34">
        <v>5</v>
      </c>
      <c r="P427" s="35" t="s">
        <v>604</v>
      </c>
      <c r="S427" s="38">
        <v>100</v>
      </c>
      <c r="T427" s="38">
        <v>0</v>
      </c>
      <c r="V427" s="38" t="s">
        <v>828</v>
      </c>
      <c r="X427" s="38">
        <v>1</v>
      </c>
    </row>
    <row r="428" spans="1:24" x14ac:dyDescent="0.25">
      <c r="A428" s="38">
        <v>464</v>
      </c>
      <c r="B428" s="38" t="s">
        <v>36</v>
      </c>
      <c r="C428" s="38" t="s">
        <v>579</v>
      </c>
      <c r="D428" s="38" t="s">
        <v>825</v>
      </c>
      <c r="E428" s="38" t="s">
        <v>2</v>
      </c>
      <c r="F428" s="34">
        <v>5</v>
      </c>
      <c r="P428" s="35" t="s">
        <v>867</v>
      </c>
      <c r="S428" s="38">
        <v>60</v>
      </c>
      <c r="T428" s="38">
        <v>0</v>
      </c>
      <c r="V428" s="38" t="s">
        <v>829</v>
      </c>
      <c r="X428" s="38">
        <v>1</v>
      </c>
    </row>
    <row r="429" spans="1:24" x14ac:dyDescent="0.25">
      <c r="A429" s="38">
        <v>465</v>
      </c>
      <c r="B429" s="38" t="s">
        <v>36</v>
      </c>
      <c r="C429" s="38" t="s">
        <v>579</v>
      </c>
      <c r="D429" s="38" t="s">
        <v>825</v>
      </c>
      <c r="E429" s="38" t="s">
        <v>3</v>
      </c>
      <c r="F429" s="34">
        <v>5</v>
      </c>
      <c r="P429" s="35" t="s">
        <v>868</v>
      </c>
      <c r="S429" s="38">
        <v>60</v>
      </c>
      <c r="T429" s="38">
        <v>0</v>
      </c>
      <c r="V429" s="38" t="s">
        <v>829</v>
      </c>
      <c r="X429" s="38">
        <v>1</v>
      </c>
    </row>
    <row r="430" spans="1:24" x14ac:dyDescent="0.25">
      <c r="A430" s="38">
        <v>466</v>
      </c>
      <c r="B430" s="38" t="s">
        <v>36</v>
      </c>
      <c r="C430" s="38" t="s">
        <v>579</v>
      </c>
      <c r="D430" s="38" t="s">
        <v>825</v>
      </c>
      <c r="E430" s="38" t="s">
        <v>4</v>
      </c>
      <c r="F430" s="34">
        <v>5</v>
      </c>
      <c r="P430" s="35" t="s">
        <v>869</v>
      </c>
      <c r="S430" s="38">
        <v>100</v>
      </c>
      <c r="T430" s="38">
        <v>0</v>
      </c>
      <c r="V430" s="38" t="s">
        <v>829</v>
      </c>
      <c r="X430" s="38">
        <v>1</v>
      </c>
    </row>
    <row r="431" spans="1:24" x14ac:dyDescent="0.25">
      <c r="A431" s="38">
        <v>467</v>
      </c>
      <c r="B431" s="38" t="s">
        <v>36</v>
      </c>
      <c r="C431" s="38" t="s">
        <v>579</v>
      </c>
      <c r="D431" s="38" t="s">
        <v>825</v>
      </c>
      <c r="E431" s="38" t="s">
        <v>48</v>
      </c>
      <c r="F431" s="34">
        <v>5</v>
      </c>
      <c r="P431" s="35" t="s">
        <v>870</v>
      </c>
      <c r="S431" s="38">
        <v>100</v>
      </c>
      <c r="T431" s="38">
        <v>0</v>
      </c>
      <c r="V431" s="38" t="s">
        <v>829</v>
      </c>
      <c r="X431" s="38">
        <v>1</v>
      </c>
    </row>
    <row r="432" spans="1:24" x14ac:dyDescent="0.25">
      <c r="A432" s="38">
        <v>468</v>
      </c>
      <c r="B432" s="38" t="s">
        <v>36</v>
      </c>
      <c r="C432" s="38" t="s">
        <v>579</v>
      </c>
      <c r="D432" s="38" t="s">
        <v>824</v>
      </c>
      <c r="E432" s="38" t="s">
        <v>2</v>
      </c>
      <c r="F432" s="34">
        <v>5</v>
      </c>
      <c r="P432" s="36">
        <v>132</v>
      </c>
      <c r="S432" s="38">
        <v>60</v>
      </c>
      <c r="T432" s="38">
        <v>0</v>
      </c>
      <c r="V432" s="38" t="s">
        <v>830</v>
      </c>
      <c r="X432" s="38">
        <v>1</v>
      </c>
    </row>
    <row r="433" spans="1:24" x14ac:dyDescent="0.25">
      <c r="A433" s="38">
        <v>469</v>
      </c>
      <c r="B433" s="38" t="s">
        <v>36</v>
      </c>
      <c r="C433" s="38" t="s">
        <v>579</v>
      </c>
      <c r="D433" s="38" t="s">
        <v>824</v>
      </c>
      <c r="E433" s="38" t="s">
        <v>3</v>
      </c>
      <c r="F433" s="34">
        <v>5</v>
      </c>
      <c r="P433" s="36">
        <v>133</v>
      </c>
      <c r="S433" s="38">
        <v>60</v>
      </c>
      <c r="T433" s="38">
        <v>0</v>
      </c>
      <c r="V433" s="38" t="s">
        <v>830</v>
      </c>
      <c r="X433" s="38">
        <v>1</v>
      </c>
    </row>
    <row r="434" spans="1:24" x14ac:dyDescent="0.25">
      <c r="A434" s="38">
        <v>470</v>
      </c>
      <c r="B434" s="38" t="s">
        <v>36</v>
      </c>
      <c r="C434" s="38" t="s">
        <v>579</v>
      </c>
      <c r="D434" s="38" t="s">
        <v>824</v>
      </c>
      <c r="E434" s="38" t="s">
        <v>4</v>
      </c>
      <c r="F434" s="34">
        <v>5</v>
      </c>
      <c r="P434" s="36">
        <v>134</v>
      </c>
      <c r="S434" s="38">
        <v>100</v>
      </c>
      <c r="T434" s="38">
        <v>0</v>
      </c>
      <c r="V434" s="38" t="s">
        <v>830</v>
      </c>
      <c r="X434" s="38">
        <v>1</v>
      </c>
    </row>
    <row r="435" spans="1:24" x14ac:dyDescent="0.25">
      <c r="A435" s="38">
        <v>471</v>
      </c>
      <c r="B435" s="38" t="s">
        <v>36</v>
      </c>
      <c r="C435" s="38" t="s">
        <v>579</v>
      </c>
      <c r="D435" s="38" t="s">
        <v>824</v>
      </c>
      <c r="E435" s="38" t="s">
        <v>48</v>
      </c>
      <c r="F435" s="34">
        <v>5</v>
      </c>
      <c r="P435" s="36">
        <v>135</v>
      </c>
      <c r="S435" s="38">
        <v>100</v>
      </c>
      <c r="T435" s="38">
        <v>0</v>
      </c>
      <c r="V435" s="38" t="s">
        <v>830</v>
      </c>
      <c r="X435" s="38">
        <v>1</v>
      </c>
    </row>
    <row r="436" spans="1:24" x14ac:dyDescent="0.25">
      <c r="A436" s="38">
        <v>472</v>
      </c>
      <c r="B436" s="38" t="s">
        <v>36</v>
      </c>
      <c r="C436" s="38" t="s">
        <v>579</v>
      </c>
      <c r="D436" s="38" t="s">
        <v>826</v>
      </c>
      <c r="E436" s="38" t="s">
        <v>2</v>
      </c>
      <c r="F436" s="34">
        <v>5</v>
      </c>
      <c r="P436" s="35" t="s">
        <v>863</v>
      </c>
      <c r="S436" s="38">
        <v>60</v>
      </c>
      <c r="T436" s="38">
        <v>0</v>
      </c>
      <c r="V436" s="38" t="s">
        <v>831</v>
      </c>
      <c r="X436" s="38">
        <v>1</v>
      </c>
    </row>
    <row r="437" spans="1:24" x14ac:dyDescent="0.25">
      <c r="A437" s="38">
        <v>473</v>
      </c>
      <c r="B437" s="38" t="s">
        <v>36</v>
      </c>
      <c r="C437" s="38" t="s">
        <v>579</v>
      </c>
      <c r="D437" s="38" t="s">
        <v>826</v>
      </c>
      <c r="E437" s="38" t="s">
        <v>3</v>
      </c>
      <c r="F437" s="34">
        <v>5</v>
      </c>
      <c r="P437" s="35" t="s">
        <v>864</v>
      </c>
      <c r="S437" s="38">
        <v>60</v>
      </c>
      <c r="T437" s="38">
        <v>0</v>
      </c>
      <c r="V437" s="38" t="s">
        <v>831</v>
      </c>
      <c r="X437" s="38">
        <v>1</v>
      </c>
    </row>
    <row r="438" spans="1:24" x14ac:dyDescent="0.25">
      <c r="A438" s="38">
        <v>474</v>
      </c>
      <c r="B438" s="38" t="s">
        <v>36</v>
      </c>
      <c r="C438" s="38" t="s">
        <v>579</v>
      </c>
      <c r="D438" s="38" t="s">
        <v>826</v>
      </c>
      <c r="E438" s="38" t="s">
        <v>4</v>
      </c>
      <c r="F438" s="34">
        <v>5</v>
      </c>
      <c r="P438" s="35" t="s">
        <v>865</v>
      </c>
      <c r="S438" s="38">
        <v>100</v>
      </c>
      <c r="T438" s="38">
        <v>0</v>
      </c>
      <c r="V438" s="38" t="s">
        <v>831</v>
      </c>
      <c r="X438" s="38">
        <v>1</v>
      </c>
    </row>
    <row r="439" spans="1:24" x14ac:dyDescent="0.25">
      <c r="A439" s="38">
        <v>475</v>
      </c>
      <c r="B439" s="38" t="s">
        <v>36</v>
      </c>
      <c r="C439" s="38" t="s">
        <v>579</v>
      </c>
      <c r="D439" s="38" t="s">
        <v>826</v>
      </c>
      <c r="E439" s="38" t="s">
        <v>48</v>
      </c>
      <c r="F439" s="34">
        <v>5</v>
      </c>
      <c r="P439" s="35" t="s">
        <v>866</v>
      </c>
      <c r="S439" s="38">
        <v>100</v>
      </c>
      <c r="T439" s="38">
        <v>0</v>
      </c>
      <c r="V439" s="38" t="s">
        <v>831</v>
      </c>
      <c r="X439" s="38">
        <v>1</v>
      </c>
    </row>
    <row r="440" spans="1:24" x14ac:dyDescent="0.25">
      <c r="A440" s="38">
        <v>481</v>
      </c>
      <c r="B440" s="38" t="s">
        <v>57</v>
      </c>
      <c r="C440" s="38" t="s">
        <v>57</v>
      </c>
      <c r="D440" s="38" t="s">
        <v>837</v>
      </c>
      <c r="E440" s="38" t="s">
        <v>61</v>
      </c>
      <c r="F440" s="35" t="s">
        <v>472</v>
      </c>
      <c r="G440" s="35" t="s">
        <v>201</v>
      </c>
      <c r="H440" s="35" t="s">
        <v>201</v>
      </c>
      <c r="S440" s="38">
        <v>60</v>
      </c>
      <c r="T440" s="38">
        <v>0</v>
      </c>
      <c r="X440" s="38">
        <v>1</v>
      </c>
    </row>
    <row r="441" spans="1:24" x14ac:dyDescent="0.25">
      <c r="A441" s="38">
        <v>482</v>
      </c>
      <c r="B441" s="38" t="s">
        <v>57</v>
      </c>
      <c r="C441" s="38" t="s">
        <v>57</v>
      </c>
      <c r="D441" s="38" t="s">
        <v>837</v>
      </c>
      <c r="E441" s="38" t="s">
        <v>333</v>
      </c>
      <c r="F441" s="35" t="s">
        <v>472</v>
      </c>
      <c r="G441" s="35" t="s">
        <v>201</v>
      </c>
      <c r="H441" s="35" t="s">
        <v>201</v>
      </c>
      <c r="S441" s="38">
        <v>60</v>
      </c>
      <c r="T441" s="38">
        <v>0</v>
      </c>
      <c r="W441" s="38" t="s">
        <v>336</v>
      </c>
      <c r="X441" s="38">
        <v>1</v>
      </c>
    </row>
    <row r="442" spans="1:24" x14ac:dyDescent="0.25">
      <c r="A442" s="38">
        <v>483</v>
      </c>
      <c r="B442" s="38" t="s">
        <v>57</v>
      </c>
      <c r="C442" s="38" t="s">
        <v>57</v>
      </c>
      <c r="D442" s="38" t="s">
        <v>837</v>
      </c>
      <c r="E442" s="38" t="s">
        <v>63</v>
      </c>
      <c r="F442" s="35" t="s">
        <v>472</v>
      </c>
      <c r="G442" s="35" t="s">
        <v>201</v>
      </c>
      <c r="H442" s="35" t="s">
        <v>201</v>
      </c>
      <c r="S442" s="38">
        <v>0</v>
      </c>
      <c r="T442" s="38">
        <v>-1</v>
      </c>
      <c r="W442" s="38" t="s">
        <v>720</v>
      </c>
      <c r="X442" s="38">
        <v>1</v>
      </c>
    </row>
    <row r="443" spans="1:24" x14ac:dyDescent="0.25">
      <c r="A443" s="38">
        <v>484</v>
      </c>
      <c r="B443" s="38" t="s">
        <v>57</v>
      </c>
      <c r="C443" s="38" t="s">
        <v>57</v>
      </c>
      <c r="D443" s="38" t="s">
        <v>836</v>
      </c>
      <c r="E443" s="38" t="s">
        <v>166</v>
      </c>
      <c r="F443" s="34">
        <v>7</v>
      </c>
      <c r="G443" s="34">
        <v>1</v>
      </c>
      <c r="H443" s="34">
        <v>1</v>
      </c>
      <c r="L443" s="34">
        <v>1</v>
      </c>
      <c r="S443" s="38">
        <v>0</v>
      </c>
      <c r="T443" s="38">
        <v>1</v>
      </c>
      <c r="V443" s="38" t="s">
        <v>337</v>
      </c>
      <c r="W443" s="38" t="s">
        <v>724</v>
      </c>
      <c r="X443" s="38">
        <v>1</v>
      </c>
    </row>
    <row r="444" spans="1:24" x14ac:dyDescent="0.25">
      <c r="A444" s="38">
        <v>485</v>
      </c>
      <c r="B444" s="38" t="s">
        <v>57</v>
      </c>
      <c r="C444" s="38" t="s">
        <v>57</v>
      </c>
      <c r="D444" s="38" t="s">
        <v>836</v>
      </c>
      <c r="E444" s="38" t="s">
        <v>443</v>
      </c>
      <c r="F444" s="34">
        <v>7</v>
      </c>
      <c r="G444" s="34">
        <v>1</v>
      </c>
      <c r="H444" s="34">
        <v>1</v>
      </c>
      <c r="L444" s="34">
        <v>1</v>
      </c>
      <c r="S444" s="38">
        <v>0</v>
      </c>
      <c r="T444" s="38">
        <v>1</v>
      </c>
      <c r="V444" s="38" t="s">
        <v>337</v>
      </c>
      <c r="W444" s="38" t="s">
        <v>442</v>
      </c>
      <c r="X444" s="38">
        <v>1</v>
      </c>
    </row>
    <row r="445" spans="1:24" x14ac:dyDescent="0.25">
      <c r="A445" s="38">
        <v>486</v>
      </c>
      <c r="B445" s="38" t="s">
        <v>57</v>
      </c>
      <c r="C445" s="38" t="s">
        <v>57</v>
      </c>
      <c r="D445" s="38" t="s">
        <v>836</v>
      </c>
      <c r="E445" s="38" t="s">
        <v>381</v>
      </c>
      <c r="F445" s="34">
        <v>7</v>
      </c>
      <c r="G445" s="34">
        <v>1</v>
      </c>
      <c r="H445" s="34">
        <v>1</v>
      </c>
      <c r="L445" s="34">
        <v>1</v>
      </c>
      <c r="S445" s="38">
        <v>60</v>
      </c>
      <c r="T445" s="38">
        <v>0</v>
      </c>
      <c r="V445" s="38" t="s">
        <v>337</v>
      </c>
      <c r="W445" s="38" t="s">
        <v>382</v>
      </c>
      <c r="X445" s="38">
        <v>1</v>
      </c>
    </row>
    <row r="446" spans="1:24" x14ac:dyDescent="0.25">
      <c r="A446" s="38">
        <v>487</v>
      </c>
      <c r="B446" s="38" t="s">
        <v>57</v>
      </c>
      <c r="C446" s="38" t="s">
        <v>57</v>
      </c>
      <c r="D446" s="38" t="s">
        <v>836</v>
      </c>
      <c r="E446" s="38" t="s">
        <v>436</v>
      </c>
      <c r="F446" s="34">
        <v>7</v>
      </c>
      <c r="G446" s="34">
        <v>1</v>
      </c>
      <c r="H446" s="34">
        <v>1</v>
      </c>
      <c r="L446" s="34">
        <v>1</v>
      </c>
      <c r="S446" s="38">
        <v>0</v>
      </c>
      <c r="T446" s="38">
        <v>1</v>
      </c>
      <c r="V446" s="38" t="s">
        <v>337</v>
      </c>
      <c r="W446" s="38" t="s">
        <v>437</v>
      </c>
      <c r="X446" s="38">
        <v>1</v>
      </c>
    </row>
    <row r="447" spans="1:24" x14ac:dyDescent="0.25">
      <c r="A447" s="38">
        <v>488</v>
      </c>
      <c r="B447" s="38" t="s">
        <v>57</v>
      </c>
      <c r="C447" s="38" t="s">
        <v>57</v>
      </c>
      <c r="D447" s="38" t="s">
        <v>836</v>
      </c>
      <c r="E447" s="38" t="s">
        <v>100</v>
      </c>
      <c r="F447" s="34">
        <v>7</v>
      </c>
      <c r="G447" s="34">
        <v>1</v>
      </c>
      <c r="H447" s="34">
        <v>1</v>
      </c>
      <c r="L447" s="34">
        <v>1</v>
      </c>
      <c r="S447" s="38">
        <v>0</v>
      </c>
      <c r="T447" s="38">
        <v>1</v>
      </c>
      <c r="V447" s="38" t="s">
        <v>337</v>
      </c>
      <c r="W447" s="38" t="s">
        <v>725</v>
      </c>
      <c r="X447" s="38">
        <v>1</v>
      </c>
    </row>
    <row r="448" spans="1:24" x14ac:dyDescent="0.25">
      <c r="A448" s="38">
        <v>489</v>
      </c>
      <c r="B448" s="38" t="s">
        <v>57</v>
      </c>
      <c r="C448" s="38" t="s">
        <v>57</v>
      </c>
      <c r="D448" s="38" t="s">
        <v>836</v>
      </c>
      <c r="E448" s="38" t="s">
        <v>316</v>
      </c>
      <c r="F448" s="34">
        <v>7</v>
      </c>
      <c r="G448" s="34">
        <v>1</v>
      </c>
      <c r="H448" s="34">
        <v>1</v>
      </c>
      <c r="L448" s="34">
        <v>1</v>
      </c>
      <c r="S448" s="38">
        <v>60</v>
      </c>
      <c r="T448" s="38">
        <v>0</v>
      </c>
      <c r="V448" s="38" t="s">
        <v>337</v>
      </c>
      <c r="W448" s="38" t="s">
        <v>317</v>
      </c>
      <c r="X448" s="38">
        <v>1</v>
      </c>
    </row>
    <row r="449" spans="1:24" x14ac:dyDescent="0.25">
      <c r="A449" s="38">
        <v>490</v>
      </c>
      <c r="B449" s="38" t="s">
        <v>57</v>
      </c>
      <c r="C449" s="38" t="s">
        <v>57</v>
      </c>
      <c r="D449" s="38" t="s">
        <v>836</v>
      </c>
      <c r="E449" s="38" t="s">
        <v>58</v>
      </c>
      <c r="F449" s="34">
        <v>7</v>
      </c>
      <c r="G449" s="34">
        <v>1</v>
      </c>
      <c r="H449" s="34">
        <v>1</v>
      </c>
      <c r="L449" s="34">
        <v>1</v>
      </c>
      <c r="S449" s="38">
        <v>100</v>
      </c>
      <c r="T449" s="38">
        <v>0</v>
      </c>
      <c r="V449" s="38" t="s">
        <v>337</v>
      </c>
      <c r="W449" s="38" t="s">
        <v>318</v>
      </c>
      <c r="X449" s="38">
        <v>1</v>
      </c>
    </row>
    <row r="450" spans="1:24" x14ac:dyDescent="0.25">
      <c r="A450" s="38">
        <v>491</v>
      </c>
      <c r="B450" s="38" t="s">
        <v>57</v>
      </c>
      <c r="C450" s="38" t="s">
        <v>57</v>
      </c>
      <c r="D450" s="38" t="s">
        <v>836</v>
      </c>
      <c r="E450" s="38" t="s">
        <v>459</v>
      </c>
      <c r="F450" s="34">
        <v>7</v>
      </c>
      <c r="G450" s="34">
        <v>1</v>
      </c>
      <c r="H450" s="34">
        <v>1</v>
      </c>
      <c r="L450" s="34">
        <v>1</v>
      </c>
      <c r="S450" s="38">
        <v>60</v>
      </c>
      <c r="T450" s="38">
        <v>0</v>
      </c>
      <c r="V450" s="38" t="s">
        <v>337</v>
      </c>
      <c r="W450" s="38" t="s">
        <v>461</v>
      </c>
      <c r="X450" s="38">
        <v>1</v>
      </c>
    </row>
    <row r="451" spans="1:24" x14ac:dyDescent="0.25">
      <c r="A451" s="38">
        <v>492</v>
      </c>
      <c r="B451" s="38" t="s">
        <v>57</v>
      </c>
      <c r="C451" s="38" t="s">
        <v>57</v>
      </c>
      <c r="D451" s="38" t="s">
        <v>836</v>
      </c>
      <c r="E451" s="38" t="s">
        <v>167</v>
      </c>
      <c r="F451" s="34">
        <v>7</v>
      </c>
      <c r="G451" s="34">
        <v>1</v>
      </c>
      <c r="H451" s="34">
        <v>1</v>
      </c>
      <c r="L451" s="34">
        <v>1</v>
      </c>
      <c r="P451" s="34">
        <v>488</v>
      </c>
      <c r="S451" s="38">
        <v>60</v>
      </c>
      <c r="T451" s="38">
        <v>0</v>
      </c>
      <c r="V451" s="38" t="s">
        <v>337</v>
      </c>
      <c r="W451" s="38" t="s">
        <v>185</v>
      </c>
      <c r="X451" s="38">
        <v>1</v>
      </c>
    </row>
    <row r="452" spans="1:24" x14ac:dyDescent="0.25">
      <c r="A452" s="38">
        <v>302</v>
      </c>
      <c r="B452" s="38" t="s">
        <v>36</v>
      </c>
      <c r="C452" s="38" t="s">
        <v>11</v>
      </c>
      <c r="D452" s="38" t="s">
        <v>309</v>
      </c>
      <c r="E452" s="38" t="s">
        <v>293</v>
      </c>
      <c r="F452" s="34">
        <v>10</v>
      </c>
      <c r="I452" s="35" t="s">
        <v>554</v>
      </c>
      <c r="J452" s="82"/>
      <c r="K452" s="82"/>
      <c r="S452" s="38">
        <v>60</v>
      </c>
      <c r="T452" s="38">
        <v>0</v>
      </c>
      <c r="V452" s="38" t="s">
        <v>674</v>
      </c>
      <c r="W452" s="38" t="s">
        <v>274</v>
      </c>
      <c r="X452" s="38">
        <v>1</v>
      </c>
    </row>
    <row r="453" spans="1:24" x14ac:dyDescent="0.25">
      <c r="A453" s="38">
        <v>303</v>
      </c>
      <c r="B453" s="38" t="s">
        <v>36</v>
      </c>
      <c r="C453" s="38" t="s">
        <v>11</v>
      </c>
      <c r="D453" s="38" t="s">
        <v>309</v>
      </c>
      <c r="E453" s="38" t="s">
        <v>296</v>
      </c>
      <c r="F453" s="34">
        <v>10</v>
      </c>
      <c r="I453" s="35" t="s">
        <v>554</v>
      </c>
      <c r="J453" s="82"/>
      <c r="K453" s="82"/>
      <c r="S453" s="38">
        <v>60</v>
      </c>
      <c r="T453" s="38">
        <v>0</v>
      </c>
      <c r="V453" s="38" t="s">
        <v>674</v>
      </c>
      <c r="W453" s="38" t="s">
        <v>275</v>
      </c>
      <c r="X453" s="38">
        <v>1</v>
      </c>
    </row>
    <row r="454" spans="1:24" x14ac:dyDescent="0.25">
      <c r="A454" s="38">
        <v>493</v>
      </c>
      <c r="B454" s="38" t="s">
        <v>36</v>
      </c>
      <c r="C454" s="38" t="s">
        <v>6</v>
      </c>
      <c r="D454" s="38" t="s">
        <v>884</v>
      </c>
      <c r="E454" s="38" t="s">
        <v>276</v>
      </c>
      <c r="F454" s="96" t="s">
        <v>473</v>
      </c>
      <c r="G454" s="36"/>
      <c r="H454" s="36"/>
      <c r="I454" s="35" t="s">
        <v>558</v>
      </c>
      <c r="J454" s="82"/>
      <c r="K454" s="82"/>
      <c r="O454" s="34">
        <v>1</v>
      </c>
      <c r="P454" s="35"/>
      <c r="S454" s="38">
        <v>0</v>
      </c>
      <c r="T454" s="38">
        <v>0</v>
      </c>
      <c r="U454" s="38">
        <v>5</v>
      </c>
      <c r="X454" s="38">
        <v>1</v>
      </c>
    </row>
    <row r="455" spans="1:24" x14ac:dyDescent="0.25">
      <c r="A455" s="38">
        <v>494</v>
      </c>
      <c r="B455" s="38" t="s">
        <v>36</v>
      </c>
      <c r="C455" s="38" t="s">
        <v>6</v>
      </c>
      <c r="D455" s="38" t="s">
        <v>884</v>
      </c>
      <c r="E455" s="38" t="s">
        <v>876</v>
      </c>
      <c r="F455" s="96" t="s">
        <v>473</v>
      </c>
      <c r="G455" s="36"/>
      <c r="H455" s="36"/>
      <c r="I455" s="35" t="s">
        <v>479</v>
      </c>
      <c r="J455" s="82"/>
      <c r="K455" s="82"/>
      <c r="O455" s="34">
        <v>1</v>
      </c>
      <c r="P455" s="35"/>
      <c r="S455" s="38">
        <v>0</v>
      </c>
      <c r="T455" s="38">
        <v>0</v>
      </c>
      <c r="U455" s="38">
        <v>5</v>
      </c>
      <c r="W455" s="38" t="s">
        <v>178</v>
      </c>
      <c r="X455" s="38">
        <v>1</v>
      </c>
    </row>
    <row r="456" spans="1:24" x14ac:dyDescent="0.25">
      <c r="A456" s="38">
        <v>495</v>
      </c>
      <c r="B456" s="38" t="s">
        <v>36</v>
      </c>
      <c r="C456" s="38" t="s">
        <v>6</v>
      </c>
      <c r="D456" s="38" t="s">
        <v>884</v>
      </c>
      <c r="E456" s="38" t="s">
        <v>311</v>
      </c>
      <c r="F456" s="96" t="s">
        <v>473</v>
      </c>
      <c r="G456" s="36"/>
      <c r="H456" s="36"/>
      <c r="I456" s="35" t="s">
        <v>558</v>
      </c>
      <c r="J456" s="82"/>
      <c r="K456" s="82"/>
      <c r="O456" s="34">
        <v>1</v>
      </c>
      <c r="P456" s="35" t="s">
        <v>857</v>
      </c>
      <c r="S456" s="38">
        <v>60</v>
      </c>
      <c r="T456" s="38">
        <v>0</v>
      </c>
      <c r="U456" s="38">
        <v>5</v>
      </c>
      <c r="X456" s="38">
        <v>1</v>
      </c>
    </row>
    <row r="457" spans="1:24" x14ac:dyDescent="0.25">
      <c r="A457" s="38">
        <v>496</v>
      </c>
      <c r="B457" s="38" t="s">
        <v>36</v>
      </c>
      <c r="C457" s="38" t="s">
        <v>6</v>
      </c>
      <c r="D457" s="38" t="s">
        <v>884</v>
      </c>
      <c r="E457" s="38" t="s">
        <v>852</v>
      </c>
      <c r="F457" s="96" t="s">
        <v>473</v>
      </c>
      <c r="G457" s="36"/>
      <c r="H457" s="36"/>
      <c r="I457" s="35" t="s">
        <v>479</v>
      </c>
      <c r="J457" s="82"/>
      <c r="K457" s="82"/>
      <c r="O457" s="34">
        <v>1</v>
      </c>
      <c r="P457" s="35" t="s">
        <v>858</v>
      </c>
      <c r="S457" s="38">
        <v>60</v>
      </c>
      <c r="T457" s="38">
        <v>0</v>
      </c>
      <c r="U457" s="38">
        <v>5</v>
      </c>
      <c r="W457" s="38" t="s">
        <v>178</v>
      </c>
      <c r="X457" s="38">
        <v>1</v>
      </c>
    </row>
    <row r="458" spans="1:24" x14ac:dyDescent="0.25">
      <c r="A458" s="38">
        <v>497</v>
      </c>
      <c r="B458" s="38" t="s">
        <v>36</v>
      </c>
      <c r="C458" s="38" t="s">
        <v>6</v>
      </c>
      <c r="D458" s="38" t="s">
        <v>885</v>
      </c>
      <c r="E458" s="38" t="s">
        <v>877</v>
      </c>
      <c r="F458" s="96" t="s">
        <v>473</v>
      </c>
      <c r="G458" s="36"/>
      <c r="H458" s="36"/>
      <c r="I458" s="35" t="s">
        <v>558</v>
      </c>
      <c r="O458" s="34">
        <v>1</v>
      </c>
      <c r="P458" s="35"/>
      <c r="S458" s="38">
        <v>0</v>
      </c>
      <c r="T458" s="38">
        <v>0</v>
      </c>
      <c r="U458" s="38">
        <v>5</v>
      </c>
      <c r="X458" s="38">
        <v>1</v>
      </c>
    </row>
    <row r="459" spans="1:24" x14ac:dyDescent="0.25">
      <c r="A459" s="38">
        <v>498</v>
      </c>
      <c r="B459" s="38" t="s">
        <v>36</v>
      </c>
      <c r="C459" s="38" t="s">
        <v>6</v>
      </c>
      <c r="D459" s="38" t="s">
        <v>885</v>
      </c>
      <c r="E459" s="38" t="s">
        <v>878</v>
      </c>
      <c r="F459" s="96" t="s">
        <v>473</v>
      </c>
      <c r="G459" s="36"/>
      <c r="H459" s="36"/>
      <c r="I459" s="35" t="s">
        <v>479</v>
      </c>
      <c r="O459" s="34">
        <v>1</v>
      </c>
      <c r="P459" s="35"/>
      <c r="S459" s="38">
        <v>0</v>
      </c>
      <c r="T459" s="38">
        <v>0</v>
      </c>
      <c r="U459" s="38">
        <v>5</v>
      </c>
      <c r="W459" s="38" t="s">
        <v>178</v>
      </c>
      <c r="X459" s="38">
        <v>1</v>
      </c>
    </row>
    <row r="460" spans="1:24" x14ac:dyDescent="0.25">
      <c r="A460" s="38">
        <v>499</v>
      </c>
      <c r="B460" s="38" t="s">
        <v>36</v>
      </c>
      <c r="C460" s="38" t="s">
        <v>6</v>
      </c>
      <c r="D460" s="38" t="s">
        <v>885</v>
      </c>
      <c r="E460" s="38" t="s">
        <v>879</v>
      </c>
      <c r="F460" s="96" t="s">
        <v>473</v>
      </c>
      <c r="G460" s="36"/>
      <c r="H460" s="36"/>
      <c r="I460" s="35" t="s">
        <v>558</v>
      </c>
      <c r="O460" s="34">
        <v>1</v>
      </c>
      <c r="P460" s="35" t="s">
        <v>859</v>
      </c>
      <c r="S460" s="38">
        <v>60</v>
      </c>
      <c r="T460" s="38">
        <v>0</v>
      </c>
      <c r="U460" s="38">
        <v>5</v>
      </c>
      <c r="X460" s="38">
        <v>1</v>
      </c>
    </row>
    <row r="461" spans="1:24" x14ac:dyDescent="0.25">
      <c r="A461" s="38">
        <v>500</v>
      </c>
      <c r="B461" s="38" t="s">
        <v>36</v>
      </c>
      <c r="C461" s="38" t="s">
        <v>6</v>
      </c>
      <c r="D461" s="38" t="s">
        <v>885</v>
      </c>
      <c r="E461" s="38" t="s">
        <v>880</v>
      </c>
      <c r="F461" s="96" t="s">
        <v>473</v>
      </c>
      <c r="G461" s="36"/>
      <c r="H461" s="36"/>
      <c r="I461" s="35" t="s">
        <v>479</v>
      </c>
      <c r="O461" s="34">
        <v>1</v>
      </c>
      <c r="P461" s="35" t="s">
        <v>860</v>
      </c>
      <c r="S461" s="38">
        <v>60</v>
      </c>
      <c r="T461" s="38">
        <v>0</v>
      </c>
      <c r="U461" s="38">
        <v>5</v>
      </c>
      <c r="W461" s="38" t="s">
        <v>178</v>
      </c>
      <c r="X461" s="38">
        <v>1</v>
      </c>
    </row>
    <row r="462" spans="1:24" x14ac:dyDescent="0.25">
      <c r="A462" s="38">
        <v>501</v>
      </c>
      <c r="B462" s="38" t="s">
        <v>36</v>
      </c>
      <c r="C462" s="38" t="s">
        <v>6</v>
      </c>
      <c r="D462" s="38" t="s">
        <v>566</v>
      </c>
      <c r="E462" s="38">
        <v>4</v>
      </c>
      <c r="F462" s="96" t="s">
        <v>473</v>
      </c>
      <c r="G462" s="35"/>
      <c r="H462" s="35"/>
      <c r="I462" s="35" t="s">
        <v>566</v>
      </c>
      <c r="J462" s="82"/>
      <c r="K462" s="82"/>
      <c r="O462" s="34">
        <v>1</v>
      </c>
      <c r="P462" s="35"/>
      <c r="S462" s="38">
        <v>60</v>
      </c>
      <c r="T462" s="38">
        <v>0</v>
      </c>
      <c r="U462" s="38">
        <v>5</v>
      </c>
      <c r="V462" s="38" t="s">
        <v>856</v>
      </c>
      <c r="X462" s="38">
        <v>1</v>
      </c>
    </row>
    <row r="463" spans="1:24" x14ac:dyDescent="0.25">
      <c r="A463" s="38">
        <v>502</v>
      </c>
      <c r="B463" s="38" t="s">
        <v>36</v>
      </c>
      <c r="C463" s="38" t="s">
        <v>6</v>
      </c>
      <c r="D463" s="38" t="s">
        <v>566</v>
      </c>
      <c r="E463" s="38" t="s">
        <v>800</v>
      </c>
      <c r="F463" s="96" t="s">
        <v>473</v>
      </c>
      <c r="G463" s="35"/>
      <c r="H463" s="35"/>
      <c r="I463" s="35" t="s">
        <v>566</v>
      </c>
      <c r="J463" s="82"/>
      <c r="K463" s="82"/>
      <c r="O463" s="34">
        <v>1</v>
      </c>
      <c r="P463" s="34">
        <v>501</v>
      </c>
      <c r="S463" s="38">
        <v>100</v>
      </c>
      <c r="T463" s="38">
        <v>0</v>
      </c>
      <c r="U463" s="38">
        <v>5</v>
      </c>
      <c r="V463" s="38" t="s">
        <v>856</v>
      </c>
      <c r="X463" s="38">
        <v>1</v>
      </c>
    </row>
    <row r="464" spans="1:24" x14ac:dyDescent="0.25">
      <c r="A464" s="38">
        <v>503</v>
      </c>
      <c r="B464" s="38" t="s">
        <v>36</v>
      </c>
      <c r="C464" s="38" t="s">
        <v>6</v>
      </c>
      <c r="D464" s="38" t="s">
        <v>886</v>
      </c>
      <c r="E464" s="38" t="s">
        <v>528</v>
      </c>
      <c r="F464" s="96" t="s">
        <v>473</v>
      </c>
      <c r="G464" s="36"/>
      <c r="H464" s="36"/>
      <c r="I464" s="35" t="s">
        <v>528</v>
      </c>
      <c r="J464" s="82"/>
      <c r="K464" s="82"/>
      <c r="L464" s="34">
        <v>1</v>
      </c>
      <c r="P464" s="35"/>
      <c r="S464" s="38">
        <v>0</v>
      </c>
      <c r="T464" s="38">
        <v>0</v>
      </c>
      <c r="U464" s="38">
        <v>5</v>
      </c>
      <c r="X464" s="38">
        <v>1</v>
      </c>
    </row>
    <row r="465" spans="1:24" x14ac:dyDescent="0.25">
      <c r="A465" s="38">
        <v>504</v>
      </c>
      <c r="B465" s="38" t="s">
        <v>36</v>
      </c>
      <c r="C465" s="38" t="s">
        <v>6</v>
      </c>
      <c r="D465" s="38" t="s">
        <v>886</v>
      </c>
      <c r="E465" s="38" t="s">
        <v>798</v>
      </c>
      <c r="F465" s="96" t="s">
        <v>473</v>
      </c>
      <c r="G465" s="36"/>
      <c r="H465" s="36"/>
      <c r="I465" s="35" t="s">
        <v>572</v>
      </c>
      <c r="J465" s="82"/>
      <c r="K465" s="82"/>
      <c r="L465" s="34">
        <v>1</v>
      </c>
      <c r="P465" s="35" t="s">
        <v>861</v>
      </c>
      <c r="S465" s="38">
        <v>100</v>
      </c>
      <c r="T465" s="38">
        <v>0</v>
      </c>
      <c r="U465" s="38">
        <v>5</v>
      </c>
      <c r="X465" s="38">
        <v>1</v>
      </c>
    </row>
    <row r="466" spans="1:24" x14ac:dyDescent="0.25">
      <c r="A466" s="38">
        <v>505</v>
      </c>
      <c r="B466" s="38" t="s">
        <v>36</v>
      </c>
      <c r="C466" s="38" t="s">
        <v>6</v>
      </c>
      <c r="D466" s="38" t="s">
        <v>886</v>
      </c>
      <c r="E466" s="38" t="s">
        <v>799</v>
      </c>
      <c r="F466" s="96" t="s">
        <v>473</v>
      </c>
      <c r="I466" s="88" t="s">
        <v>862</v>
      </c>
      <c r="J466" s="82"/>
      <c r="K466" s="82"/>
      <c r="L466" s="34">
        <v>1</v>
      </c>
      <c r="P466" s="35"/>
      <c r="S466" s="38">
        <v>100</v>
      </c>
      <c r="T466" s="38">
        <v>0</v>
      </c>
      <c r="U466" s="38">
        <v>5</v>
      </c>
      <c r="W466" s="38" t="s">
        <v>855</v>
      </c>
      <c r="X466" s="38">
        <v>1</v>
      </c>
    </row>
    <row r="467" spans="1:24" x14ac:dyDescent="0.25">
      <c r="A467" s="38">
        <v>571</v>
      </c>
      <c r="B467" s="38" t="s">
        <v>57</v>
      </c>
      <c r="C467" s="38" t="s">
        <v>190</v>
      </c>
      <c r="D467" s="38" t="s">
        <v>236</v>
      </c>
      <c r="E467" s="38" t="s">
        <v>872</v>
      </c>
      <c r="S467" s="38">
        <v>0</v>
      </c>
      <c r="T467" s="38">
        <v>0</v>
      </c>
      <c r="W467" s="38" t="s">
        <v>875</v>
      </c>
      <c r="X467" s="38">
        <v>1</v>
      </c>
    </row>
  </sheetData>
  <autoFilter ref="A1:X46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7"/>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506</v>
      </c>
    </row>
    <row r="43" spans="1:1" x14ac:dyDescent="0.25">
      <c r="A43">
        <v>507</v>
      </c>
    </row>
    <row r="44" spans="1:1" x14ac:dyDescent="0.25">
      <c r="A44">
        <v>508</v>
      </c>
    </row>
    <row r="45" spans="1:1" x14ac:dyDescent="0.25">
      <c r="A45">
        <v>509</v>
      </c>
    </row>
    <row r="46" spans="1:1" x14ac:dyDescent="0.25">
      <c r="A46">
        <v>510</v>
      </c>
    </row>
    <row r="47" spans="1:1" x14ac:dyDescent="0.25">
      <c r="A47">
        <v>511</v>
      </c>
    </row>
    <row r="48" spans="1:1" x14ac:dyDescent="0.25">
      <c r="A48">
        <v>512</v>
      </c>
    </row>
    <row r="49" spans="1:1" x14ac:dyDescent="0.25">
      <c r="A49">
        <v>513</v>
      </c>
    </row>
    <row r="50" spans="1:1" x14ac:dyDescent="0.25">
      <c r="A50">
        <v>514</v>
      </c>
    </row>
    <row r="51" spans="1:1" x14ac:dyDescent="0.25">
      <c r="A51">
        <v>515</v>
      </c>
    </row>
    <row r="52" spans="1:1" x14ac:dyDescent="0.25">
      <c r="A52">
        <v>516</v>
      </c>
    </row>
    <row r="53" spans="1:1" x14ac:dyDescent="0.25">
      <c r="A53">
        <v>517</v>
      </c>
    </row>
    <row r="54" spans="1:1" x14ac:dyDescent="0.25">
      <c r="A54">
        <v>518</v>
      </c>
    </row>
    <row r="55" spans="1:1" x14ac:dyDescent="0.25">
      <c r="A55">
        <v>519</v>
      </c>
    </row>
    <row r="56" spans="1:1" x14ac:dyDescent="0.25">
      <c r="A56">
        <v>520</v>
      </c>
    </row>
    <row r="57" spans="1:1" x14ac:dyDescent="0.25">
      <c r="A57">
        <v>521</v>
      </c>
    </row>
    <row r="58" spans="1:1" x14ac:dyDescent="0.25">
      <c r="A58">
        <v>522</v>
      </c>
    </row>
    <row r="59" spans="1:1" x14ac:dyDescent="0.25">
      <c r="A59">
        <v>523</v>
      </c>
    </row>
    <row r="60" spans="1:1" x14ac:dyDescent="0.25">
      <c r="A60">
        <v>524</v>
      </c>
    </row>
    <row r="61" spans="1:1" x14ac:dyDescent="0.25">
      <c r="A61">
        <v>525</v>
      </c>
    </row>
    <row r="62" spans="1:1" x14ac:dyDescent="0.25">
      <c r="A62">
        <v>526</v>
      </c>
    </row>
    <row r="63" spans="1:1" x14ac:dyDescent="0.25">
      <c r="A63">
        <v>527</v>
      </c>
    </row>
    <row r="64" spans="1:1" x14ac:dyDescent="0.25">
      <c r="A64">
        <v>528</v>
      </c>
    </row>
    <row r="65" spans="1:1" x14ac:dyDescent="0.25">
      <c r="A65">
        <v>529</v>
      </c>
    </row>
    <row r="66" spans="1:1" x14ac:dyDescent="0.25">
      <c r="A66">
        <v>530</v>
      </c>
    </row>
    <row r="67" spans="1:1" x14ac:dyDescent="0.25">
      <c r="A67">
        <v>531</v>
      </c>
    </row>
    <row r="68" spans="1:1" x14ac:dyDescent="0.25">
      <c r="A68">
        <v>532</v>
      </c>
    </row>
    <row r="69" spans="1:1" x14ac:dyDescent="0.25">
      <c r="A69">
        <v>533</v>
      </c>
    </row>
    <row r="70" spans="1:1" x14ac:dyDescent="0.25">
      <c r="A70">
        <v>534</v>
      </c>
    </row>
    <row r="71" spans="1:1" x14ac:dyDescent="0.25">
      <c r="A71">
        <v>535</v>
      </c>
    </row>
    <row r="72" spans="1:1" x14ac:dyDescent="0.25">
      <c r="A72">
        <v>536</v>
      </c>
    </row>
    <row r="73" spans="1:1" x14ac:dyDescent="0.25">
      <c r="A73">
        <v>537</v>
      </c>
    </row>
    <row r="74" spans="1:1" x14ac:dyDescent="0.25">
      <c r="A74">
        <v>538</v>
      </c>
    </row>
    <row r="75" spans="1:1" x14ac:dyDescent="0.25">
      <c r="A75">
        <v>539</v>
      </c>
    </row>
    <row r="76" spans="1:1" x14ac:dyDescent="0.25">
      <c r="A76">
        <v>540</v>
      </c>
    </row>
    <row r="77" spans="1:1" x14ac:dyDescent="0.25">
      <c r="A77">
        <v>541</v>
      </c>
    </row>
    <row r="78" spans="1:1" x14ac:dyDescent="0.25">
      <c r="A78">
        <v>542</v>
      </c>
    </row>
    <row r="79" spans="1:1" x14ac:dyDescent="0.25">
      <c r="A79">
        <v>543</v>
      </c>
    </row>
    <row r="80" spans="1:1" x14ac:dyDescent="0.25">
      <c r="A80">
        <v>544</v>
      </c>
    </row>
    <row r="81" spans="1:1" x14ac:dyDescent="0.25">
      <c r="A81">
        <v>545</v>
      </c>
    </row>
    <row r="82" spans="1:1" x14ac:dyDescent="0.25">
      <c r="A82">
        <v>546</v>
      </c>
    </row>
    <row r="83" spans="1:1" x14ac:dyDescent="0.25">
      <c r="A83">
        <v>547</v>
      </c>
    </row>
    <row r="84" spans="1:1" x14ac:dyDescent="0.25">
      <c r="A84">
        <v>548</v>
      </c>
    </row>
    <row r="85" spans="1:1" x14ac:dyDescent="0.25">
      <c r="A85">
        <v>549</v>
      </c>
    </row>
    <row r="86" spans="1:1" x14ac:dyDescent="0.25">
      <c r="A86">
        <v>550</v>
      </c>
    </row>
    <row r="87" spans="1:1" x14ac:dyDescent="0.25">
      <c r="A87">
        <v>551</v>
      </c>
    </row>
    <row r="88" spans="1:1" x14ac:dyDescent="0.25">
      <c r="A88">
        <v>552</v>
      </c>
    </row>
    <row r="89" spans="1:1" x14ac:dyDescent="0.25">
      <c r="A89">
        <v>553</v>
      </c>
    </row>
    <row r="90" spans="1:1" x14ac:dyDescent="0.25">
      <c r="A90">
        <v>554</v>
      </c>
    </row>
    <row r="91" spans="1:1" x14ac:dyDescent="0.25">
      <c r="A91">
        <v>555</v>
      </c>
    </row>
    <row r="92" spans="1:1" x14ac:dyDescent="0.25">
      <c r="A92">
        <v>556</v>
      </c>
    </row>
    <row r="93" spans="1:1" x14ac:dyDescent="0.25">
      <c r="A93">
        <v>557</v>
      </c>
    </row>
    <row r="94" spans="1:1" x14ac:dyDescent="0.25">
      <c r="A94">
        <v>558</v>
      </c>
    </row>
    <row r="95" spans="1:1" x14ac:dyDescent="0.25">
      <c r="A95">
        <v>559</v>
      </c>
    </row>
    <row r="96" spans="1:1" x14ac:dyDescent="0.25">
      <c r="A96">
        <v>560</v>
      </c>
    </row>
    <row r="97" spans="1:1" x14ac:dyDescent="0.25">
      <c r="A97">
        <v>561</v>
      </c>
    </row>
    <row r="98" spans="1:1" x14ac:dyDescent="0.25">
      <c r="A98">
        <v>562</v>
      </c>
    </row>
    <row r="99" spans="1:1" x14ac:dyDescent="0.25">
      <c r="A99">
        <v>563</v>
      </c>
    </row>
    <row r="100" spans="1:1" x14ac:dyDescent="0.25">
      <c r="A100">
        <v>564</v>
      </c>
    </row>
    <row r="101" spans="1:1" x14ac:dyDescent="0.25">
      <c r="A101">
        <v>565</v>
      </c>
    </row>
    <row r="102" spans="1:1" x14ac:dyDescent="0.25">
      <c r="A102">
        <v>566</v>
      </c>
    </row>
    <row r="103" spans="1:1" x14ac:dyDescent="0.25">
      <c r="A103">
        <v>567</v>
      </c>
    </row>
    <row r="104" spans="1:1" x14ac:dyDescent="0.25">
      <c r="A104">
        <v>568</v>
      </c>
    </row>
    <row r="105" spans="1:1" x14ac:dyDescent="0.25">
      <c r="A105">
        <v>569</v>
      </c>
    </row>
    <row r="106" spans="1:1" x14ac:dyDescent="0.25">
      <c r="A106">
        <v>570</v>
      </c>
    </row>
    <row r="107" spans="1:1" x14ac:dyDescent="0.25">
      <c r="A107">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2018-04-23T18:49:17Z</dcterms:modified>
</cp:coreProperties>
</file>