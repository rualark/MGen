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sz val="9"/>
            <color indexed="81"/>
            <rFont val="Tahoma"/>
            <family val="2"/>
            <charset val="204"/>
          </rPr>
          <t>Local climax</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 or 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III-VII# downward notes, then I note</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before first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<sst xmlns="http://schemas.openxmlformats.org/spreadsheetml/2006/main" count="4007" uniqueCount="889">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</sst>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tabSelected="1" zoomScaleNormal="100" workbookViewId="0">
      <pane ySplit="1" topLeftCell="A42" activePane="bottomLeft" state="frozen"/>
      <selection activeCell="C37" sqref="C37"/>
      <selection pane="bottomLeft" activeCell="I62" sqref="I6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876</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18"/>
      <c r="B5" s="107"/>
      <c r="C5" s="3" t="s">
        <v>829</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18"/>
      <c r="B8" s="107" t="s">
        <v>73</v>
      </c>
      <c r="C8" s="3" t="s">
        <v>828</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18"/>
      <c r="B13" s="107"/>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18"/>
      <c r="B14" s="107"/>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18"/>
      <c r="B15" s="107"/>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18"/>
      <c r="B16" s="107"/>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18"/>
      <c r="B17" s="107"/>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18"/>
      <c r="B18" s="107"/>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18"/>
      <c r="B19" s="107"/>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18"/>
      <c r="B20" s="107"/>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18"/>
      <c r="B21" s="107"/>
      <c r="C21" s="26" t="s">
        <v>823</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18"/>
      <c r="B22" s="107"/>
      <c r="C22" s="104" t="s">
        <v>819</v>
      </c>
      <c r="D22" s="3"/>
      <c r="E22" s="54" t="s">
        <v>2</v>
      </c>
      <c r="F22" s="54" t="s">
        <v>3</v>
      </c>
      <c r="G22" s="56" t="s">
        <v>4</v>
      </c>
      <c r="H22" s="56" t="s">
        <v>48</v>
      </c>
      <c r="I22" s="3"/>
      <c r="J22" s="3"/>
      <c r="K22" s="3"/>
      <c r="L22" s="3"/>
      <c r="M22" s="13"/>
      <c r="N22" s="19" t="s">
        <v>824</v>
      </c>
      <c r="P22" s="2">
        <v>460</v>
      </c>
      <c r="Q22" s="2">
        <v>461</v>
      </c>
      <c r="R22" s="2">
        <v>462</v>
      </c>
      <c r="S22" s="2">
        <v>463</v>
      </c>
      <c r="U22" s="2"/>
      <c r="V22" s="2"/>
      <c r="W22" s="2"/>
      <c r="X22" s="2"/>
    </row>
    <row r="23" spans="1:24" ht="15.9" customHeight="1" x14ac:dyDescent="0.25">
      <c r="A23" s="118"/>
      <c r="B23" s="107"/>
      <c r="C23" s="104" t="s">
        <v>821</v>
      </c>
      <c r="D23" s="3"/>
      <c r="E23" s="54" t="s">
        <v>2</v>
      </c>
      <c r="F23" s="54" t="s">
        <v>3</v>
      </c>
      <c r="G23" s="56" t="s">
        <v>4</v>
      </c>
      <c r="H23" s="56" t="s">
        <v>48</v>
      </c>
      <c r="I23" s="3"/>
      <c r="J23" s="3"/>
      <c r="K23" s="3"/>
      <c r="L23" s="3"/>
      <c r="M23" s="4"/>
      <c r="N23" s="19" t="s">
        <v>825</v>
      </c>
      <c r="P23" s="2">
        <v>464</v>
      </c>
      <c r="Q23" s="2">
        <v>465</v>
      </c>
      <c r="R23" s="2">
        <v>466</v>
      </c>
      <c r="S23" s="2">
        <v>467</v>
      </c>
      <c r="U23" s="2"/>
      <c r="V23" s="2"/>
      <c r="W23" s="2"/>
      <c r="X23" s="2"/>
    </row>
    <row r="24" spans="1:24" ht="15.9" customHeight="1" x14ac:dyDescent="0.25">
      <c r="A24" s="118"/>
      <c r="B24" s="107"/>
      <c r="C24" s="104" t="s">
        <v>820</v>
      </c>
      <c r="D24" s="3"/>
      <c r="E24" s="54" t="s">
        <v>2</v>
      </c>
      <c r="F24" s="54" t="s">
        <v>3</v>
      </c>
      <c r="G24" s="56" t="s">
        <v>4</v>
      </c>
      <c r="H24" s="56" t="s">
        <v>48</v>
      </c>
      <c r="I24" s="99"/>
      <c r="J24" s="3"/>
      <c r="K24" s="3"/>
      <c r="L24" s="3"/>
      <c r="M24" s="4"/>
      <c r="N24" s="19" t="s">
        <v>826</v>
      </c>
      <c r="P24" s="2">
        <v>468</v>
      </c>
      <c r="Q24" s="2">
        <v>469</v>
      </c>
      <c r="R24" s="2">
        <v>470</v>
      </c>
      <c r="S24" s="2">
        <v>471</v>
      </c>
      <c r="U24" s="2"/>
      <c r="V24" s="2"/>
      <c r="W24" s="2"/>
      <c r="X24" s="2"/>
    </row>
    <row r="25" spans="1:24" ht="15.9" customHeight="1" x14ac:dyDescent="0.25">
      <c r="A25" s="118"/>
      <c r="B25" s="107"/>
      <c r="C25" s="104" t="s">
        <v>822</v>
      </c>
      <c r="D25" s="3"/>
      <c r="E25" s="54" t="s">
        <v>2</v>
      </c>
      <c r="F25" s="54" t="s">
        <v>3</v>
      </c>
      <c r="G25" s="56" t="s">
        <v>4</v>
      </c>
      <c r="H25" s="56" t="s">
        <v>48</v>
      </c>
      <c r="I25" s="3"/>
      <c r="J25" s="3"/>
      <c r="K25" s="3"/>
      <c r="L25" s="3"/>
      <c r="M25" s="4"/>
      <c r="N25" s="19" t="s">
        <v>827</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879</v>
      </c>
      <c r="D29" s="3">
        <v>0</v>
      </c>
      <c r="E29" s="49" t="s">
        <v>276</v>
      </c>
      <c r="F29" s="49" t="s">
        <v>871</v>
      </c>
      <c r="G29" s="48" t="s">
        <v>311</v>
      </c>
      <c r="H29" s="48" t="s">
        <v>848</v>
      </c>
      <c r="I29" s="3"/>
      <c r="J29" s="3"/>
      <c r="K29" s="3"/>
      <c r="L29" s="3"/>
      <c r="M29" s="13"/>
      <c r="N29" s="42"/>
      <c r="P29" s="2">
        <v>493</v>
      </c>
      <c r="Q29" s="2">
        <v>494</v>
      </c>
      <c r="R29" s="2">
        <v>495</v>
      </c>
      <c r="S29" s="2">
        <v>496</v>
      </c>
      <c r="T29" s="23"/>
      <c r="U29" s="23"/>
    </row>
    <row r="30" spans="1:24" ht="15.9" customHeight="1" x14ac:dyDescent="0.25">
      <c r="A30" s="118"/>
      <c r="B30" s="107"/>
      <c r="C30" s="25" t="s">
        <v>879</v>
      </c>
      <c r="D30" s="3">
        <v>1</v>
      </c>
      <c r="E30" s="49" t="s">
        <v>310</v>
      </c>
      <c r="F30" s="49" t="s">
        <v>871</v>
      </c>
      <c r="G30" s="48" t="s">
        <v>311</v>
      </c>
      <c r="H30" s="48" t="s">
        <v>848</v>
      </c>
      <c r="I30" s="3"/>
      <c r="J30" s="3"/>
      <c r="K30" s="3"/>
      <c r="L30" s="3"/>
      <c r="M30" s="13"/>
      <c r="N30" s="42"/>
      <c r="P30" s="2">
        <v>493</v>
      </c>
      <c r="Q30" s="2">
        <v>494</v>
      </c>
      <c r="R30" s="2">
        <v>495</v>
      </c>
      <c r="S30" s="2">
        <v>496</v>
      </c>
      <c r="T30" s="23"/>
      <c r="U30" s="23"/>
    </row>
    <row r="31" spans="1:24" ht="15.9" customHeight="1" x14ac:dyDescent="0.25">
      <c r="A31" s="118"/>
      <c r="B31" s="107"/>
      <c r="C31" s="25" t="s">
        <v>879</v>
      </c>
      <c r="D31" s="3">
        <v>2</v>
      </c>
      <c r="E31" s="48" t="s">
        <v>310</v>
      </c>
      <c r="F31" s="48" t="s">
        <v>849</v>
      </c>
      <c r="G31" s="50" t="s">
        <v>276</v>
      </c>
      <c r="H31" s="50" t="s">
        <v>871</v>
      </c>
      <c r="I31" s="3"/>
      <c r="J31" s="3"/>
      <c r="K31" s="3"/>
      <c r="L31" s="3"/>
      <c r="M31" s="13"/>
      <c r="N31" s="42"/>
      <c r="P31" s="2">
        <v>493</v>
      </c>
      <c r="Q31" s="2">
        <v>494</v>
      </c>
      <c r="R31" s="2">
        <v>495</v>
      </c>
      <c r="S31" s="2">
        <v>496</v>
      </c>
      <c r="T31" s="23"/>
      <c r="U31" s="23"/>
    </row>
    <row r="32" spans="1:24" ht="15.9" customHeight="1" x14ac:dyDescent="0.25">
      <c r="A32" s="118"/>
      <c r="B32" s="107"/>
      <c r="C32" s="25" t="s">
        <v>879</v>
      </c>
      <c r="D32" s="3">
        <v>3</v>
      </c>
      <c r="E32" s="48" t="s">
        <v>310</v>
      </c>
      <c r="F32" s="48" t="s">
        <v>849</v>
      </c>
      <c r="G32" s="50" t="s">
        <v>310</v>
      </c>
      <c r="H32" s="50" t="s">
        <v>849</v>
      </c>
      <c r="I32" s="3"/>
      <c r="J32" s="3"/>
      <c r="K32" s="3"/>
      <c r="L32" s="3"/>
      <c r="M32" s="13"/>
      <c r="N32" s="42"/>
      <c r="P32" s="2">
        <v>493</v>
      </c>
      <c r="Q32" s="2">
        <v>494</v>
      </c>
      <c r="R32" s="2">
        <v>495</v>
      </c>
      <c r="S32" s="2">
        <v>496</v>
      </c>
      <c r="T32" s="23"/>
      <c r="U32" s="23"/>
    </row>
    <row r="33" spans="1:21" ht="15.9" customHeight="1" x14ac:dyDescent="0.25">
      <c r="A33" s="118"/>
      <c r="B33" s="107"/>
      <c r="C33" s="25" t="s">
        <v>879</v>
      </c>
      <c r="D33" s="3">
        <v>4</v>
      </c>
      <c r="E33" s="49" t="s">
        <v>276</v>
      </c>
      <c r="F33" s="49" t="s">
        <v>871</v>
      </c>
      <c r="G33" s="48" t="s">
        <v>311</v>
      </c>
      <c r="H33" s="48" t="s">
        <v>848</v>
      </c>
      <c r="I33" s="3"/>
      <c r="J33" s="3"/>
      <c r="K33" s="3"/>
      <c r="L33" s="3"/>
      <c r="M33" s="13"/>
      <c r="N33" s="42"/>
      <c r="P33" s="2">
        <v>493</v>
      </c>
      <c r="Q33" s="2">
        <v>494</v>
      </c>
      <c r="R33" s="2">
        <v>495</v>
      </c>
      <c r="S33" s="2">
        <v>496</v>
      </c>
      <c r="T33" s="23"/>
      <c r="U33" s="23"/>
    </row>
    <row r="34" spans="1:21" ht="15.9" customHeight="1" x14ac:dyDescent="0.25">
      <c r="A34" s="118"/>
      <c r="B34" s="107"/>
      <c r="C34" s="25" t="s">
        <v>879</v>
      </c>
      <c r="D34" s="3">
        <v>5</v>
      </c>
      <c r="E34" s="49" t="s">
        <v>276</v>
      </c>
      <c r="F34" s="49" t="s">
        <v>871</v>
      </c>
      <c r="G34" s="48" t="s">
        <v>311</v>
      </c>
      <c r="H34" s="48" t="s">
        <v>848</v>
      </c>
      <c r="I34" s="3"/>
      <c r="J34" s="3"/>
      <c r="K34" s="3"/>
      <c r="L34" s="3"/>
      <c r="M34" s="13"/>
      <c r="N34" s="42"/>
      <c r="P34" s="2">
        <v>493</v>
      </c>
      <c r="Q34" s="2">
        <v>494</v>
      </c>
      <c r="R34" s="2">
        <v>495</v>
      </c>
      <c r="S34" s="2">
        <v>496</v>
      </c>
      <c r="T34" s="23"/>
      <c r="U34" s="23"/>
    </row>
    <row r="35" spans="1:21" ht="15.9" customHeight="1" x14ac:dyDescent="0.25">
      <c r="A35" s="118"/>
      <c r="B35" s="107"/>
      <c r="C35" s="25" t="s">
        <v>880</v>
      </c>
      <c r="D35" s="3">
        <v>0</v>
      </c>
      <c r="E35" s="49" t="s">
        <v>872</v>
      </c>
      <c r="F35" s="49" t="s">
        <v>873</v>
      </c>
      <c r="G35" s="48" t="s">
        <v>874</v>
      </c>
      <c r="H35" s="48" t="s">
        <v>875</v>
      </c>
      <c r="I35" s="3"/>
      <c r="J35" s="3"/>
      <c r="K35" s="3"/>
      <c r="L35" s="3"/>
      <c r="M35" s="13"/>
      <c r="N35" s="42"/>
      <c r="P35" s="2">
        <v>497</v>
      </c>
      <c r="Q35" s="2">
        <v>498</v>
      </c>
      <c r="R35" s="2">
        <v>499</v>
      </c>
      <c r="S35" s="2">
        <v>500</v>
      </c>
      <c r="T35" s="23"/>
      <c r="U35" s="23"/>
    </row>
    <row r="36" spans="1:21" ht="15.9" customHeight="1" x14ac:dyDescent="0.25">
      <c r="A36" s="118"/>
      <c r="B36" s="107"/>
      <c r="C36" s="25" t="s">
        <v>880</v>
      </c>
      <c r="D36" s="3">
        <v>1</v>
      </c>
      <c r="E36" s="49" t="s">
        <v>311</v>
      </c>
      <c r="F36" s="49" t="s">
        <v>873</v>
      </c>
      <c r="G36" s="48" t="s">
        <v>874</v>
      </c>
      <c r="H36" s="48" t="s">
        <v>875</v>
      </c>
      <c r="I36" s="3"/>
      <c r="J36" s="3"/>
      <c r="K36" s="3"/>
      <c r="L36" s="3"/>
      <c r="M36" s="13"/>
      <c r="N36" s="42"/>
      <c r="P36" s="2">
        <v>497</v>
      </c>
      <c r="Q36" s="2">
        <v>498</v>
      </c>
      <c r="R36" s="2">
        <v>499</v>
      </c>
      <c r="S36" s="2">
        <v>500</v>
      </c>
      <c r="T36" s="23"/>
      <c r="U36" s="23"/>
    </row>
    <row r="37" spans="1:21" ht="15.9" customHeight="1" x14ac:dyDescent="0.25">
      <c r="A37" s="118"/>
      <c r="B37" s="107"/>
      <c r="C37" s="25" t="s">
        <v>880</v>
      </c>
      <c r="D37" s="3">
        <v>2</v>
      </c>
      <c r="E37" s="48" t="s">
        <v>311</v>
      </c>
      <c r="F37" s="48" t="s">
        <v>850</v>
      </c>
      <c r="G37" s="50" t="s">
        <v>311</v>
      </c>
      <c r="H37" s="50" t="s">
        <v>850</v>
      </c>
      <c r="I37" s="3"/>
      <c r="J37" s="3"/>
      <c r="K37" s="3"/>
      <c r="L37" s="3"/>
      <c r="M37" s="13"/>
      <c r="N37" s="42"/>
      <c r="P37" s="2">
        <v>497</v>
      </c>
      <c r="Q37" s="2">
        <v>498</v>
      </c>
      <c r="R37" s="2">
        <v>499</v>
      </c>
      <c r="S37" s="2">
        <v>500</v>
      </c>
      <c r="T37" s="23"/>
      <c r="U37" s="23"/>
    </row>
    <row r="38" spans="1:21" ht="15.9" customHeight="1" x14ac:dyDescent="0.25">
      <c r="A38" s="118"/>
      <c r="B38" s="107"/>
      <c r="C38" s="25" t="s">
        <v>880</v>
      </c>
      <c r="D38" s="3">
        <v>3</v>
      </c>
      <c r="E38" s="48" t="s">
        <v>311</v>
      </c>
      <c r="F38" s="48" t="s">
        <v>850</v>
      </c>
      <c r="G38" s="50" t="s">
        <v>311</v>
      </c>
      <c r="H38" s="50" t="s">
        <v>850</v>
      </c>
      <c r="I38" s="3"/>
      <c r="J38" s="3"/>
      <c r="K38" s="3"/>
      <c r="L38" s="3"/>
      <c r="M38" s="13"/>
      <c r="N38" s="42"/>
      <c r="P38" s="2">
        <v>497</v>
      </c>
      <c r="Q38" s="2">
        <v>498</v>
      </c>
      <c r="R38" s="2">
        <v>499</v>
      </c>
      <c r="S38" s="2">
        <v>500</v>
      </c>
      <c r="T38" s="23"/>
      <c r="U38" s="23"/>
    </row>
    <row r="39" spans="1:21" ht="15.9" customHeight="1" x14ac:dyDescent="0.25">
      <c r="A39" s="118"/>
      <c r="B39" s="107"/>
      <c r="C39" s="25" t="s">
        <v>880</v>
      </c>
      <c r="D39" s="3">
        <v>4</v>
      </c>
      <c r="E39" s="49" t="s">
        <v>872</v>
      </c>
      <c r="F39" s="49" t="s">
        <v>873</v>
      </c>
      <c r="G39" s="48" t="s">
        <v>874</v>
      </c>
      <c r="H39" s="48" t="s">
        <v>875</v>
      </c>
      <c r="I39" s="3"/>
      <c r="J39" s="3"/>
      <c r="K39" s="3"/>
      <c r="L39" s="3"/>
      <c r="M39" s="13"/>
      <c r="N39" s="42"/>
      <c r="P39" s="2">
        <v>497</v>
      </c>
      <c r="Q39" s="2">
        <v>498</v>
      </c>
      <c r="R39" s="2">
        <v>499</v>
      </c>
      <c r="S39" s="2">
        <v>500</v>
      </c>
      <c r="T39" s="23"/>
      <c r="U39" s="23"/>
    </row>
    <row r="40" spans="1:21" ht="15.9" customHeight="1" x14ac:dyDescent="0.25">
      <c r="A40" s="118"/>
      <c r="B40" s="107"/>
      <c r="C40" s="25" t="s">
        <v>880</v>
      </c>
      <c r="D40" s="3">
        <v>5</v>
      </c>
      <c r="E40" s="49" t="s">
        <v>872</v>
      </c>
      <c r="F40" s="49" t="s">
        <v>873</v>
      </c>
      <c r="G40" s="48" t="s">
        <v>874</v>
      </c>
      <c r="H40" s="48" t="s">
        <v>875</v>
      </c>
      <c r="I40" s="3"/>
      <c r="J40" s="3"/>
      <c r="K40" s="3"/>
      <c r="L40" s="3"/>
      <c r="M40" s="13"/>
      <c r="N40" s="42"/>
      <c r="P40" s="2">
        <v>497</v>
      </c>
      <c r="Q40" s="2">
        <v>498</v>
      </c>
      <c r="R40" s="2">
        <v>499</v>
      </c>
      <c r="S40" s="2">
        <v>500</v>
      </c>
      <c r="T40" s="23"/>
      <c r="U40" s="23"/>
    </row>
    <row r="41" spans="1:21" ht="15.9" customHeight="1" x14ac:dyDescent="0.25">
      <c r="A41" s="118"/>
      <c r="B41" s="107"/>
      <c r="C41" s="3" t="s">
        <v>564</v>
      </c>
      <c r="D41" s="3">
        <v>12340</v>
      </c>
      <c r="E41" s="48">
        <v>3</v>
      </c>
      <c r="F41" s="50" t="s">
        <v>50</v>
      </c>
      <c r="G41" s="3"/>
      <c r="H41" s="3"/>
      <c r="I41" s="3"/>
      <c r="J41" s="3"/>
      <c r="K41" s="3"/>
      <c r="L41" s="3"/>
      <c r="M41" s="13"/>
      <c r="N41" s="42" t="s">
        <v>852</v>
      </c>
      <c r="P41" s="2">
        <v>501</v>
      </c>
      <c r="Q41" s="2">
        <v>502</v>
      </c>
      <c r="R41" s="23"/>
      <c r="S41" s="23"/>
      <c r="T41" s="23"/>
      <c r="U41" s="23"/>
    </row>
    <row r="42" spans="1:21" ht="15.9" customHeight="1" x14ac:dyDescent="0.25">
      <c r="A42" s="118"/>
      <c r="B42" s="107"/>
      <c r="C42" s="3" t="s">
        <v>564</v>
      </c>
      <c r="D42" s="3">
        <v>5</v>
      </c>
      <c r="E42" s="48">
        <v>4</v>
      </c>
      <c r="F42" s="50" t="s">
        <v>796</v>
      </c>
      <c r="G42" s="3"/>
      <c r="H42" s="3"/>
      <c r="I42" s="3"/>
      <c r="J42" s="3"/>
      <c r="K42" s="3"/>
      <c r="L42" s="3"/>
      <c r="M42" s="13"/>
      <c r="N42" s="42" t="s">
        <v>852</v>
      </c>
      <c r="P42" s="2">
        <v>501</v>
      </c>
      <c r="Q42" s="2">
        <v>502</v>
      </c>
      <c r="R42" s="23"/>
      <c r="S42" s="23"/>
      <c r="T42" s="23"/>
      <c r="U42" s="23"/>
    </row>
    <row r="43" spans="1:21" ht="15.9" customHeight="1" x14ac:dyDescent="0.25">
      <c r="A43" s="118"/>
      <c r="B43" s="107"/>
      <c r="C43" s="3" t="s">
        <v>881</v>
      </c>
      <c r="D43" s="3">
        <v>12340</v>
      </c>
      <c r="E43" s="54" t="s">
        <v>526</v>
      </c>
      <c r="F43" s="56" t="s">
        <v>794</v>
      </c>
      <c r="G43" s="56" t="s">
        <v>795</v>
      </c>
      <c r="H43" s="3"/>
      <c r="I43" s="3"/>
      <c r="J43" s="3"/>
      <c r="K43" s="3"/>
      <c r="L43" s="3"/>
      <c r="M43" s="13"/>
      <c r="N43" s="19"/>
      <c r="P43" s="2">
        <v>503</v>
      </c>
      <c r="Q43" s="2">
        <v>504</v>
      </c>
      <c r="R43" s="2">
        <v>505</v>
      </c>
      <c r="S43" s="23"/>
      <c r="T43" s="23"/>
      <c r="U43" s="23"/>
    </row>
    <row r="44" spans="1:21" ht="15.9" customHeight="1" x14ac:dyDescent="0.25">
      <c r="A44" s="118"/>
      <c r="B44" s="107"/>
      <c r="C44" s="3" t="s">
        <v>881</v>
      </c>
      <c r="D44" s="3">
        <v>5</v>
      </c>
      <c r="E44" s="57" t="s">
        <v>526</v>
      </c>
      <c r="F44" s="56" t="s">
        <v>794</v>
      </c>
      <c r="G44" s="56" t="s">
        <v>795</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670</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671</v>
      </c>
      <c r="P46" s="2">
        <v>302</v>
      </c>
      <c r="R46" s="2">
        <v>303</v>
      </c>
    </row>
    <row r="47" spans="1:21" ht="15.9" customHeight="1" x14ac:dyDescent="0.25">
      <c r="A47" s="118"/>
      <c r="B47" s="110" t="s">
        <v>12</v>
      </c>
      <c r="C47" s="26" t="s">
        <v>877</v>
      </c>
      <c r="D47" s="3">
        <v>104</v>
      </c>
      <c r="E47" s="56" t="s">
        <v>322</v>
      </c>
      <c r="F47" s="57" t="s">
        <v>320</v>
      </c>
      <c r="G47" s="4" t="s">
        <v>321</v>
      </c>
      <c r="H47" s="3"/>
      <c r="I47" s="3"/>
      <c r="J47" s="3"/>
      <c r="K47" s="3"/>
      <c r="L47" s="3"/>
      <c r="M47" s="10"/>
      <c r="N47" s="19" t="s">
        <v>672</v>
      </c>
      <c r="P47" s="2">
        <v>402</v>
      </c>
      <c r="Q47" s="2">
        <v>403</v>
      </c>
      <c r="R47" s="2">
        <v>404</v>
      </c>
    </row>
    <row r="48" spans="1:21" ht="15.9" customHeight="1" x14ac:dyDescent="0.25">
      <c r="A48" s="118"/>
      <c r="B48" s="111"/>
      <c r="C48" s="26" t="s">
        <v>877</v>
      </c>
      <c r="D48" s="3">
        <v>23</v>
      </c>
      <c r="E48" s="57" t="s">
        <v>322</v>
      </c>
      <c r="F48" s="57" t="s">
        <v>320</v>
      </c>
      <c r="G48" s="4" t="s">
        <v>321</v>
      </c>
      <c r="H48" s="3"/>
      <c r="I48" s="3"/>
      <c r="J48" s="3"/>
      <c r="K48" s="3"/>
      <c r="L48" s="3"/>
      <c r="M48" s="10"/>
      <c r="N48" s="19" t="s">
        <v>672</v>
      </c>
      <c r="P48" s="1">
        <v>402</v>
      </c>
      <c r="Q48" s="1">
        <v>403</v>
      </c>
      <c r="R48" s="1">
        <v>404</v>
      </c>
    </row>
    <row r="49" spans="1:22" ht="15.9" customHeight="1" x14ac:dyDescent="0.25">
      <c r="A49" s="118"/>
      <c r="B49" s="111"/>
      <c r="C49" s="26" t="s">
        <v>878</v>
      </c>
      <c r="D49" s="3">
        <v>23</v>
      </c>
      <c r="E49" s="54" t="s">
        <v>322</v>
      </c>
      <c r="F49" s="54" t="s">
        <v>320</v>
      </c>
      <c r="G49" s="57" t="s">
        <v>321</v>
      </c>
      <c r="H49" s="3"/>
      <c r="I49" s="3"/>
      <c r="J49" s="3"/>
      <c r="K49" s="3"/>
      <c r="L49" s="3"/>
      <c r="M49" s="10"/>
      <c r="N49" s="19" t="s">
        <v>673</v>
      </c>
      <c r="P49" s="1">
        <v>411</v>
      </c>
      <c r="Q49" s="1">
        <v>412</v>
      </c>
      <c r="R49" s="1">
        <v>413</v>
      </c>
    </row>
    <row r="50" spans="1:22" ht="15.9" customHeight="1" x14ac:dyDescent="0.25">
      <c r="A50" s="118"/>
      <c r="B50" s="111"/>
      <c r="C50" s="26" t="s">
        <v>877</v>
      </c>
      <c r="D50" s="3">
        <v>5</v>
      </c>
      <c r="E50" s="54" t="s">
        <v>322</v>
      </c>
      <c r="F50" s="57" t="s">
        <v>320</v>
      </c>
      <c r="G50" s="4" t="s">
        <v>321</v>
      </c>
      <c r="H50" s="3"/>
      <c r="I50" s="3"/>
      <c r="J50" s="3"/>
      <c r="K50" s="3"/>
      <c r="L50" s="3"/>
      <c r="M50" s="13"/>
      <c r="N50" s="19" t="s">
        <v>672</v>
      </c>
      <c r="P50" s="1">
        <v>402</v>
      </c>
      <c r="Q50" s="1">
        <v>403</v>
      </c>
      <c r="R50" s="1">
        <v>404</v>
      </c>
    </row>
    <row r="51" spans="1:22" ht="15.9" customHeight="1" x14ac:dyDescent="0.25">
      <c r="A51" s="118"/>
      <c r="B51" s="111"/>
      <c r="C51" s="26" t="s">
        <v>878</v>
      </c>
      <c r="D51" s="3">
        <v>5</v>
      </c>
      <c r="E51" s="54" t="s">
        <v>322</v>
      </c>
      <c r="F51" s="54" t="s">
        <v>320</v>
      </c>
      <c r="G51" s="57" t="s">
        <v>321</v>
      </c>
      <c r="H51" s="3"/>
      <c r="I51" s="3"/>
      <c r="J51" s="3"/>
      <c r="K51" s="3"/>
      <c r="L51" s="3"/>
      <c r="M51" s="13"/>
      <c r="N51" s="19" t="s">
        <v>673</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383</v>
      </c>
      <c r="J53" s="3"/>
      <c r="K53" s="3"/>
      <c r="L53" s="3"/>
      <c r="M53" s="43"/>
      <c r="N53" s="19"/>
      <c r="P53" s="2">
        <v>76</v>
      </c>
      <c r="Q53" s="2">
        <v>36</v>
      </c>
      <c r="R53" s="2">
        <v>72</v>
      </c>
      <c r="S53" s="2">
        <v>73</v>
      </c>
      <c r="T53" s="2">
        <v>348</v>
      </c>
    </row>
    <row r="54" spans="1:22" ht="15.9" customHeight="1" x14ac:dyDescent="0.25">
      <c r="A54" s="118"/>
      <c r="B54" s="111"/>
      <c r="C54" s="3" t="s">
        <v>116</v>
      </c>
      <c r="D54" s="3"/>
      <c r="E54" s="48" t="s">
        <v>280</v>
      </c>
      <c r="F54" s="3"/>
      <c r="G54" s="3"/>
      <c r="H54" s="3"/>
      <c r="I54" s="3"/>
      <c r="J54" s="3"/>
      <c r="K54" s="3"/>
      <c r="L54" s="3"/>
      <c r="M54" s="10"/>
      <c r="N54" s="19" t="s">
        <v>674</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675</v>
      </c>
      <c r="P55" s="2">
        <v>10</v>
      </c>
      <c r="Q55" s="2">
        <v>39</v>
      </c>
    </row>
    <row r="56" spans="1:22" ht="15.9" customHeight="1" x14ac:dyDescent="0.25">
      <c r="A56" s="118"/>
      <c r="B56" s="112"/>
      <c r="C56" s="25" t="s">
        <v>375</v>
      </c>
      <c r="D56" s="3"/>
      <c r="E56" s="49" t="s">
        <v>376</v>
      </c>
      <c r="F56" s="77" t="s">
        <v>377</v>
      </c>
      <c r="G56" s="49" t="s">
        <v>378</v>
      </c>
      <c r="H56" s="3"/>
      <c r="I56" s="3"/>
      <c r="J56" s="3"/>
      <c r="K56" s="3"/>
      <c r="L56" s="3"/>
      <c r="M56" s="13"/>
      <c r="N56" s="19"/>
      <c r="P56" s="2">
        <v>344</v>
      </c>
      <c r="Q56" s="2">
        <v>345</v>
      </c>
      <c r="R56" s="2">
        <v>346</v>
      </c>
    </row>
    <row r="57" spans="1:22" ht="15.9" customHeight="1" x14ac:dyDescent="0.25">
      <c r="A57" s="118"/>
      <c r="B57" s="110" t="s">
        <v>428</v>
      </c>
      <c r="C57" s="26" t="s">
        <v>427</v>
      </c>
      <c r="D57" s="3"/>
      <c r="E57" s="57" t="s">
        <v>46</v>
      </c>
      <c r="F57" s="54" t="s">
        <v>47</v>
      </c>
      <c r="G57" s="57" t="s">
        <v>20</v>
      </c>
      <c r="H57" s="3"/>
      <c r="I57" s="3"/>
      <c r="J57" s="3"/>
      <c r="K57" s="3"/>
      <c r="L57" s="3"/>
      <c r="M57" s="4"/>
      <c r="N57" s="19" t="s">
        <v>455</v>
      </c>
      <c r="P57" s="2">
        <v>2</v>
      </c>
      <c r="Q57" s="2">
        <v>31</v>
      </c>
      <c r="R57" s="2">
        <v>32</v>
      </c>
      <c r="S57" s="2"/>
      <c r="T57" s="2"/>
      <c r="U57" s="2"/>
    </row>
    <row r="58" spans="1:22" ht="15.9" customHeight="1" x14ac:dyDescent="0.25">
      <c r="A58" s="118"/>
      <c r="B58" s="111"/>
      <c r="C58" s="26" t="s">
        <v>373</v>
      </c>
      <c r="D58" s="3"/>
      <c r="E58" s="57" t="s">
        <v>46</v>
      </c>
      <c r="F58" s="54" t="s">
        <v>47</v>
      </c>
      <c r="G58" s="57" t="s">
        <v>20</v>
      </c>
      <c r="H58" s="47"/>
      <c r="I58" s="3"/>
      <c r="J58" s="3"/>
      <c r="K58" s="3"/>
      <c r="L58" s="3"/>
      <c r="M58" s="43"/>
      <c r="N58" s="19" t="s">
        <v>466</v>
      </c>
      <c r="P58" s="2">
        <v>371</v>
      </c>
      <c r="Q58" s="2">
        <v>372</v>
      </c>
      <c r="R58" s="2">
        <v>373</v>
      </c>
      <c r="S58" s="2"/>
    </row>
    <row r="59" spans="1:22" ht="15.9" customHeight="1" x14ac:dyDescent="0.25">
      <c r="A59" s="118"/>
      <c r="B59" s="110" t="s">
        <v>429</v>
      </c>
      <c r="C59" s="26" t="s">
        <v>797</v>
      </c>
      <c r="D59" s="3"/>
      <c r="E59" s="57" t="s">
        <v>46</v>
      </c>
      <c r="F59" s="54" t="s">
        <v>47</v>
      </c>
      <c r="G59" s="57" t="s">
        <v>20</v>
      </c>
      <c r="H59" s="3"/>
      <c r="I59" s="3"/>
      <c r="J59" s="3"/>
      <c r="K59" s="3"/>
      <c r="L59" s="3"/>
      <c r="M59" s="4"/>
      <c r="N59" s="19" t="s">
        <v>424</v>
      </c>
      <c r="P59" s="2">
        <v>368</v>
      </c>
      <c r="Q59" s="2">
        <v>369</v>
      </c>
      <c r="R59" s="2">
        <v>370</v>
      </c>
      <c r="S59" s="2"/>
      <c r="T59" s="2"/>
      <c r="U59" s="2"/>
    </row>
    <row r="60" spans="1:22" ht="15.9" customHeight="1" x14ac:dyDescent="0.25">
      <c r="A60" s="118"/>
      <c r="B60" s="111"/>
      <c r="C60" s="26" t="s">
        <v>798</v>
      </c>
      <c r="D60" s="3"/>
      <c r="E60" s="55" t="s">
        <v>46</v>
      </c>
      <c r="F60" s="56" t="s">
        <v>47</v>
      </c>
      <c r="G60" s="57" t="s">
        <v>20</v>
      </c>
      <c r="H60" s="3"/>
      <c r="I60" s="3"/>
      <c r="J60" s="3"/>
      <c r="K60" s="3"/>
      <c r="L60" s="3"/>
      <c r="M60" s="4"/>
      <c r="N60" s="19" t="s">
        <v>424</v>
      </c>
      <c r="P60" s="2">
        <v>365</v>
      </c>
      <c r="Q60" s="2">
        <v>366</v>
      </c>
      <c r="R60" s="2">
        <v>367</v>
      </c>
    </row>
    <row r="61" spans="1:22" ht="15.9" customHeight="1" x14ac:dyDescent="0.25">
      <c r="A61" s="118"/>
      <c r="B61" s="111"/>
      <c r="C61" s="26" t="s">
        <v>799</v>
      </c>
      <c r="D61" s="3"/>
      <c r="E61" s="55" t="s">
        <v>46</v>
      </c>
      <c r="F61" s="56" t="s">
        <v>47</v>
      </c>
      <c r="G61" s="57" t="s">
        <v>20</v>
      </c>
      <c r="H61" s="3"/>
      <c r="I61" s="3"/>
      <c r="J61" s="3"/>
      <c r="K61" s="3"/>
      <c r="L61" s="3"/>
      <c r="M61" s="4"/>
      <c r="N61" s="19" t="s">
        <v>425</v>
      </c>
      <c r="P61" s="2">
        <v>360</v>
      </c>
      <c r="Q61" s="2">
        <v>361</v>
      </c>
      <c r="R61" s="2">
        <v>362</v>
      </c>
    </row>
    <row r="62" spans="1:22" ht="15.9" customHeight="1" x14ac:dyDescent="0.25">
      <c r="A62" s="118"/>
      <c r="B62" s="111"/>
      <c r="C62" s="26" t="s">
        <v>800</v>
      </c>
      <c r="D62" s="3"/>
      <c r="E62" s="57" t="s">
        <v>46</v>
      </c>
      <c r="F62" s="54" t="s">
        <v>47</v>
      </c>
      <c r="G62" s="57" t="s">
        <v>20</v>
      </c>
      <c r="H62" s="47"/>
      <c r="I62" s="3"/>
      <c r="J62" s="3"/>
      <c r="K62" s="3"/>
      <c r="L62" s="3"/>
      <c r="M62" s="43"/>
      <c r="N62" s="19" t="s">
        <v>423</v>
      </c>
      <c r="P62" s="2">
        <v>18</v>
      </c>
      <c r="Q62" s="2">
        <v>19</v>
      </c>
      <c r="R62" s="2">
        <v>363</v>
      </c>
      <c r="S62" s="2"/>
    </row>
    <row r="63" spans="1:22" ht="15.9" customHeight="1" x14ac:dyDescent="0.25">
      <c r="A63" s="118"/>
      <c r="B63" s="112"/>
      <c r="C63" s="26" t="s">
        <v>801</v>
      </c>
      <c r="D63" s="3"/>
      <c r="E63" s="57" t="s">
        <v>46</v>
      </c>
      <c r="F63" s="54" t="s">
        <v>47</v>
      </c>
      <c r="G63" s="57" t="s">
        <v>20</v>
      </c>
      <c r="H63" s="47"/>
      <c r="I63" s="3"/>
      <c r="J63" s="3"/>
      <c r="K63" s="3"/>
      <c r="L63" s="3"/>
      <c r="M63" s="43"/>
      <c r="N63" s="19" t="s">
        <v>426</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676</v>
      </c>
      <c r="P64" s="2">
        <v>67</v>
      </c>
      <c r="Q64" s="2">
        <v>68</v>
      </c>
      <c r="R64" s="2">
        <v>69</v>
      </c>
      <c r="S64" s="22"/>
    </row>
    <row r="65" spans="1:24" ht="15.9" customHeight="1" x14ac:dyDescent="0.25">
      <c r="A65" s="118"/>
      <c r="B65" s="107"/>
      <c r="C65" s="26" t="s">
        <v>483</v>
      </c>
      <c r="D65" s="3"/>
      <c r="E65" s="52" t="s">
        <v>121</v>
      </c>
      <c r="F65" s="53" t="s">
        <v>451</v>
      </c>
      <c r="G65" s="53" t="s">
        <v>294</v>
      </c>
      <c r="H65" s="53" t="s">
        <v>146</v>
      </c>
      <c r="I65" s="3"/>
      <c r="J65" s="3"/>
      <c r="K65" s="3"/>
      <c r="L65" s="3"/>
      <c r="M65" s="13"/>
      <c r="N65" s="19"/>
      <c r="P65" s="2">
        <v>38</v>
      </c>
      <c r="Q65" s="2">
        <v>304</v>
      </c>
      <c r="R65" s="2">
        <v>37</v>
      </c>
      <c r="S65" s="2">
        <v>7</v>
      </c>
    </row>
    <row r="66" spans="1:24" ht="15.9" customHeight="1" x14ac:dyDescent="0.25">
      <c r="A66" s="118"/>
      <c r="B66" s="107"/>
      <c r="C66" s="26" t="s">
        <v>484</v>
      </c>
      <c r="D66" s="3"/>
      <c r="E66" s="53" t="s">
        <v>566</v>
      </c>
      <c r="F66" s="3"/>
      <c r="G66" s="3"/>
      <c r="H66" s="3"/>
      <c r="I66" s="3"/>
      <c r="J66" s="3"/>
      <c r="K66" s="3"/>
      <c r="L66" s="3"/>
      <c r="M66" s="13"/>
      <c r="N66" s="19"/>
      <c r="P66" s="22">
        <v>11</v>
      </c>
      <c r="Q66" s="2"/>
      <c r="R66" s="2"/>
      <c r="S66" s="2"/>
      <c r="T66" s="22"/>
    </row>
    <row r="67" spans="1:24" ht="15.9" customHeight="1" x14ac:dyDescent="0.25">
      <c r="A67" s="118"/>
      <c r="B67" s="107"/>
      <c r="C67" s="3" t="s">
        <v>787</v>
      </c>
      <c r="D67" s="3"/>
      <c r="E67" s="50" t="s">
        <v>284</v>
      </c>
      <c r="F67" s="48" t="s">
        <v>352</v>
      </c>
      <c r="G67" s="48" t="s">
        <v>780</v>
      </c>
      <c r="H67" s="49" t="s">
        <v>390</v>
      </c>
      <c r="I67" s="3"/>
      <c r="J67" s="3"/>
      <c r="K67" s="3"/>
      <c r="L67" s="3"/>
      <c r="M67" s="4"/>
      <c r="N67" s="19"/>
      <c r="P67" s="2">
        <v>434</v>
      </c>
      <c r="Q67" s="2">
        <v>435</v>
      </c>
      <c r="R67" s="2">
        <v>436</v>
      </c>
      <c r="S67" s="2">
        <v>437</v>
      </c>
      <c r="U67" s="2"/>
      <c r="V67" s="2"/>
      <c r="W67" s="2"/>
      <c r="X67" s="2"/>
    </row>
    <row r="68" spans="1:24" ht="15.9" customHeight="1" x14ac:dyDescent="0.25">
      <c r="A68" s="118"/>
      <c r="B68" s="107"/>
      <c r="C68" s="3" t="s">
        <v>786</v>
      </c>
      <c r="D68" s="3"/>
      <c r="E68" s="50" t="s">
        <v>284</v>
      </c>
      <c r="F68" s="48" t="s">
        <v>352</v>
      </c>
      <c r="G68" s="48" t="s">
        <v>780</v>
      </c>
      <c r="H68" s="49" t="s">
        <v>390</v>
      </c>
      <c r="I68" s="3"/>
      <c r="J68" s="3"/>
      <c r="K68" s="3"/>
      <c r="L68" s="3"/>
      <c r="M68" s="4"/>
      <c r="N68" s="19"/>
      <c r="P68" s="2">
        <v>438</v>
      </c>
      <c r="Q68" s="2">
        <v>439</v>
      </c>
      <c r="R68" s="2">
        <v>440</v>
      </c>
      <c r="S68" s="2">
        <v>441</v>
      </c>
      <c r="U68" s="2"/>
      <c r="V68" s="2"/>
      <c r="W68" s="2"/>
      <c r="X68" s="2"/>
    </row>
    <row r="69" spans="1:24" ht="15.9" customHeight="1" x14ac:dyDescent="0.25">
      <c r="A69" s="118"/>
      <c r="B69" s="107"/>
      <c r="C69" s="26" t="s">
        <v>782</v>
      </c>
      <c r="D69" s="3"/>
      <c r="E69" s="50" t="s">
        <v>284</v>
      </c>
      <c r="F69" s="48" t="s">
        <v>382</v>
      </c>
      <c r="G69" s="48" t="s">
        <v>780</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785</v>
      </c>
      <c r="D70" s="3"/>
      <c r="E70" s="50" t="s">
        <v>284</v>
      </c>
      <c r="F70" s="48" t="s">
        <v>574</v>
      </c>
      <c r="G70" s="48" t="s">
        <v>781</v>
      </c>
      <c r="H70" s="49" t="s">
        <v>575</v>
      </c>
      <c r="I70" s="3"/>
      <c r="J70" s="3"/>
      <c r="K70" s="3"/>
      <c r="L70" s="3"/>
      <c r="M70" s="4"/>
      <c r="N70" s="19"/>
      <c r="P70" s="2">
        <v>446</v>
      </c>
      <c r="Q70" s="2">
        <v>447</v>
      </c>
      <c r="R70" s="2">
        <v>448</v>
      </c>
      <c r="S70" s="2">
        <v>449</v>
      </c>
      <c r="U70" s="2"/>
      <c r="V70" s="2"/>
      <c r="W70" s="2"/>
      <c r="X70" s="2"/>
    </row>
    <row r="71" spans="1:24" ht="15.9" customHeight="1" x14ac:dyDescent="0.25">
      <c r="A71" s="118"/>
      <c r="B71" s="107"/>
      <c r="C71" s="26" t="s">
        <v>783</v>
      </c>
      <c r="D71" s="3"/>
      <c r="E71" s="50" t="s">
        <v>284</v>
      </c>
      <c r="F71" s="48" t="s">
        <v>352</v>
      </c>
      <c r="G71" s="48" t="s">
        <v>780</v>
      </c>
      <c r="H71" s="49" t="s">
        <v>390</v>
      </c>
      <c r="I71" s="3"/>
      <c r="J71" s="3"/>
      <c r="K71" s="3"/>
      <c r="L71" s="3"/>
      <c r="M71" s="4"/>
      <c r="N71" s="19"/>
      <c r="P71" s="2">
        <v>450</v>
      </c>
      <c r="Q71" s="2">
        <v>451</v>
      </c>
      <c r="R71" s="2">
        <v>452</v>
      </c>
      <c r="S71" s="2">
        <v>453</v>
      </c>
      <c r="U71" s="2"/>
      <c r="V71" s="2"/>
      <c r="W71" s="2"/>
      <c r="X71" s="2"/>
    </row>
    <row r="72" spans="1:24" ht="15.9" customHeight="1" x14ac:dyDescent="0.25">
      <c r="A72" s="118"/>
      <c r="B72" s="107"/>
      <c r="C72" s="26" t="s">
        <v>784</v>
      </c>
      <c r="D72" s="3"/>
      <c r="E72" s="50" t="s">
        <v>284</v>
      </c>
      <c r="F72" s="48" t="s">
        <v>574</v>
      </c>
      <c r="G72" s="48" t="s">
        <v>781</v>
      </c>
      <c r="H72" s="49" t="s">
        <v>575</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593</v>
      </c>
      <c r="F73" s="49" t="s">
        <v>594</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630</v>
      </c>
      <c r="F74" s="51" t="s">
        <v>631</v>
      </c>
      <c r="G74" s="51" t="s">
        <v>632</v>
      </c>
      <c r="H74" s="3"/>
      <c r="I74" s="3"/>
      <c r="J74" s="3"/>
      <c r="K74" s="3"/>
      <c r="L74" s="3"/>
      <c r="M74" s="10"/>
      <c r="N74" s="19" t="s">
        <v>684</v>
      </c>
      <c r="P74" s="2">
        <v>17</v>
      </c>
      <c r="Q74" s="2">
        <v>428</v>
      </c>
      <c r="R74" s="2">
        <v>429</v>
      </c>
    </row>
    <row r="75" spans="1:24" x14ac:dyDescent="0.25">
      <c r="A75" s="118"/>
      <c r="B75" s="107"/>
      <c r="C75" s="3" t="s">
        <v>17</v>
      </c>
      <c r="D75" s="3"/>
      <c r="E75" s="51" t="s">
        <v>633</v>
      </c>
      <c r="F75" s="51" t="s">
        <v>634</v>
      </c>
      <c r="G75" s="51" t="s">
        <v>635</v>
      </c>
      <c r="H75" s="3"/>
      <c r="I75" s="3"/>
      <c r="J75" s="3"/>
      <c r="K75" s="3"/>
      <c r="L75" s="3"/>
      <c r="M75" s="13"/>
      <c r="N75" s="19" t="s">
        <v>685</v>
      </c>
      <c r="P75" s="2">
        <v>20</v>
      </c>
      <c r="Q75" s="2">
        <v>430</v>
      </c>
      <c r="R75" s="2">
        <v>431</v>
      </c>
    </row>
    <row r="76" spans="1:24" x14ac:dyDescent="0.25">
      <c r="A76" s="118"/>
      <c r="B76" s="107"/>
      <c r="C76" s="3" t="s">
        <v>333</v>
      </c>
      <c r="D76" s="3"/>
      <c r="E76" s="18" t="s">
        <v>119</v>
      </c>
      <c r="F76" s="18" t="s">
        <v>59</v>
      </c>
      <c r="G76" s="3"/>
      <c r="H76" s="3"/>
      <c r="I76" s="3"/>
      <c r="J76" s="3"/>
      <c r="K76" s="3"/>
      <c r="L76" s="3"/>
      <c r="M76" s="4"/>
      <c r="N76" s="19" t="s">
        <v>694</v>
      </c>
      <c r="P76" s="2">
        <v>194</v>
      </c>
      <c r="Q76" s="2">
        <v>195</v>
      </c>
      <c r="R76" s="2"/>
    </row>
    <row r="77" spans="1:24" x14ac:dyDescent="0.25">
      <c r="A77" s="118"/>
      <c r="B77" s="107"/>
      <c r="C77" s="26" t="s">
        <v>686</v>
      </c>
      <c r="D77" s="3"/>
      <c r="E77" s="4" t="s">
        <v>414</v>
      </c>
      <c r="F77" s="4" t="s">
        <v>345</v>
      </c>
      <c r="G77" s="54" t="s">
        <v>69</v>
      </c>
      <c r="H77" s="56" t="s">
        <v>49</v>
      </c>
      <c r="I77" s="3"/>
      <c r="J77" s="3"/>
      <c r="K77" s="3"/>
      <c r="L77" s="3"/>
      <c r="M77" s="43"/>
      <c r="N77" s="19" t="s">
        <v>687</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805</v>
      </c>
      <c r="D79" s="3"/>
      <c r="E79" s="59" t="s">
        <v>690</v>
      </c>
      <c r="G79" s="3"/>
      <c r="H79" s="3"/>
      <c r="I79" s="3"/>
      <c r="J79" s="3"/>
      <c r="K79" s="3"/>
      <c r="L79" s="3"/>
      <c r="M79" s="10"/>
      <c r="N79" s="19"/>
      <c r="P79" s="22">
        <v>375</v>
      </c>
      <c r="S79" s="2"/>
    </row>
    <row r="80" spans="1:24" ht="15.9" customHeight="1" x14ac:dyDescent="0.25">
      <c r="A80" s="118"/>
      <c r="B80" s="107"/>
      <c r="C80" s="3" t="s">
        <v>802</v>
      </c>
      <c r="D80" s="3"/>
      <c r="E80" s="54" t="s">
        <v>804</v>
      </c>
      <c r="F80" s="56" t="s">
        <v>803</v>
      </c>
      <c r="G80" s="3"/>
      <c r="H80" s="3"/>
      <c r="I80" s="3"/>
      <c r="J80" s="3"/>
      <c r="K80" s="3"/>
      <c r="L80" s="3"/>
      <c r="M80" s="10"/>
      <c r="N80" s="19"/>
      <c r="P80" s="22">
        <v>383</v>
      </c>
      <c r="Q80" s="2">
        <v>433</v>
      </c>
      <c r="R80" s="2"/>
      <c r="S80" s="2"/>
    </row>
    <row r="81" spans="1:22" x14ac:dyDescent="0.25">
      <c r="A81" s="118"/>
      <c r="B81" s="107"/>
      <c r="C81" s="3" t="s">
        <v>306</v>
      </c>
      <c r="D81" s="3"/>
      <c r="E81" s="79" t="s">
        <v>398</v>
      </c>
      <c r="F81" s="80" t="s">
        <v>346</v>
      </c>
      <c r="G81" s="80" t="s">
        <v>347</v>
      </c>
      <c r="H81" s="59" t="s">
        <v>85</v>
      </c>
      <c r="I81" s="59" t="s">
        <v>86</v>
      </c>
      <c r="J81" s="3"/>
      <c r="K81" s="3"/>
      <c r="L81" s="3"/>
      <c r="M81" s="13"/>
      <c r="N81" s="19"/>
      <c r="P81" s="2">
        <v>48</v>
      </c>
      <c r="Q81" s="2">
        <v>308</v>
      </c>
      <c r="R81" s="2">
        <v>309</v>
      </c>
      <c r="S81" s="22">
        <v>377</v>
      </c>
      <c r="T81" s="22">
        <v>378</v>
      </c>
    </row>
    <row r="82" spans="1:22" x14ac:dyDescent="0.25">
      <c r="A82" s="118"/>
      <c r="B82" s="107"/>
      <c r="C82" s="3" t="s">
        <v>638</v>
      </c>
      <c r="D82" s="3"/>
      <c r="E82" s="18" t="s">
        <v>693</v>
      </c>
      <c r="F82" s="46" t="s">
        <v>639</v>
      </c>
      <c r="G82" s="46" t="s">
        <v>640</v>
      </c>
      <c r="H82" s="63" t="s">
        <v>641</v>
      </c>
      <c r="I82" s="3"/>
      <c r="J82" s="3"/>
      <c r="K82" s="3"/>
      <c r="L82" s="3"/>
      <c r="M82" s="13"/>
      <c r="N82" s="19"/>
      <c r="P82" s="2">
        <v>77</v>
      </c>
      <c r="Q82" s="23">
        <v>57</v>
      </c>
      <c r="R82" s="23">
        <v>92</v>
      </c>
      <c r="S82" s="23">
        <v>23</v>
      </c>
      <c r="T82" s="22"/>
      <c r="U82" s="22"/>
      <c r="V82" s="22"/>
    </row>
    <row r="83" spans="1:22" x14ac:dyDescent="0.25">
      <c r="A83" s="118"/>
      <c r="B83" s="107"/>
      <c r="C83" s="3" t="s">
        <v>612</v>
      </c>
      <c r="D83" s="3"/>
      <c r="E83" s="57" t="s">
        <v>614</v>
      </c>
      <c r="F83" s="64" t="s">
        <v>613</v>
      </c>
      <c r="G83" s="65" t="s">
        <v>615</v>
      </c>
      <c r="H83" s="3"/>
      <c r="I83" s="3"/>
      <c r="J83" s="3"/>
      <c r="K83" s="3"/>
      <c r="L83" s="3"/>
      <c r="M83" s="4"/>
      <c r="N83" s="19"/>
      <c r="P83" s="2">
        <v>418</v>
      </c>
      <c r="Q83" s="23">
        <v>99</v>
      </c>
      <c r="R83" s="23">
        <v>321</v>
      </c>
    </row>
    <row r="84" spans="1:22" x14ac:dyDescent="0.25">
      <c r="A84" s="118"/>
      <c r="B84" s="107" t="s">
        <v>431</v>
      </c>
      <c r="C84" s="26" t="s">
        <v>400</v>
      </c>
      <c r="D84" s="3"/>
      <c r="E84" s="4" t="s">
        <v>399</v>
      </c>
      <c r="F84" s="54" t="s">
        <v>402</v>
      </c>
      <c r="G84" s="56" t="s">
        <v>216</v>
      </c>
      <c r="H84" s="3"/>
      <c r="I84" s="3"/>
      <c r="J84" s="3"/>
      <c r="K84" s="3"/>
      <c r="L84" s="3"/>
      <c r="M84" s="10"/>
      <c r="N84" s="19" t="s">
        <v>694</v>
      </c>
      <c r="P84" s="2">
        <v>49</v>
      </c>
      <c r="Q84" s="2">
        <v>90</v>
      </c>
      <c r="R84" s="2">
        <v>33</v>
      </c>
    </row>
    <row r="85" spans="1:22" x14ac:dyDescent="0.25">
      <c r="A85" s="118"/>
      <c r="B85" s="107"/>
      <c r="C85" s="26" t="s">
        <v>65</v>
      </c>
      <c r="D85" s="3"/>
      <c r="E85" s="18" t="s">
        <v>405</v>
      </c>
      <c r="F85" s="18" t="s">
        <v>406</v>
      </c>
      <c r="G85" s="3"/>
      <c r="H85" s="3"/>
      <c r="I85" s="3"/>
      <c r="J85" s="3"/>
      <c r="K85" s="3"/>
      <c r="L85" s="3"/>
      <c r="M85" s="4"/>
      <c r="N85" s="19" t="s">
        <v>694</v>
      </c>
      <c r="P85" s="2">
        <v>14</v>
      </c>
      <c r="Q85" s="2">
        <v>34</v>
      </c>
    </row>
    <row r="86" spans="1:22" x14ac:dyDescent="0.25">
      <c r="A86" s="118"/>
      <c r="B86" s="107"/>
      <c r="C86" s="26" t="s">
        <v>66</v>
      </c>
      <c r="D86" s="3"/>
      <c r="E86" s="18" t="s">
        <v>404</v>
      </c>
      <c r="F86" s="18" t="s">
        <v>403</v>
      </c>
      <c r="G86" s="3"/>
      <c r="H86" s="3"/>
      <c r="I86" s="3"/>
      <c r="J86" s="3"/>
      <c r="K86" s="3"/>
      <c r="L86" s="3"/>
      <c r="M86" s="43"/>
      <c r="N86" s="19" t="s">
        <v>694</v>
      </c>
      <c r="P86" s="2">
        <v>51</v>
      </c>
      <c r="Q86" s="2">
        <v>13</v>
      </c>
    </row>
    <row r="87" spans="1:22" x14ac:dyDescent="0.25">
      <c r="A87" s="118"/>
      <c r="B87" s="107"/>
      <c r="C87" s="3" t="s">
        <v>430</v>
      </c>
      <c r="D87" s="3"/>
      <c r="E87" s="57" t="s">
        <v>437</v>
      </c>
      <c r="F87" s="57" t="s">
        <v>436</v>
      </c>
      <c r="G87" s="3"/>
      <c r="H87" s="3"/>
      <c r="I87" s="3"/>
      <c r="J87" s="3"/>
      <c r="K87" s="3"/>
      <c r="L87" s="3"/>
      <c r="M87" s="43"/>
      <c r="N87" s="19"/>
      <c r="P87" s="2">
        <v>52</v>
      </c>
      <c r="Q87" s="2">
        <v>87</v>
      </c>
    </row>
    <row r="88" spans="1:22" x14ac:dyDescent="0.25">
      <c r="A88" s="118"/>
      <c r="B88" s="107"/>
      <c r="C88" s="26" t="s">
        <v>67</v>
      </c>
      <c r="D88" s="3"/>
      <c r="E88" s="56" t="s">
        <v>401</v>
      </c>
      <c r="F88" s="3"/>
      <c r="G88" s="3"/>
      <c r="H88" s="3"/>
      <c r="I88" s="3"/>
      <c r="J88" s="3"/>
      <c r="K88" s="3"/>
      <c r="L88" s="3"/>
      <c r="M88" s="13"/>
      <c r="N88" s="19" t="s">
        <v>694</v>
      </c>
      <c r="P88" s="23">
        <v>50</v>
      </c>
      <c r="Q88" s="2"/>
      <c r="R88" s="23"/>
    </row>
    <row r="89" spans="1:22" ht="13.2" customHeight="1" x14ac:dyDescent="0.25">
      <c r="A89" s="115" t="s">
        <v>57</v>
      </c>
      <c r="B89" s="107" t="s">
        <v>54</v>
      </c>
      <c r="C89" s="26" t="s">
        <v>707</v>
      </c>
      <c r="D89" s="3"/>
      <c r="E89" s="54" t="s">
        <v>704</v>
      </c>
      <c r="F89" s="48" t="s">
        <v>118</v>
      </c>
      <c r="G89" s="3"/>
      <c r="H89" s="3"/>
      <c r="I89" s="3"/>
      <c r="J89" s="3"/>
      <c r="K89" s="3"/>
      <c r="L89" s="3"/>
      <c r="M89" s="10"/>
      <c r="N89" s="19"/>
      <c r="P89" s="2">
        <v>74</v>
      </c>
      <c r="Q89" s="2">
        <v>200</v>
      </c>
    </row>
    <row r="90" spans="1:22" x14ac:dyDescent="0.25">
      <c r="A90" s="116"/>
      <c r="B90" s="107"/>
      <c r="C90" s="3" t="s">
        <v>708</v>
      </c>
      <c r="D90" s="3"/>
      <c r="E90" s="48" t="s">
        <v>387</v>
      </c>
      <c r="F90" s="48" t="s">
        <v>386</v>
      </c>
      <c r="G90" s="3"/>
      <c r="H90" s="3"/>
      <c r="I90" s="3"/>
      <c r="J90" s="3"/>
      <c r="K90" s="3"/>
      <c r="L90" s="3"/>
      <c r="M90" s="13"/>
      <c r="N90" s="19"/>
      <c r="P90" s="2">
        <v>349</v>
      </c>
      <c r="Q90" s="2">
        <v>350</v>
      </c>
    </row>
    <row r="91" spans="1:22" x14ac:dyDescent="0.25">
      <c r="A91" s="116"/>
      <c r="B91" s="107"/>
      <c r="C91" s="26" t="s">
        <v>705</v>
      </c>
      <c r="D91" s="3"/>
      <c r="E91" s="48" t="s">
        <v>384</v>
      </c>
      <c r="F91" s="3"/>
      <c r="G91" s="3"/>
      <c r="H91" s="3"/>
      <c r="I91" s="3"/>
      <c r="J91" s="3"/>
      <c r="K91" s="3"/>
      <c r="L91" s="3"/>
      <c r="M91" s="13"/>
      <c r="N91" s="19" t="s">
        <v>706</v>
      </c>
      <c r="P91" s="2">
        <v>199</v>
      </c>
      <c r="Q91" s="2"/>
    </row>
    <row r="92" spans="1:22" x14ac:dyDescent="0.25">
      <c r="A92" s="116"/>
      <c r="B92" s="107"/>
      <c r="C92" s="29" t="s">
        <v>703</v>
      </c>
      <c r="D92" s="3"/>
      <c r="E92" s="49" t="s">
        <v>117</v>
      </c>
      <c r="F92" s="3"/>
      <c r="G92" s="3"/>
      <c r="H92" s="3"/>
      <c r="I92" s="3"/>
      <c r="J92" s="3"/>
      <c r="K92" s="3"/>
      <c r="L92" s="3"/>
      <c r="M92" s="4"/>
      <c r="N92" s="19"/>
      <c r="P92" s="2">
        <v>201</v>
      </c>
    </row>
    <row r="93" spans="1:22" x14ac:dyDescent="0.25">
      <c r="A93" s="116"/>
      <c r="B93" s="107"/>
      <c r="C93" s="26" t="s">
        <v>811</v>
      </c>
      <c r="D93" s="3"/>
      <c r="E93" s="56" t="s">
        <v>85</v>
      </c>
      <c r="F93" s="56" t="s">
        <v>86</v>
      </c>
      <c r="G93" s="3"/>
      <c r="H93" s="3"/>
      <c r="I93" s="3"/>
      <c r="J93" s="3"/>
      <c r="K93" s="3"/>
      <c r="L93" s="3"/>
      <c r="M93" s="43"/>
      <c r="N93" s="19" t="s">
        <v>709</v>
      </c>
      <c r="P93" s="2">
        <v>152</v>
      </c>
      <c r="Q93" s="2">
        <v>153</v>
      </c>
    </row>
    <row r="94" spans="1:22" x14ac:dyDescent="0.25">
      <c r="A94" s="116"/>
      <c r="B94" s="107"/>
      <c r="C94" s="26" t="s">
        <v>812</v>
      </c>
      <c r="D94" s="3"/>
      <c r="E94" s="56" t="s">
        <v>85</v>
      </c>
      <c r="F94" s="56" t="s">
        <v>86</v>
      </c>
      <c r="G94" s="3"/>
      <c r="H94" s="3"/>
      <c r="I94" s="3"/>
      <c r="J94" s="3"/>
      <c r="K94" s="3"/>
      <c r="L94" s="3"/>
      <c r="M94" s="10"/>
      <c r="N94" s="19" t="s">
        <v>710</v>
      </c>
      <c r="P94" s="2">
        <v>158</v>
      </c>
      <c r="Q94" s="2">
        <v>159</v>
      </c>
    </row>
    <row r="95" spans="1:22" x14ac:dyDescent="0.25">
      <c r="A95" s="116"/>
      <c r="B95" s="107"/>
      <c r="C95" s="26" t="s">
        <v>813</v>
      </c>
      <c r="D95" s="3"/>
      <c r="E95" s="56" t="s">
        <v>85</v>
      </c>
      <c r="F95" s="56" t="s">
        <v>86</v>
      </c>
      <c r="G95" s="3"/>
      <c r="H95" s="3"/>
      <c r="I95" s="3"/>
      <c r="J95" s="3"/>
      <c r="K95" s="3"/>
      <c r="L95" s="3"/>
      <c r="M95" s="13"/>
      <c r="N95" s="19" t="s">
        <v>711</v>
      </c>
      <c r="P95" s="2">
        <v>164</v>
      </c>
      <c r="Q95" s="2">
        <v>165</v>
      </c>
    </row>
    <row r="96" spans="1:22" x14ac:dyDescent="0.25">
      <c r="A96" s="116"/>
      <c r="B96" s="107"/>
      <c r="C96" s="26" t="s">
        <v>814</v>
      </c>
      <c r="D96" s="3"/>
      <c r="E96" s="56" t="s">
        <v>85</v>
      </c>
      <c r="F96" s="56" t="s">
        <v>86</v>
      </c>
      <c r="G96" s="3"/>
      <c r="H96" s="3"/>
      <c r="I96" s="3"/>
      <c r="J96" s="3"/>
      <c r="K96" s="3"/>
      <c r="L96" s="3"/>
      <c r="M96" s="4"/>
      <c r="N96" s="19" t="s">
        <v>91</v>
      </c>
      <c r="P96" s="2">
        <v>170</v>
      </c>
      <c r="Q96" s="2">
        <v>171</v>
      </c>
    </row>
    <row r="97" spans="1:23" x14ac:dyDescent="0.25">
      <c r="A97" s="116"/>
      <c r="B97" s="107"/>
      <c r="C97" s="26" t="s">
        <v>815</v>
      </c>
      <c r="D97" s="3"/>
      <c r="E97" s="54" t="s">
        <v>87</v>
      </c>
      <c r="F97" s="56" t="s">
        <v>88</v>
      </c>
      <c r="G97" s="56" t="s">
        <v>89</v>
      </c>
      <c r="H97" s="56" t="s">
        <v>90</v>
      </c>
      <c r="I97" s="30" t="s">
        <v>886</v>
      </c>
      <c r="J97" s="3"/>
      <c r="K97" s="3"/>
      <c r="L97" s="3"/>
      <c r="M97" s="13"/>
      <c r="N97" s="19"/>
      <c r="P97" s="23">
        <v>154</v>
      </c>
      <c r="Q97" s="23">
        <v>155</v>
      </c>
      <c r="R97" s="23">
        <v>156</v>
      </c>
      <c r="S97" s="23">
        <v>157</v>
      </c>
      <c r="T97" s="23">
        <v>432</v>
      </c>
      <c r="U97" s="23"/>
    </row>
    <row r="98" spans="1:23" x14ac:dyDescent="0.25">
      <c r="A98" s="116"/>
      <c r="B98" s="107"/>
      <c r="C98" s="26" t="s">
        <v>816</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817</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818</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337</v>
      </c>
      <c r="I101" s="3"/>
      <c r="J101" s="3"/>
      <c r="K101" s="3"/>
      <c r="L101" s="3"/>
      <c r="M101" s="43"/>
      <c r="N101" s="19"/>
      <c r="P101" s="2">
        <v>80</v>
      </c>
      <c r="Q101" s="2">
        <v>81</v>
      </c>
      <c r="R101" s="2">
        <v>82</v>
      </c>
      <c r="S101" s="22">
        <v>324</v>
      </c>
    </row>
    <row r="102" spans="1:23" x14ac:dyDescent="0.25">
      <c r="A102" s="116"/>
      <c r="B102" s="107"/>
      <c r="C102" s="3" t="s">
        <v>843</v>
      </c>
      <c r="D102" s="3"/>
      <c r="E102" s="57" t="s">
        <v>4</v>
      </c>
      <c r="G102" s="3"/>
      <c r="H102" s="3"/>
      <c r="I102" s="3"/>
      <c r="J102" s="3"/>
      <c r="K102" s="3"/>
      <c r="L102" s="3"/>
      <c r="M102" s="43"/>
      <c r="N102" s="42" t="s">
        <v>447</v>
      </c>
      <c r="P102" s="22">
        <v>325</v>
      </c>
      <c r="R102" s="22"/>
      <c r="S102" s="22"/>
      <c r="T102" s="22"/>
      <c r="U102" s="22"/>
    </row>
    <row r="103" spans="1:23" x14ac:dyDescent="0.25">
      <c r="A103" s="116"/>
      <c r="B103" s="107"/>
      <c r="C103" s="3" t="s">
        <v>844</v>
      </c>
      <c r="D103" s="3"/>
      <c r="E103" s="57" t="s">
        <v>715</v>
      </c>
      <c r="F103" s="3"/>
      <c r="G103" s="3"/>
      <c r="H103" s="3"/>
      <c r="I103" s="3"/>
      <c r="J103" s="3"/>
      <c r="K103" s="3"/>
      <c r="L103" s="3"/>
      <c r="M103" s="43"/>
      <c r="N103" s="19" t="s">
        <v>447</v>
      </c>
      <c r="P103" s="22">
        <v>326</v>
      </c>
      <c r="Q103" s="22"/>
      <c r="R103" s="22"/>
      <c r="S103" s="22"/>
      <c r="T103" s="22"/>
      <c r="U103" s="22"/>
    </row>
    <row r="104" spans="1:23" x14ac:dyDescent="0.25">
      <c r="A104" s="116"/>
      <c r="B104" s="107"/>
      <c r="C104" s="3" t="s">
        <v>882</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834</v>
      </c>
      <c r="D105" s="3"/>
      <c r="E105" s="54" t="s">
        <v>61</v>
      </c>
      <c r="F105" s="54" t="s">
        <v>332</v>
      </c>
      <c r="G105" s="4" t="s">
        <v>339</v>
      </c>
      <c r="I105" s="3"/>
      <c r="J105" s="3"/>
      <c r="K105" s="3"/>
      <c r="L105" s="3"/>
      <c r="M105" s="10"/>
      <c r="N105" s="19"/>
      <c r="P105" s="2">
        <v>84</v>
      </c>
      <c r="Q105" s="2">
        <v>85</v>
      </c>
      <c r="R105" s="2">
        <v>330</v>
      </c>
      <c r="T105" s="2"/>
      <c r="V105" s="2"/>
    </row>
    <row r="106" spans="1:23" x14ac:dyDescent="0.25">
      <c r="A106" s="116"/>
      <c r="B106" s="107"/>
      <c r="C106" s="26" t="s">
        <v>833</v>
      </c>
      <c r="D106" s="3"/>
      <c r="E106" s="54" t="s">
        <v>61</v>
      </c>
      <c r="F106" s="54" t="s">
        <v>332</v>
      </c>
      <c r="G106" s="3"/>
      <c r="H106" s="3"/>
      <c r="I106" s="3"/>
      <c r="J106" s="3"/>
      <c r="K106" s="3"/>
      <c r="L106" s="3"/>
      <c r="M106" s="10"/>
      <c r="N106" s="19"/>
      <c r="P106" s="2">
        <v>481</v>
      </c>
      <c r="Q106" s="2">
        <v>482</v>
      </c>
      <c r="R106" s="2"/>
      <c r="S106" s="2"/>
      <c r="T106" s="2"/>
      <c r="V106" s="2"/>
    </row>
    <row r="107" spans="1:23" x14ac:dyDescent="0.25">
      <c r="A107" s="116"/>
      <c r="B107" s="107"/>
      <c r="C107" s="28" t="s">
        <v>831</v>
      </c>
      <c r="D107" s="3"/>
      <c r="E107" s="4" t="s">
        <v>166</v>
      </c>
      <c r="F107" s="4" t="s">
        <v>441</v>
      </c>
      <c r="G107" s="54" t="s">
        <v>380</v>
      </c>
      <c r="H107" s="4" t="s">
        <v>434</v>
      </c>
      <c r="I107" s="4" t="s">
        <v>100</v>
      </c>
      <c r="J107" s="3"/>
      <c r="K107" s="3"/>
      <c r="L107" s="3"/>
      <c r="M107" s="13"/>
      <c r="N107" s="19" t="s">
        <v>336</v>
      </c>
      <c r="P107" s="2">
        <v>248</v>
      </c>
      <c r="Q107" s="2">
        <v>376</v>
      </c>
      <c r="R107" s="23">
        <v>347</v>
      </c>
      <c r="S107" s="2">
        <v>374</v>
      </c>
      <c r="T107" s="2">
        <v>249</v>
      </c>
      <c r="U107" s="2"/>
      <c r="W107" s="2"/>
    </row>
    <row r="108" spans="1:23" x14ac:dyDescent="0.25">
      <c r="A108" s="116"/>
      <c r="B108" s="107"/>
      <c r="C108" s="28" t="s">
        <v>831</v>
      </c>
      <c r="D108" s="3"/>
      <c r="E108" s="54" t="s">
        <v>316</v>
      </c>
      <c r="F108" s="56" t="s">
        <v>58</v>
      </c>
      <c r="G108" s="54" t="s">
        <v>457</v>
      </c>
      <c r="H108" s="54" t="s">
        <v>167</v>
      </c>
      <c r="I108" s="3"/>
      <c r="J108" s="3"/>
      <c r="K108" s="3"/>
      <c r="L108" s="3"/>
      <c r="M108" s="13"/>
      <c r="N108" s="19" t="s">
        <v>336</v>
      </c>
      <c r="P108" s="2">
        <v>315</v>
      </c>
      <c r="Q108" s="2">
        <v>316</v>
      </c>
      <c r="R108" s="2">
        <v>385</v>
      </c>
      <c r="S108" s="2">
        <v>250</v>
      </c>
      <c r="V108" s="2"/>
    </row>
    <row r="109" spans="1:23" x14ac:dyDescent="0.25">
      <c r="A109" s="116"/>
      <c r="B109" s="107"/>
      <c r="C109" s="26" t="s">
        <v>832</v>
      </c>
      <c r="D109" s="3"/>
      <c r="E109" s="4" t="s">
        <v>166</v>
      </c>
      <c r="F109" s="4" t="s">
        <v>441</v>
      </c>
      <c r="G109" s="54" t="s">
        <v>380</v>
      </c>
      <c r="H109" s="4" t="s">
        <v>434</v>
      </c>
      <c r="I109" s="4" t="s">
        <v>100</v>
      </c>
      <c r="J109" s="3"/>
      <c r="K109" s="3"/>
      <c r="L109" s="3"/>
      <c r="M109" s="13"/>
      <c r="N109" s="19" t="s">
        <v>336</v>
      </c>
      <c r="P109" s="2">
        <v>484</v>
      </c>
      <c r="Q109" s="2">
        <v>485</v>
      </c>
      <c r="R109" s="23">
        <v>486</v>
      </c>
      <c r="S109" s="2">
        <v>487</v>
      </c>
      <c r="T109" s="2">
        <v>488</v>
      </c>
      <c r="U109" s="2"/>
      <c r="W109" s="2"/>
    </row>
    <row r="110" spans="1:23" x14ac:dyDescent="0.25">
      <c r="A110" s="116"/>
      <c r="B110" s="107"/>
      <c r="C110" s="26" t="s">
        <v>832</v>
      </c>
      <c r="D110" s="3"/>
      <c r="E110" s="54" t="s">
        <v>316</v>
      </c>
      <c r="F110" s="56" t="s">
        <v>58</v>
      </c>
      <c r="G110" s="54" t="s">
        <v>457</v>
      </c>
      <c r="H110" s="54" t="s">
        <v>167</v>
      </c>
      <c r="I110" s="3"/>
      <c r="J110" s="3"/>
      <c r="K110" s="3"/>
      <c r="L110" s="3"/>
      <c r="M110" s="13"/>
      <c r="N110" s="19" t="s">
        <v>336</v>
      </c>
      <c r="P110" s="2">
        <v>489</v>
      </c>
      <c r="Q110" s="2">
        <v>490</v>
      </c>
      <c r="R110" s="2">
        <v>491</v>
      </c>
      <c r="S110" s="2">
        <v>492</v>
      </c>
      <c r="V110" s="2"/>
    </row>
    <row r="111" spans="1:23" x14ac:dyDescent="0.25">
      <c r="A111" s="116"/>
      <c r="B111" s="107"/>
      <c r="C111" s="3" t="s">
        <v>448</v>
      </c>
      <c r="D111" s="3"/>
      <c r="E111" s="101" t="s">
        <v>154</v>
      </c>
      <c r="F111" s="101" t="s">
        <v>155</v>
      </c>
      <c r="G111" s="101" t="s">
        <v>449</v>
      </c>
      <c r="H111" s="101" t="s">
        <v>165</v>
      </c>
      <c r="I111" s="3"/>
      <c r="J111" s="3"/>
      <c r="K111" s="3"/>
      <c r="L111" s="3"/>
      <c r="M111" s="13"/>
      <c r="N111" s="19" t="s">
        <v>712</v>
      </c>
      <c r="P111" s="2">
        <v>379</v>
      </c>
      <c r="Q111" s="2">
        <v>380</v>
      </c>
      <c r="R111" s="2">
        <v>381</v>
      </c>
      <c r="S111" s="2">
        <v>382</v>
      </c>
      <c r="T111" s="2"/>
      <c r="U111" s="2"/>
      <c r="V111" s="2"/>
      <c r="W111" s="2"/>
    </row>
    <row r="112" spans="1:23" x14ac:dyDescent="0.25">
      <c r="A112" s="116"/>
      <c r="B112" s="107"/>
      <c r="C112" s="26" t="s">
        <v>838</v>
      </c>
      <c r="D112" s="3"/>
      <c r="E112" s="4" t="s">
        <v>835</v>
      </c>
      <c r="F112" s="4" t="s">
        <v>836</v>
      </c>
      <c r="G112" s="55" t="s">
        <v>837</v>
      </c>
      <c r="H112" s="55" t="s">
        <v>140</v>
      </c>
      <c r="I112" s="3"/>
      <c r="J112" s="3"/>
      <c r="K112" s="3"/>
      <c r="L112" s="3"/>
      <c r="M112" s="4"/>
      <c r="N112" s="19" t="s">
        <v>713</v>
      </c>
      <c r="P112" s="2">
        <v>208</v>
      </c>
      <c r="Q112" s="2">
        <v>212</v>
      </c>
      <c r="R112" s="2">
        <v>210</v>
      </c>
      <c r="S112" s="2">
        <v>214</v>
      </c>
      <c r="T112" s="2"/>
      <c r="U112" s="2"/>
    </row>
    <row r="113" spans="1:23" x14ac:dyDescent="0.25">
      <c r="A113" s="116"/>
      <c r="B113" s="107"/>
      <c r="C113" s="26" t="s">
        <v>839</v>
      </c>
      <c r="D113" s="3"/>
      <c r="E113" s="4" t="s">
        <v>835</v>
      </c>
      <c r="F113" s="4" t="s">
        <v>836</v>
      </c>
      <c r="G113" s="55" t="s">
        <v>837</v>
      </c>
      <c r="H113" s="55" t="s">
        <v>140</v>
      </c>
      <c r="I113" s="3"/>
      <c r="J113" s="3"/>
      <c r="K113" s="3"/>
      <c r="L113" s="3"/>
      <c r="M113" s="43"/>
      <c r="N113" s="19" t="s">
        <v>714</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619</v>
      </c>
      <c r="I114" s="100" t="s">
        <v>620</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498</v>
      </c>
      <c r="D116" s="3"/>
      <c r="E116" s="30" t="s">
        <v>396</v>
      </c>
      <c r="F116" s="30" t="s">
        <v>397</v>
      </c>
      <c r="G116" s="54" t="s">
        <v>263</v>
      </c>
      <c r="H116" s="56" t="s">
        <v>262</v>
      </c>
      <c r="I116" s="3"/>
      <c r="J116" s="3"/>
      <c r="K116" s="3"/>
      <c r="L116" s="3"/>
      <c r="M116" s="13"/>
      <c r="N116" s="19"/>
      <c r="P116" s="2">
        <v>296</v>
      </c>
      <c r="Q116" s="2">
        <v>136</v>
      </c>
      <c r="R116" s="2">
        <v>292</v>
      </c>
      <c r="S116" s="2">
        <v>295</v>
      </c>
    </row>
    <row r="117" spans="1:23" x14ac:dyDescent="0.25">
      <c r="A117" s="116"/>
      <c r="B117" s="107"/>
      <c r="C117" s="26" t="s">
        <v>500</v>
      </c>
      <c r="D117" s="3"/>
      <c r="E117" s="56" t="s">
        <v>422</v>
      </c>
      <c r="F117" s="56" t="s">
        <v>58</v>
      </c>
      <c r="G117" s="54" t="s">
        <v>729</v>
      </c>
      <c r="H117" s="87" t="s">
        <v>730</v>
      </c>
      <c r="I117" s="56" t="s">
        <v>254</v>
      </c>
      <c r="J117" s="54" t="s">
        <v>342</v>
      </c>
      <c r="K117" s="3"/>
      <c r="L117" s="3"/>
      <c r="M117" s="4"/>
      <c r="N117" s="19"/>
      <c r="P117" s="2">
        <v>359</v>
      </c>
      <c r="Q117" s="2">
        <v>83</v>
      </c>
      <c r="R117" s="2">
        <v>223</v>
      </c>
      <c r="S117" s="2">
        <v>384</v>
      </c>
      <c r="T117" s="2">
        <v>224</v>
      </c>
      <c r="U117" s="2">
        <v>331</v>
      </c>
    </row>
    <row r="118" spans="1:23" x14ac:dyDescent="0.25">
      <c r="A118" s="116"/>
      <c r="B118" s="107"/>
      <c r="C118" s="26" t="s">
        <v>501</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571</v>
      </c>
      <c r="D119" s="3"/>
      <c r="E119" s="70">
        <v>3</v>
      </c>
      <c r="F119" s="48" t="s">
        <v>840</v>
      </c>
      <c r="G119" s="3"/>
      <c r="H119" s="3"/>
      <c r="I119" s="3"/>
      <c r="J119" s="3"/>
      <c r="K119" s="3"/>
      <c r="L119" s="3"/>
      <c r="M119" s="10"/>
      <c r="N119" s="19" t="s">
        <v>841</v>
      </c>
      <c r="P119" s="2">
        <v>89</v>
      </c>
      <c r="Q119" s="2">
        <v>96</v>
      </c>
    </row>
    <row r="120" spans="1:23" x14ac:dyDescent="0.25">
      <c r="A120" s="116"/>
      <c r="B120" s="107"/>
      <c r="C120" s="3" t="s">
        <v>572</v>
      </c>
      <c r="D120" s="3"/>
      <c r="E120" s="70">
        <v>3</v>
      </c>
      <c r="F120" s="48" t="s">
        <v>840</v>
      </c>
      <c r="G120" s="3"/>
      <c r="H120" s="3"/>
      <c r="I120" s="3"/>
      <c r="J120" s="3"/>
      <c r="K120" s="3"/>
      <c r="L120" s="3"/>
      <c r="M120" s="10"/>
      <c r="N120" s="19" t="s">
        <v>842</v>
      </c>
      <c r="P120" s="2">
        <v>389</v>
      </c>
      <c r="Q120" s="2">
        <v>390</v>
      </c>
      <c r="R120" s="2"/>
      <c r="S120" s="2"/>
    </row>
    <row r="121" spans="1:23" x14ac:dyDescent="0.25">
      <c r="A121" s="116"/>
      <c r="B121" s="107"/>
      <c r="C121" s="26" t="s">
        <v>392</v>
      </c>
      <c r="D121" s="3"/>
      <c r="E121" s="18" t="s">
        <v>407</v>
      </c>
      <c r="F121" s="18" t="s">
        <v>408</v>
      </c>
      <c r="G121" s="57" t="s">
        <v>409</v>
      </c>
      <c r="H121" s="54" t="s">
        <v>628</v>
      </c>
      <c r="I121" s="56" t="s">
        <v>410</v>
      </c>
      <c r="J121" s="56" t="s">
        <v>626</v>
      </c>
      <c r="K121" s="56" t="s">
        <v>627</v>
      </c>
      <c r="L121" s="56" t="s">
        <v>216</v>
      </c>
      <c r="M121" s="13"/>
      <c r="N121" s="19" t="s">
        <v>733</v>
      </c>
      <c r="P121" s="2">
        <v>268</v>
      </c>
      <c r="Q121" s="2">
        <v>269</v>
      </c>
      <c r="R121" s="2">
        <v>270</v>
      </c>
      <c r="S121" s="2">
        <v>421</v>
      </c>
      <c r="T121" s="22">
        <v>271</v>
      </c>
      <c r="U121" s="22">
        <v>423</v>
      </c>
      <c r="V121" s="22">
        <v>425</v>
      </c>
      <c r="W121" s="22">
        <v>272</v>
      </c>
    </row>
    <row r="122" spans="1:23" x14ac:dyDescent="0.25">
      <c r="A122" s="116"/>
      <c r="B122" s="107"/>
      <c r="C122" s="26" t="s">
        <v>393</v>
      </c>
      <c r="D122" s="3"/>
      <c r="E122" s="18" t="s">
        <v>407</v>
      </c>
      <c r="F122" s="54" t="s">
        <v>408</v>
      </c>
      <c r="G122" s="54" t="s">
        <v>409</v>
      </c>
      <c r="H122" s="56" t="s">
        <v>628</v>
      </c>
      <c r="I122" s="56" t="s">
        <v>410</v>
      </c>
      <c r="J122" s="56" t="s">
        <v>626</v>
      </c>
      <c r="K122" s="56" t="s">
        <v>627</v>
      </c>
      <c r="L122" s="56" t="s">
        <v>216</v>
      </c>
      <c r="M122" s="13"/>
      <c r="N122" s="19" t="s">
        <v>733</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411</v>
      </c>
      <c r="F125" s="59" t="s">
        <v>867</v>
      </c>
      <c r="G125" s="59" t="s">
        <v>734</v>
      </c>
      <c r="H125" s="102" t="s">
        <v>391</v>
      </c>
      <c r="I125" s="54" t="s">
        <v>334</v>
      </c>
      <c r="J125" s="54" t="s">
        <v>359</v>
      </c>
      <c r="K125" s="3"/>
      <c r="L125" s="3"/>
      <c r="M125" s="10"/>
      <c r="N125" s="19"/>
      <c r="P125" s="2">
        <v>47</v>
      </c>
      <c r="Q125" s="2">
        <v>75</v>
      </c>
      <c r="R125" s="2">
        <v>317</v>
      </c>
      <c r="S125" s="22">
        <v>318</v>
      </c>
      <c r="T125" s="22">
        <v>322</v>
      </c>
      <c r="U125" s="22">
        <v>335</v>
      </c>
    </row>
    <row r="126" spans="1:23" x14ac:dyDescent="0.25">
      <c r="A126" s="116"/>
      <c r="B126" s="107"/>
      <c r="C126" s="26" t="s">
        <v>464</v>
      </c>
      <c r="D126" s="3"/>
      <c r="E126" s="4" t="s">
        <v>465</v>
      </c>
      <c r="F126" s="54" t="s">
        <v>625</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742</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509</v>
      </c>
      <c r="D130" s="3"/>
      <c r="E130" s="57" t="s">
        <v>568</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743</v>
      </c>
      <c r="P131" s="2">
        <v>35</v>
      </c>
      <c r="Q131" s="2">
        <v>46</v>
      </c>
    </row>
    <row r="132" spans="1:23" x14ac:dyDescent="0.25">
      <c r="A132" s="116"/>
      <c r="B132" s="110" t="s">
        <v>190</v>
      </c>
      <c r="C132" s="3" t="s">
        <v>191</v>
      </c>
      <c r="D132" s="3"/>
      <c r="E132" s="4" t="s">
        <v>237</v>
      </c>
      <c r="F132" s="4" t="s">
        <v>192</v>
      </c>
      <c r="G132" s="54" t="s">
        <v>338</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338</v>
      </c>
      <c r="H134" s="54" t="s">
        <v>193</v>
      </c>
      <c r="I134" s="48" t="s">
        <v>238</v>
      </c>
      <c r="J134" s="87" t="s">
        <v>868</v>
      </c>
      <c r="K134" s="54" t="s">
        <v>869</v>
      </c>
      <c r="L134" s="3"/>
      <c r="M134" s="10"/>
      <c r="N134" s="19"/>
      <c r="P134" s="2">
        <v>258</v>
      </c>
      <c r="Q134" s="2">
        <v>280</v>
      </c>
      <c r="R134" s="2">
        <v>328</v>
      </c>
      <c r="S134" s="2">
        <v>281</v>
      </c>
      <c r="T134" s="22">
        <v>260</v>
      </c>
      <c r="U134" s="22">
        <v>3</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353</v>
      </c>
      <c r="G137" s="54" t="s">
        <v>356</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810</v>
      </c>
      <c r="D140" s="3"/>
      <c r="E140" s="54" t="s">
        <v>806</v>
      </c>
      <c r="F140" s="4" t="s">
        <v>807</v>
      </c>
      <c r="G140" s="54" t="s">
        <v>808</v>
      </c>
      <c r="H140" s="4" t="s">
        <v>809</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765</v>
      </c>
      <c r="D142" s="3"/>
      <c r="E142" s="48" t="s">
        <v>363</v>
      </c>
      <c r="F142" s="48" t="s">
        <v>361</v>
      </c>
      <c r="G142" s="48" t="s">
        <v>413</v>
      </c>
      <c r="H142" s="48" t="s">
        <v>362</v>
      </c>
      <c r="I142" s="48" t="s">
        <v>364</v>
      </c>
      <c r="J142" s="3"/>
      <c r="K142" s="3"/>
      <c r="L142" s="3"/>
      <c r="M142" s="13"/>
      <c r="N142" s="19" t="s">
        <v>365</v>
      </c>
      <c r="P142" s="2">
        <v>336</v>
      </c>
      <c r="Q142" s="2">
        <v>337</v>
      </c>
      <c r="R142" s="2">
        <v>338</v>
      </c>
      <c r="S142" s="22">
        <v>339</v>
      </c>
      <c r="T142" s="22">
        <v>340</v>
      </c>
    </row>
    <row r="143" spans="1:23" x14ac:dyDescent="0.25">
      <c r="A143" s="116"/>
      <c r="B143" s="107"/>
      <c r="C143" s="3" t="s">
        <v>415</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629</v>
      </c>
      <c r="J145" s="54" t="s">
        <v>353</v>
      </c>
      <c r="K145" s="54" t="s">
        <v>357</v>
      </c>
      <c r="L145" s="54" t="s">
        <v>171</v>
      </c>
      <c r="M145" s="10"/>
      <c r="N145" s="19" t="s">
        <v>764</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371</v>
      </c>
      <c r="G146" s="56" t="s">
        <v>789</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351</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846</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845</v>
      </c>
      <c r="F179" s="48" t="s">
        <v>847</v>
      </c>
      <c r="G179" s="49" t="s">
        <v>276</v>
      </c>
      <c r="H179" s="49" t="s">
        <v>278</v>
      </c>
      <c r="I179" s="3"/>
      <c r="J179" s="3"/>
      <c r="K179" s="3"/>
      <c r="L179" s="3"/>
      <c r="M179" s="43"/>
      <c r="N179" s="19"/>
      <c r="P179" s="2">
        <v>202</v>
      </c>
      <c r="Q179" s="2">
        <v>203</v>
      </c>
      <c r="R179" s="2">
        <v>313</v>
      </c>
      <c r="S179" s="2">
        <v>314</v>
      </c>
    </row>
    <row r="180" spans="3:19" ht="15.9" customHeight="1" x14ac:dyDescent="0.25">
      <c r="C180" s="28" t="s">
        <v>830</v>
      </c>
      <c r="D180" s="28"/>
      <c r="E180" s="48">
        <v>3</v>
      </c>
      <c r="F180" s="50" t="s">
        <v>50</v>
      </c>
      <c r="G180" s="3"/>
      <c r="H180" s="3"/>
      <c r="I180" s="3"/>
      <c r="J180" s="3"/>
      <c r="K180" s="3"/>
      <c r="L180" s="3"/>
      <c r="M180" s="10"/>
      <c r="N180" s="19" t="s">
        <v>792</v>
      </c>
      <c r="P180" s="2">
        <v>70</v>
      </c>
      <c r="Q180" s="2">
        <v>71</v>
      </c>
    </row>
    <row r="181" spans="3:19" ht="15.9" customHeight="1" x14ac:dyDescent="0.25">
      <c r="C181" s="26" t="s">
        <v>9</v>
      </c>
      <c r="D181" s="26"/>
      <c r="E181" s="56" t="s">
        <v>624</v>
      </c>
      <c r="F181" s="20"/>
      <c r="G181" s="3"/>
      <c r="H181" s="3"/>
      <c r="I181" s="3"/>
      <c r="J181" s="3"/>
      <c r="K181" s="3"/>
      <c r="L181" s="3"/>
      <c r="M181" s="13"/>
      <c r="N181" s="19" t="s">
        <v>665</v>
      </c>
      <c r="P181" s="2">
        <v>27</v>
      </c>
      <c r="Q181" s="17"/>
    </row>
    <row r="182" spans="3:19" ht="15.9" customHeight="1" x14ac:dyDescent="0.25">
      <c r="C182" s="3" t="s">
        <v>793</v>
      </c>
      <c r="D182" s="3"/>
      <c r="E182" s="18" t="s">
        <v>10</v>
      </c>
      <c r="F182" s="60" t="s">
        <v>667</v>
      </c>
      <c r="G182" s="3"/>
      <c r="H182" s="3"/>
      <c r="I182" s="3"/>
      <c r="J182" s="3"/>
      <c r="K182" s="3"/>
      <c r="L182" s="3"/>
      <c r="M182" s="4"/>
      <c r="N182" s="19" t="s">
        <v>666</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2" activePane="bottomLeft" state="frozen"/>
      <selection pane="bottomLeft" activeCell="I399" sqref="I39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876</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868</v>
      </c>
      <c r="J4" s="34">
        <f>VLOOKUP($A4, Stat!$A$1:$C$1000, 2,0)</f>
        <v>0</v>
      </c>
      <c r="K4" s="34">
        <f>VLOOKUP($A4, Stat!$A$1:$C$1000, 3,0)</f>
        <v>0</v>
      </c>
      <c r="L4" s="85"/>
      <c r="S4" s="38">
        <v>0</v>
      </c>
      <c r="T4" s="38">
        <v>0</v>
      </c>
      <c r="W4" s="38" t="s">
        <v>883</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800</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800</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817</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744</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887</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743</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788</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743</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19"/>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867</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19"/>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716</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834</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834</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882</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717</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810</v>
      </c>
      <c r="E82" s="41" t="s">
        <v>140</v>
      </c>
      <c r="F82" s="96" t="s">
        <v>229</v>
      </c>
      <c r="G82" s="35"/>
      <c r="H82" s="35"/>
      <c r="I82" s="35"/>
      <c r="J82" s="82">
        <f>VLOOKUP($A82, Stat!$A$1:$C$1000, 2,0)</f>
        <v>47</v>
      </c>
      <c r="K82" s="82">
        <f>VLOOKUP($A82, Stat!$A$1:$C$1000, 3,0)</f>
        <v>12</v>
      </c>
      <c r="L82" s="34">
        <v>1</v>
      </c>
      <c r="P82" s="36"/>
      <c r="Q82" s="36"/>
      <c r="R82" s="36"/>
      <c r="S82" s="38">
        <v>60</v>
      </c>
      <c r="T82" s="38">
        <v>0</v>
      </c>
      <c r="W82" s="38" t="s">
        <v>766</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841</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735</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742</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742</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742</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840</v>
      </c>
      <c r="F90" s="96" t="s">
        <v>473</v>
      </c>
      <c r="G90" s="35" t="s">
        <v>201</v>
      </c>
      <c r="H90" s="36"/>
      <c r="I90" s="35" t="s">
        <v>571</v>
      </c>
      <c r="J90" s="82">
        <f>VLOOKUP($A90, Stat!$A$1:$C$1000, 2,0)</f>
        <v>4</v>
      </c>
      <c r="K90" s="82">
        <f>VLOOKUP($A90, Stat!$A$1:$C$1000, 3,0)</f>
        <v>0</v>
      </c>
      <c r="L90" s="85"/>
      <c r="P90" s="36"/>
      <c r="Q90" s="36"/>
      <c r="R90" s="36"/>
      <c r="S90" s="38">
        <v>60</v>
      </c>
      <c r="T90" s="38">
        <v>0</v>
      </c>
      <c r="V90" s="38" t="s">
        <v>841</v>
      </c>
      <c r="X90" s="38">
        <v>1</v>
      </c>
    </row>
    <row r="91" spans="1:24" ht="13.2" customHeight="1" x14ac:dyDescent="0.25">
      <c r="A91" s="38">
        <v>97</v>
      </c>
      <c r="B91" s="38" t="s">
        <v>57</v>
      </c>
      <c r="C91" s="38" t="s">
        <v>190</v>
      </c>
      <c r="D91" s="38" t="s">
        <v>236</v>
      </c>
      <c r="E91" s="38" t="s">
        <v>869</v>
      </c>
      <c r="J91" s="82">
        <f>VLOOKUP($A91, Stat!$A$1:$C$1000, 2,0)</f>
        <v>3</v>
      </c>
      <c r="K91" s="82">
        <f>VLOOKUP($A91, Stat!$A$1:$C$1000, 3,0)</f>
        <v>0</v>
      </c>
      <c r="L91" s="84"/>
      <c r="S91" s="38">
        <v>60</v>
      </c>
      <c r="T91" s="38">
        <v>0</v>
      </c>
      <c r="W91" s="38" t="s">
        <v>870</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829</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829</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829</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829</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19"/>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828</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828</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828</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828</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811</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811</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815</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815</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815</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815</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812</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812</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816</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816</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816</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816</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813</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813</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817</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817</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817</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814</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814</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818</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818</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818</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736</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60</v>
      </c>
      <c r="T187" s="38">
        <v>0</v>
      </c>
      <c r="V187" s="38" t="s">
        <v>674</v>
      </c>
      <c r="W187" s="38" t="s">
        <v>888</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718</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719</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838</v>
      </c>
      <c r="E196" s="41" t="s">
        <v>835</v>
      </c>
      <c r="F196" s="35" t="s">
        <v>470</v>
      </c>
      <c r="G196" s="35" t="s">
        <v>228</v>
      </c>
      <c r="H196" s="35" t="s">
        <v>201</v>
      </c>
      <c r="I196" s="35"/>
      <c r="J196" s="82">
        <f>VLOOKUP($A196, Stat!$A$1:$C$1000, 2,0)</f>
        <v>1</v>
      </c>
      <c r="K196" s="82">
        <f>VLOOKUP($A196, Stat!$A$1:$C$1000, 3,0)</f>
        <v>1</v>
      </c>
      <c r="L196" s="34">
        <v>1</v>
      </c>
      <c r="P196" s="36"/>
      <c r="Q196" s="36"/>
      <c r="R196" s="36"/>
      <c r="S196" s="38">
        <v>0</v>
      </c>
      <c r="T196" s="38">
        <v>1</v>
      </c>
      <c r="V196" s="38" t="s">
        <v>713</v>
      </c>
      <c r="X196" s="38">
        <v>1</v>
      </c>
    </row>
    <row r="197" spans="1:24" ht="13.2" customHeight="1" x14ac:dyDescent="0.25">
      <c r="A197" s="38">
        <v>209</v>
      </c>
      <c r="B197" s="38" t="s">
        <v>57</v>
      </c>
      <c r="C197" s="38" t="s">
        <v>57</v>
      </c>
      <c r="D197" s="38" t="s">
        <v>839</v>
      </c>
      <c r="E197" s="41" t="s">
        <v>835</v>
      </c>
      <c r="F197" s="35" t="s">
        <v>470</v>
      </c>
      <c r="G197" s="35" t="s">
        <v>228</v>
      </c>
      <c r="H197" s="35" t="s">
        <v>201</v>
      </c>
      <c r="I197" s="35"/>
      <c r="J197" s="82">
        <f>VLOOKUP($A197, Stat!$A$1:$C$1000, 2,0)</f>
        <v>26</v>
      </c>
      <c r="K197" s="82">
        <f>VLOOKUP($A197, Stat!$A$1:$C$1000, 3,0)</f>
        <v>3</v>
      </c>
      <c r="L197" s="34">
        <v>1</v>
      </c>
      <c r="P197" s="36"/>
      <c r="Q197" s="36"/>
      <c r="R197" s="36"/>
      <c r="S197" s="38">
        <v>0</v>
      </c>
      <c r="T197" s="38">
        <v>1</v>
      </c>
      <c r="V197" s="38" t="s">
        <v>714</v>
      </c>
      <c r="X197" s="38">
        <v>1</v>
      </c>
    </row>
    <row r="198" spans="1:24" ht="13.2" customHeight="1" x14ac:dyDescent="0.25">
      <c r="A198" s="38">
        <v>210</v>
      </c>
      <c r="B198" s="38" t="s">
        <v>57</v>
      </c>
      <c r="C198" s="38" t="s">
        <v>57</v>
      </c>
      <c r="D198" s="38" t="s">
        <v>838</v>
      </c>
      <c r="E198" s="41" t="s">
        <v>837</v>
      </c>
      <c r="F198" s="35" t="s">
        <v>470</v>
      </c>
      <c r="G198" s="35" t="s">
        <v>228</v>
      </c>
      <c r="H198" s="35" t="s">
        <v>201</v>
      </c>
      <c r="I198" s="35"/>
      <c r="J198" s="82">
        <f>VLOOKUP($A198, Stat!$A$1:$C$1000, 2,0)</f>
        <v>19</v>
      </c>
      <c r="K198" s="82">
        <f>VLOOKUP($A198, Stat!$A$1:$C$1000, 3,0)</f>
        <v>9</v>
      </c>
      <c r="L198" s="34">
        <v>1</v>
      </c>
      <c r="P198" s="36"/>
      <c r="Q198" s="36"/>
      <c r="R198" s="36"/>
      <c r="S198" s="38">
        <v>40</v>
      </c>
      <c r="T198" s="38">
        <v>0</v>
      </c>
      <c r="V198" s="38" t="s">
        <v>713</v>
      </c>
      <c r="W198" s="38" t="s">
        <v>720</v>
      </c>
      <c r="X198" s="38">
        <v>1</v>
      </c>
    </row>
    <row r="199" spans="1:24" ht="13.2" customHeight="1" x14ac:dyDescent="0.25">
      <c r="A199" s="38">
        <v>211</v>
      </c>
      <c r="B199" s="38" t="s">
        <v>57</v>
      </c>
      <c r="C199" s="38" t="s">
        <v>57</v>
      </c>
      <c r="D199" s="38" t="s">
        <v>839</v>
      </c>
      <c r="E199" s="41" t="s">
        <v>837</v>
      </c>
      <c r="F199" s="35" t="s">
        <v>470</v>
      </c>
      <c r="G199" s="35" t="s">
        <v>228</v>
      </c>
      <c r="H199" s="35" t="s">
        <v>201</v>
      </c>
      <c r="I199" s="35"/>
      <c r="J199" s="82">
        <f>VLOOKUP($A199, Stat!$A$1:$C$1000, 2,0)</f>
        <v>8</v>
      </c>
      <c r="K199" s="82">
        <f>VLOOKUP($A199, Stat!$A$1:$C$1000, 3,0)</f>
        <v>4</v>
      </c>
      <c r="L199" s="34">
        <v>1</v>
      </c>
      <c r="P199" s="36"/>
      <c r="Q199" s="36"/>
      <c r="R199" s="36"/>
      <c r="S199" s="38">
        <v>40</v>
      </c>
      <c r="T199" s="38">
        <v>0</v>
      </c>
      <c r="V199" s="38" t="s">
        <v>714</v>
      </c>
      <c r="W199" s="38" t="s">
        <v>720</v>
      </c>
      <c r="X199" s="38">
        <v>1</v>
      </c>
    </row>
    <row r="200" spans="1:24" ht="13.2" customHeight="1" x14ac:dyDescent="0.25">
      <c r="A200" s="38">
        <v>212</v>
      </c>
      <c r="B200" s="38" t="s">
        <v>57</v>
      </c>
      <c r="C200" s="38" t="s">
        <v>57</v>
      </c>
      <c r="D200" s="38" t="s">
        <v>838</v>
      </c>
      <c r="E200" s="41" t="s">
        <v>836</v>
      </c>
      <c r="F200" s="35" t="s">
        <v>470</v>
      </c>
      <c r="G200" s="35" t="s">
        <v>228</v>
      </c>
      <c r="H200" s="35" t="s">
        <v>201</v>
      </c>
      <c r="I200" s="35"/>
      <c r="J200" s="82">
        <f>VLOOKUP($A200, Stat!$A$1:$C$1000, 2,0)</f>
        <v>5</v>
      </c>
      <c r="K200" s="82">
        <f>VLOOKUP($A200, Stat!$A$1:$C$1000, 3,0)</f>
        <v>1</v>
      </c>
      <c r="L200" s="34">
        <v>1</v>
      </c>
      <c r="P200" s="36"/>
      <c r="Q200" s="36"/>
      <c r="R200" s="36"/>
      <c r="S200" s="38">
        <v>0</v>
      </c>
      <c r="T200" s="38">
        <v>1</v>
      </c>
      <c r="V200" s="38" t="s">
        <v>713</v>
      </c>
      <c r="X200" s="38">
        <v>1</v>
      </c>
    </row>
    <row r="201" spans="1:24" ht="13.2" customHeight="1" x14ac:dyDescent="0.25">
      <c r="A201" s="38">
        <v>213</v>
      </c>
      <c r="B201" s="38" t="s">
        <v>57</v>
      </c>
      <c r="C201" s="38" t="s">
        <v>57</v>
      </c>
      <c r="D201" s="38" t="s">
        <v>839</v>
      </c>
      <c r="E201" s="41" t="s">
        <v>836</v>
      </c>
      <c r="F201" s="35" t="s">
        <v>470</v>
      </c>
      <c r="G201" s="35" t="s">
        <v>228</v>
      </c>
      <c r="H201" s="35" t="s">
        <v>201</v>
      </c>
      <c r="I201" s="35"/>
      <c r="J201" s="82">
        <f>VLOOKUP($A201, Stat!$A$1:$C$1000, 2,0)</f>
        <v>23</v>
      </c>
      <c r="K201" s="82">
        <f>VLOOKUP($A201, Stat!$A$1:$C$1000, 3,0)</f>
        <v>8</v>
      </c>
      <c r="L201" s="34">
        <v>1</v>
      </c>
      <c r="P201" s="36"/>
      <c r="Q201" s="36"/>
      <c r="R201" s="36"/>
      <c r="S201" s="38">
        <v>0</v>
      </c>
      <c r="T201" s="38">
        <v>1</v>
      </c>
      <c r="V201" s="38" t="s">
        <v>714</v>
      </c>
      <c r="X201" s="38">
        <v>1</v>
      </c>
    </row>
    <row r="202" spans="1:24" ht="13.2" customHeight="1" x14ac:dyDescent="0.25">
      <c r="A202" s="38">
        <v>214</v>
      </c>
      <c r="B202" s="38" t="s">
        <v>57</v>
      </c>
      <c r="C202" s="38" t="s">
        <v>57</v>
      </c>
      <c r="D202" s="38" t="s">
        <v>838</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V202" s="38" t="s">
        <v>713</v>
      </c>
      <c r="W202" s="38" t="s">
        <v>720</v>
      </c>
      <c r="X202" s="38">
        <v>1</v>
      </c>
    </row>
    <row r="203" spans="1:24" ht="13.2" customHeight="1" x14ac:dyDescent="0.25">
      <c r="A203" s="38">
        <v>215</v>
      </c>
      <c r="B203" s="38" t="s">
        <v>57</v>
      </c>
      <c r="C203" s="38" t="s">
        <v>57</v>
      </c>
      <c r="D203" s="38" t="s">
        <v>839</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V203" s="38" t="s">
        <v>714</v>
      </c>
      <c r="W203" s="38" t="s">
        <v>720</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723</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724</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725</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726</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727</v>
      </c>
      <c r="X209" s="38">
        <v>1</v>
      </c>
    </row>
    <row r="210" spans="1:24" ht="13.2" customHeight="1" x14ac:dyDescent="0.25">
      <c r="A210" s="38">
        <v>223</v>
      </c>
      <c r="B210" s="38" t="s">
        <v>57</v>
      </c>
      <c r="C210" s="38" t="s">
        <v>57</v>
      </c>
      <c r="D210" s="38" t="s">
        <v>500</v>
      </c>
      <c r="E210" s="41" t="s">
        <v>729</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737</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810</v>
      </c>
      <c r="E213" s="41" t="s">
        <v>806</v>
      </c>
      <c r="F213" s="36"/>
      <c r="G213" s="36"/>
      <c r="H213" s="36"/>
      <c r="I213" s="36"/>
      <c r="J213" s="82">
        <f>VLOOKUP($A213, Stat!$A$1:$C$1000, 2,0)</f>
        <v>12</v>
      </c>
      <c r="K213" s="82">
        <f>VLOOKUP($A213, Stat!$A$1:$C$1000, 3,0)</f>
        <v>7</v>
      </c>
      <c r="L213" s="34">
        <v>1</v>
      </c>
      <c r="P213" s="36"/>
      <c r="Q213" s="36"/>
      <c r="R213" s="36"/>
      <c r="S213" s="38">
        <v>60</v>
      </c>
      <c r="T213" s="38">
        <v>0</v>
      </c>
      <c r="W213" s="38" t="s">
        <v>767</v>
      </c>
      <c r="X213" s="38">
        <v>1</v>
      </c>
    </row>
    <row r="214" spans="1:24" ht="13.2" customHeight="1" x14ac:dyDescent="0.25">
      <c r="A214" s="38">
        <v>227</v>
      </c>
      <c r="B214" s="38" t="s">
        <v>57</v>
      </c>
      <c r="C214" s="38" t="s">
        <v>161</v>
      </c>
      <c r="D214" s="38" t="s">
        <v>810</v>
      </c>
      <c r="E214" s="41" t="s">
        <v>807</v>
      </c>
      <c r="F214" s="36"/>
      <c r="G214" s="36"/>
      <c r="H214" s="36"/>
      <c r="I214" s="36"/>
      <c r="J214" s="82">
        <f>VLOOKUP($A214, Stat!$A$1:$C$1000, 2,0)</f>
        <v>47</v>
      </c>
      <c r="K214" s="82">
        <f>VLOOKUP($A214, Stat!$A$1:$C$1000, 3,0)</f>
        <v>5</v>
      </c>
      <c r="L214" s="34">
        <v>1</v>
      </c>
      <c r="P214" s="36"/>
      <c r="Q214" s="36"/>
      <c r="R214" s="36"/>
      <c r="S214" s="38">
        <v>0</v>
      </c>
      <c r="T214" s="38">
        <v>1</v>
      </c>
      <c r="W214" s="38" t="s">
        <v>768</v>
      </c>
      <c r="X214" s="38">
        <v>1</v>
      </c>
    </row>
    <row r="215" spans="1:24" ht="13.2" customHeight="1" x14ac:dyDescent="0.25">
      <c r="A215" s="38">
        <v>228</v>
      </c>
      <c r="B215" s="38" t="s">
        <v>57</v>
      </c>
      <c r="C215" s="38" t="s">
        <v>161</v>
      </c>
      <c r="D215" s="38" t="s">
        <v>810</v>
      </c>
      <c r="E215" s="41" t="s">
        <v>808</v>
      </c>
      <c r="F215" s="36"/>
      <c r="G215" s="36"/>
      <c r="H215" s="36"/>
      <c r="I215" s="36"/>
      <c r="J215" s="82">
        <f>VLOOKUP($A215, Stat!$A$1:$C$1000, 2,0)</f>
        <v>25</v>
      </c>
      <c r="K215" s="82">
        <f>VLOOKUP($A215, Stat!$A$1:$C$1000, 3,0)</f>
        <v>8</v>
      </c>
      <c r="L215" s="34">
        <v>1</v>
      </c>
      <c r="P215" s="36"/>
      <c r="Q215" s="36"/>
      <c r="R215" s="36"/>
      <c r="S215" s="38">
        <v>60</v>
      </c>
      <c r="T215" s="38">
        <v>0</v>
      </c>
      <c r="W215" s="38" t="s">
        <v>769</v>
      </c>
      <c r="X215" s="38">
        <v>1</v>
      </c>
    </row>
    <row r="216" spans="1:24" ht="13.2" customHeight="1" x14ac:dyDescent="0.25">
      <c r="A216" s="38">
        <v>229</v>
      </c>
      <c r="B216" s="38" t="s">
        <v>57</v>
      </c>
      <c r="C216" s="38" t="s">
        <v>161</v>
      </c>
      <c r="D216" s="38" t="s">
        <v>810</v>
      </c>
      <c r="E216" s="41" t="s">
        <v>809</v>
      </c>
      <c r="F216" s="36"/>
      <c r="G216" s="36"/>
      <c r="H216" s="36"/>
      <c r="I216" s="36"/>
      <c r="J216" s="82">
        <f>VLOOKUP($A216, Stat!$A$1:$C$1000, 2,0)</f>
        <v>57</v>
      </c>
      <c r="K216" s="82">
        <f>VLOOKUP($A216, Stat!$A$1:$C$1000, 3,0)</f>
        <v>9</v>
      </c>
      <c r="L216" s="34">
        <v>1</v>
      </c>
      <c r="P216" s="36"/>
      <c r="Q216" s="36"/>
      <c r="R216" s="36"/>
      <c r="S216" s="38">
        <v>0</v>
      </c>
      <c r="T216" s="38">
        <v>1</v>
      </c>
      <c r="W216" s="38" t="s">
        <v>770</v>
      </c>
      <c r="X216" s="38">
        <v>1</v>
      </c>
    </row>
    <row r="217" spans="1:24" ht="13.2" customHeight="1" x14ac:dyDescent="0.25">
      <c r="A217" s="38">
        <v>230</v>
      </c>
      <c r="B217" s="38" t="s">
        <v>57</v>
      </c>
      <c r="C217" s="38" t="s">
        <v>161</v>
      </c>
      <c r="D217" s="38" t="s">
        <v>810</v>
      </c>
      <c r="E217" s="41" t="s">
        <v>163</v>
      </c>
      <c r="F217" s="36"/>
      <c r="G217" s="36"/>
      <c r="H217" s="36"/>
      <c r="I217" s="36"/>
      <c r="J217" s="82">
        <f>VLOOKUP($A217, Stat!$A$1:$C$1000, 2,0)</f>
        <v>19</v>
      </c>
      <c r="K217" s="82">
        <f>VLOOKUP($A217, Stat!$A$1:$C$1000, 3,0)</f>
        <v>3</v>
      </c>
      <c r="L217" s="34">
        <v>1</v>
      </c>
      <c r="P217" s="36"/>
      <c r="Q217" s="36"/>
      <c r="R217" s="36"/>
      <c r="S217" s="38">
        <v>60</v>
      </c>
      <c r="T217" s="38">
        <v>0</v>
      </c>
      <c r="W217" s="38" t="s">
        <v>771</v>
      </c>
      <c r="X217" s="38">
        <v>1</v>
      </c>
    </row>
    <row r="218" spans="1:24" ht="13.2" customHeight="1" x14ac:dyDescent="0.25">
      <c r="A218" s="38">
        <v>231</v>
      </c>
      <c r="B218" s="38" t="s">
        <v>57</v>
      </c>
      <c r="C218" s="38" t="s">
        <v>161</v>
      </c>
      <c r="D218" s="38" t="s">
        <v>810</v>
      </c>
      <c r="E218" s="41" t="s">
        <v>149</v>
      </c>
      <c r="F218" s="36"/>
      <c r="G218" s="36"/>
      <c r="H218" s="36"/>
      <c r="I218" s="36"/>
      <c r="J218" s="82">
        <f>VLOOKUP($A218, Stat!$A$1:$C$1000, 2,0)</f>
        <v>4</v>
      </c>
      <c r="K218" s="82">
        <f>VLOOKUP($A218, Stat!$A$1:$C$1000, 3,0)</f>
        <v>3</v>
      </c>
      <c r="L218" s="34">
        <v>1</v>
      </c>
      <c r="P218" s="36"/>
      <c r="Q218" s="36"/>
      <c r="R218" s="36"/>
      <c r="S218" s="38">
        <v>60</v>
      </c>
      <c r="T218" s="38">
        <v>0</v>
      </c>
      <c r="W218" s="38" t="s">
        <v>772</v>
      </c>
      <c r="X218" s="38">
        <v>1</v>
      </c>
    </row>
    <row r="219" spans="1:24" ht="13.2" customHeight="1" x14ac:dyDescent="0.25">
      <c r="A219" s="38">
        <v>232</v>
      </c>
      <c r="B219" s="38" t="s">
        <v>57</v>
      </c>
      <c r="C219" s="38" t="s">
        <v>161</v>
      </c>
      <c r="D219" s="38" t="s">
        <v>810</v>
      </c>
      <c r="E219" s="41" t="s">
        <v>164</v>
      </c>
      <c r="F219" s="36"/>
      <c r="G219" s="36"/>
      <c r="H219" s="36"/>
      <c r="I219" s="36"/>
      <c r="J219" s="82">
        <f>VLOOKUP($A219, Stat!$A$1:$C$1000, 2,0)</f>
        <v>3</v>
      </c>
      <c r="K219" s="82">
        <f>VLOOKUP($A219, Stat!$A$1:$C$1000, 3,0)</f>
        <v>3</v>
      </c>
      <c r="L219" s="34">
        <v>1</v>
      </c>
      <c r="P219" s="36"/>
      <c r="Q219" s="36"/>
      <c r="R219" s="36"/>
      <c r="S219" s="38">
        <v>60</v>
      </c>
      <c r="T219" s="38">
        <v>0</v>
      </c>
      <c r="W219" s="38" t="s">
        <v>773</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747</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748</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749</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774</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775</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764</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764</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764</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764</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776</v>
      </c>
      <c r="X234" s="38">
        <v>1</v>
      </c>
    </row>
    <row r="235" spans="1:24" ht="13.2" customHeight="1" x14ac:dyDescent="0.25">
      <c r="A235" s="38">
        <v>248</v>
      </c>
      <c r="B235" s="38" t="s">
        <v>57</v>
      </c>
      <c r="C235" s="38" t="s">
        <v>57</v>
      </c>
      <c r="D235" s="38" t="s">
        <v>831</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721</v>
      </c>
      <c r="X235" s="38">
        <v>1</v>
      </c>
    </row>
    <row r="236" spans="1:24" ht="13.2" customHeight="1" x14ac:dyDescent="0.25">
      <c r="A236" s="38">
        <v>249</v>
      </c>
      <c r="B236" s="38" t="s">
        <v>57</v>
      </c>
      <c r="C236" s="38" t="s">
        <v>57</v>
      </c>
      <c r="D236" s="38" t="s">
        <v>831</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722</v>
      </c>
      <c r="X236" s="38">
        <v>1</v>
      </c>
    </row>
    <row r="237" spans="1:24" x14ac:dyDescent="0.25">
      <c r="A237" s="38">
        <v>250</v>
      </c>
      <c r="B237" s="38" t="s">
        <v>57</v>
      </c>
      <c r="C237" s="38" t="s">
        <v>57</v>
      </c>
      <c r="D237" s="38" t="s">
        <v>831</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764</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777</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750</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751</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752</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753</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754</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755</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733</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733</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733</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733</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733</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764</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738</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778</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756</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757</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758</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759</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728</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731</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831</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831</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734</v>
      </c>
      <c r="J298" s="82">
        <f>VLOOKUP($A298, Stat!$A$1:$C$1000, 2,0)</f>
        <v>21</v>
      </c>
      <c r="K298" s="82">
        <f>VLOOKUP($A298, Stat!$A$1:$C$1000, 3,0)</f>
        <v>4</v>
      </c>
      <c r="L298" s="34">
        <v>1</v>
      </c>
      <c r="S298" s="38">
        <v>30</v>
      </c>
      <c r="T298" s="38">
        <v>0</v>
      </c>
      <c r="W298" s="38" t="s">
        <v>739</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740</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760</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843</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844</v>
      </c>
      <c r="E305" s="38" t="s">
        <v>715</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761</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762</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834</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741</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764</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763</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765</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765</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765</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765</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765</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801</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801</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831</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733</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733</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733</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733</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733</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732</v>
      </c>
      <c r="X335" s="38">
        <v>1</v>
      </c>
    </row>
    <row r="336" spans="1:24" x14ac:dyDescent="0.25">
      <c r="A336" s="38">
        <v>360</v>
      </c>
      <c r="B336" s="38" t="s">
        <v>36</v>
      </c>
      <c r="C336" s="38" t="s">
        <v>429</v>
      </c>
      <c r="D336" s="38" t="s">
        <v>799</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799</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799</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800</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801</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798</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798</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798</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797</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797</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797</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831</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805</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831</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802</v>
      </c>
      <c r="E359" s="38" t="s">
        <v>804</v>
      </c>
      <c r="F359" s="34">
        <v>1</v>
      </c>
      <c r="J359" s="82">
        <f>VLOOKUP($A359, Stat!$A$1:$C$1000, 2,0)</f>
        <v>20</v>
      </c>
      <c r="K359" s="86">
        <f>VLOOKUP($A359, Stat!$A$1:$C$1000, 3,0)</f>
        <v>0</v>
      </c>
      <c r="L359" s="34">
        <v>1</v>
      </c>
      <c r="S359" s="38">
        <v>60</v>
      </c>
      <c r="T359" s="38">
        <v>0</v>
      </c>
      <c r="W359" s="38" t="s">
        <v>884</v>
      </c>
      <c r="X359" s="38">
        <v>1</v>
      </c>
    </row>
    <row r="360" spans="1:24" x14ac:dyDescent="0.25">
      <c r="A360" s="38">
        <v>384</v>
      </c>
      <c r="B360" s="38" t="s">
        <v>57</v>
      </c>
      <c r="C360" s="38" t="s">
        <v>57</v>
      </c>
      <c r="D360" s="38" t="s">
        <v>500</v>
      </c>
      <c r="E360" s="38" t="s">
        <v>730</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831</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745</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746</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842</v>
      </c>
      <c r="X365" s="38">
        <v>1</v>
      </c>
    </row>
    <row r="366" spans="1:24" x14ac:dyDescent="0.25">
      <c r="A366" s="38">
        <v>390</v>
      </c>
      <c r="B366" s="38" t="s">
        <v>57</v>
      </c>
      <c r="C366" s="38" t="s">
        <v>57</v>
      </c>
      <c r="D366" s="38" t="s">
        <v>572</v>
      </c>
      <c r="E366" s="38" t="s">
        <v>840</v>
      </c>
      <c r="F366" s="34">
        <v>9</v>
      </c>
      <c r="G366" s="34">
        <v>1</v>
      </c>
      <c r="I366" s="34" t="s">
        <v>572</v>
      </c>
      <c r="J366" s="34">
        <f>VLOOKUP($A366, Stat!$A$1:$C$1000, 2,0)</f>
        <v>6</v>
      </c>
      <c r="K366" s="34">
        <f>VLOOKUP($A366, Stat!$A$1:$C$1000, 3,0)</f>
        <v>0</v>
      </c>
      <c r="L366" s="85"/>
      <c r="S366" s="38">
        <v>60</v>
      </c>
      <c r="T366" s="38">
        <v>0</v>
      </c>
      <c r="V366" s="38" t="s">
        <v>842</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877</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877</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877</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878</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878</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878</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823</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823</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823</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823</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733</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733</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733</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733</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733</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733</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764</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815</v>
      </c>
      <c r="E399" s="38" t="s">
        <v>886</v>
      </c>
      <c r="F399" s="34">
        <v>8</v>
      </c>
      <c r="I399" s="34" t="s">
        <v>556</v>
      </c>
      <c r="J399" s="34">
        <f>VLOOKUP($A399, Stat!$A$1:$C$1000, 2,0)</f>
        <v>2</v>
      </c>
      <c r="K399" s="34">
        <f>VLOOKUP($A399, Stat!$A$1:$C$1000, 3,0)</f>
        <v>0</v>
      </c>
      <c r="L399" s="34">
        <v>1</v>
      </c>
      <c r="P399" s="34">
        <v>157</v>
      </c>
      <c r="S399" s="38">
        <v>0</v>
      </c>
      <c r="T399" s="38">
        <v>1</v>
      </c>
      <c r="W399" s="38" t="s">
        <v>885</v>
      </c>
      <c r="X399" s="38">
        <v>1</v>
      </c>
    </row>
    <row r="400" spans="1:24" x14ac:dyDescent="0.25">
      <c r="A400" s="38">
        <v>433</v>
      </c>
      <c r="B400" s="38" t="s">
        <v>38</v>
      </c>
      <c r="C400" s="38" t="s">
        <v>15</v>
      </c>
      <c r="D400" s="38" t="s">
        <v>802</v>
      </c>
      <c r="E400" s="38" t="s">
        <v>803</v>
      </c>
      <c r="F400" s="34">
        <v>1</v>
      </c>
      <c r="J400" s="34">
        <f>VLOOKUP($A400, Stat!$A$1:$C$1000, 2,0)</f>
        <v>172</v>
      </c>
      <c r="K400" s="34">
        <f>VLOOKUP($A400, Stat!$A$1:$C$1000, 3,0)</f>
        <v>0</v>
      </c>
      <c r="L400" s="34">
        <v>1</v>
      </c>
      <c r="S400" s="38">
        <v>100</v>
      </c>
      <c r="T400" s="38">
        <v>0</v>
      </c>
      <c r="W400" s="38" t="s">
        <v>779</v>
      </c>
      <c r="X400" s="38">
        <v>1</v>
      </c>
    </row>
    <row r="401" spans="1:24" x14ac:dyDescent="0.25">
      <c r="A401" s="38">
        <v>434</v>
      </c>
      <c r="B401" s="38" t="s">
        <v>36</v>
      </c>
      <c r="C401" s="38" t="s">
        <v>14</v>
      </c>
      <c r="D401" s="38" t="s">
        <v>787</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787</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787</v>
      </c>
      <c r="E403" s="38" t="s">
        <v>780</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787</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786</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786</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786</v>
      </c>
      <c r="E407" s="38" t="s">
        <v>780</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786</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782</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782</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782</v>
      </c>
      <c r="E411" s="38" t="s">
        <v>780</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782</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785</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785</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785</v>
      </c>
      <c r="E415" s="38" t="s">
        <v>781</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785</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783</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783</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783</v>
      </c>
      <c r="E419" s="38" t="s">
        <v>780</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783</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784</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784</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784</v>
      </c>
      <c r="E423" s="38" t="s">
        <v>781</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784</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789</v>
      </c>
      <c r="J425" s="34">
        <f>VLOOKUP($A425, Stat!$A$1:$C$1000, 2,0)</f>
        <v>23</v>
      </c>
      <c r="K425" s="34">
        <f>VLOOKUP($A425, Stat!$A$1:$C$1000, 3,0)</f>
        <v>6</v>
      </c>
      <c r="S425" s="38">
        <v>100</v>
      </c>
      <c r="T425" s="38">
        <v>0</v>
      </c>
      <c r="W425" s="38" t="s">
        <v>790</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791</v>
      </c>
      <c r="X426" s="38">
        <v>1</v>
      </c>
    </row>
    <row r="427" spans="1:24" x14ac:dyDescent="0.25">
      <c r="A427" s="38">
        <v>460</v>
      </c>
      <c r="B427" s="38" t="s">
        <v>36</v>
      </c>
      <c r="C427" s="38" t="s">
        <v>577</v>
      </c>
      <c r="D427" s="38" t="s">
        <v>819</v>
      </c>
      <c r="E427" s="38" t="s">
        <v>2</v>
      </c>
      <c r="F427" s="34">
        <v>5</v>
      </c>
      <c r="J427" s="34">
        <f>VLOOKUP($A427, Stat!$A$1:$C$1000, 2,0)</f>
        <v>0</v>
      </c>
      <c r="K427" s="34">
        <f>VLOOKUP($A427, Stat!$A$1:$C$1000, 3,0)</f>
        <v>0</v>
      </c>
      <c r="L427" s="34">
        <v>1</v>
      </c>
      <c r="P427" s="35" t="s">
        <v>596</v>
      </c>
      <c r="S427" s="38">
        <v>60</v>
      </c>
      <c r="T427" s="38">
        <v>0</v>
      </c>
      <c r="V427" s="38" t="s">
        <v>824</v>
      </c>
      <c r="X427" s="38">
        <v>1</v>
      </c>
    </row>
    <row r="428" spans="1:24" x14ac:dyDescent="0.25">
      <c r="A428" s="38">
        <v>461</v>
      </c>
      <c r="B428" s="38" t="s">
        <v>36</v>
      </c>
      <c r="C428" s="38" t="s">
        <v>577</v>
      </c>
      <c r="D428" s="38" t="s">
        <v>819</v>
      </c>
      <c r="E428" s="38" t="s">
        <v>3</v>
      </c>
      <c r="F428" s="34">
        <v>5</v>
      </c>
      <c r="J428" s="34">
        <f>VLOOKUP($A428, Stat!$A$1:$C$1000, 2,0)</f>
        <v>0</v>
      </c>
      <c r="K428" s="34">
        <f>VLOOKUP($A428, Stat!$A$1:$C$1000, 3,0)</f>
        <v>0</v>
      </c>
      <c r="L428" s="34">
        <v>1</v>
      </c>
      <c r="P428" s="35" t="s">
        <v>600</v>
      </c>
      <c r="S428" s="38">
        <v>60</v>
      </c>
      <c r="T428" s="38">
        <v>0</v>
      </c>
      <c r="V428" s="38" t="s">
        <v>824</v>
      </c>
      <c r="X428" s="38">
        <v>1</v>
      </c>
    </row>
    <row r="429" spans="1:24" x14ac:dyDescent="0.25">
      <c r="A429" s="38">
        <v>462</v>
      </c>
      <c r="B429" s="38" t="s">
        <v>36</v>
      </c>
      <c r="C429" s="38" t="s">
        <v>577</v>
      </c>
      <c r="D429" s="38" t="s">
        <v>819</v>
      </c>
      <c r="E429" s="38" t="s">
        <v>4</v>
      </c>
      <c r="F429" s="34">
        <v>5</v>
      </c>
      <c r="J429" s="34">
        <f>VLOOKUP($A429, Stat!$A$1:$C$1000, 2,0)</f>
        <v>0</v>
      </c>
      <c r="K429" s="34">
        <f>VLOOKUP($A429, Stat!$A$1:$C$1000, 3,0)</f>
        <v>0</v>
      </c>
      <c r="L429" s="34">
        <v>1</v>
      </c>
      <c r="P429" s="35" t="s">
        <v>601</v>
      </c>
      <c r="S429" s="38">
        <v>100</v>
      </c>
      <c r="T429" s="38">
        <v>0</v>
      </c>
      <c r="V429" s="38" t="s">
        <v>824</v>
      </c>
      <c r="X429" s="38">
        <v>1</v>
      </c>
    </row>
    <row r="430" spans="1:24" x14ac:dyDescent="0.25">
      <c r="A430" s="38">
        <v>463</v>
      </c>
      <c r="B430" s="38" t="s">
        <v>36</v>
      </c>
      <c r="C430" s="38" t="s">
        <v>577</v>
      </c>
      <c r="D430" s="38" t="s">
        <v>819</v>
      </c>
      <c r="E430" s="38" t="s">
        <v>48</v>
      </c>
      <c r="F430" s="34">
        <v>5</v>
      </c>
      <c r="J430" s="34">
        <f>VLOOKUP($A430, Stat!$A$1:$C$1000, 2,0)</f>
        <v>1</v>
      </c>
      <c r="K430" s="34">
        <f>VLOOKUP($A430, Stat!$A$1:$C$1000, 3,0)</f>
        <v>1</v>
      </c>
      <c r="L430" s="34">
        <v>1</v>
      </c>
      <c r="P430" s="35" t="s">
        <v>602</v>
      </c>
      <c r="S430" s="38">
        <v>100</v>
      </c>
      <c r="T430" s="38">
        <v>0</v>
      </c>
      <c r="V430" s="38" t="s">
        <v>824</v>
      </c>
      <c r="X430" s="38">
        <v>1</v>
      </c>
    </row>
    <row r="431" spans="1:24" x14ac:dyDescent="0.25">
      <c r="A431" s="38">
        <v>464</v>
      </c>
      <c r="B431" s="38" t="s">
        <v>36</v>
      </c>
      <c r="C431" s="38" t="s">
        <v>577</v>
      </c>
      <c r="D431" s="38" t="s">
        <v>821</v>
      </c>
      <c r="E431" s="38" t="s">
        <v>2</v>
      </c>
      <c r="F431" s="34">
        <v>5</v>
      </c>
      <c r="J431" s="34">
        <f>VLOOKUP($A431, Stat!$A$1:$C$1000, 2,0)</f>
        <v>1</v>
      </c>
      <c r="K431" s="34">
        <f>VLOOKUP($A431, Stat!$A$1:$C$1000, 3,0)</f>
        <v>1</v>
      </c>
      <c r="L431" s="34">
        <v>1</v>
      </c>
      <c r="P431" s="35" t="s">
        <v>863</v>
      </c>
      <c r="S431" s="38">
        <v>60</v>
      </c>
      <c r="T431" s="38">
        <v>0</v>
      </c>
      <c r="V431" s="38" t="s">
        <v>825</v>
      </c>
      <c r="X431" s="38">
        <v>1</v>
      </c>
    </row>
    <row r="432" spans="1:24" x14ac:dyDescent="0.25">
      <c r="A432" s="38">
        <v>465</v>
      </c>
      <c r="B432" s="38" t="s">
        <v>36</v>
      </c>
      <c r="C432" s="38" t="s">
        <v>577</v>
      </c>
      <c r="D432" s="38" t="s">
        <v>821</v>
      </c>
      <c r="E432" s="38" t="s">
        <v>3</v>
      </c>
      <c r="F432" s="34">
        <v>5</v>
      </c>
      <c r="J432" s="34">
        <f>VLOOKUP($A432, Stat!$A$1:$C$1000, 2,0)</f>
        <v>1</v>
      </c>
      <c r="K432" s="34">
        <f>VLOOKUP($A432, Stat!$A$1:$C$1000, 3,0)</f>
        <v>0</v>
      </c>
      <c r="L432" s="34">
        <v>1</v>
      </c>
      <c r="P432" s="35" t="s">
        <v>864</v>
      </c>
      <c r="S432" s="38">
        <v>60</v>
      </c>
      <c r="T432" s="38">
        <v>0</v>
      </c>
      <c r="V432" s="38" t="s">
        <v>825</v>
      </c>
      <c r="X432" s="38">
        <v>1</v>
      </c>
    </row>
    <row r="433" spans="1:24" x14ac:dyDescent="0.25">
      <c r="A433" s="38">
        <v>466</v>
      </c>
      <c r="B433" s="38" t="s">
        <v>36</v>
      </c>
      <c r="C433" s="38" t="s">
        <v>577</v>
      </c>
      <c r="D433" s="38" t="s">
        <v>821</v>
      </c>
      <c r="E433" s="38" t="s">
        <v>4</v>
      </c>
      <c r="F433" s="34">
        <v>5</v>
      </c>
      <c r="J433" s="34">
        <f>VLOOKUP($A433, Stat!$A$1:$C$1000, 2,0)</f>
        <v>0</v>
      </c>
      <c r="K433" s="34">
        <f>VLOOKUP($A433, Stat!$A$1:$C$1000, 3,0)</f>
        <v>0</v>
      </c>
      <c r="L433" s="34">
        <v>1</v>
      </c>
      <c r="P433" s="35" t="s">
        <v>865</v>
      </c>
      <c r="S433" s="38">
        <v>100</v>
      </c>
      <c r="T433" s="38">
        <v>0</v>
      </c>
      <c r="V433" s="38" t="s">
        <v>825</v>
      </c>
      <c r="X433" s="38">
        <v>1</v>
      </c>
    </row>
    <row r="434" spans="1:24" x14ac:dyDescent="0.25">
      <c r="A434" s="38">
        <v>467</v>
      </c>
      <c r="B434" s="38" t="s">
        <v>36</v>
      </c>
      <c r="C434" s="38" t="s">
        <v>577</v>
      </c>
      <c r="D434" s="38" t="s">
        <v>821</v>
      </c>
      <c r="E434" s="38" t="s">
        <v>48</v>
      </c>
      <c r="F434" s="34">
        <v>5</v>
      </c>
      <c r="J434" s="34">
        <f>VLOOKUP($A434, Stat!$A$1:$C$1000, 2,0)</f>
        <v>0</v>
      </c>
      <c r="K434" s="34">
        <f>VLOOKUP($A434, Stat!$A$1:$C$1000, 3,0)</f>
        <v>0</v>
      </c>
      <c r="L434" s="34">
        <v>1</v>
      </c>
      <c r="P434" s="35" t="s">
        <v>866</v>
      </c>
      <c r="S434" s="38">
        <v>100</v>
      </c>
      <c r="T434" s="38">
        <v>0</v>
      </c>
      <c r="V434" s="38" t="s">
        <v>825</v>
      </c>
      <c r="X434" s="38">
        <v>1</v>
      </c>
    </row>
    <row r="435" spans="1:24" x14ac:dyDescent="0.25">
      <c r="A435" s="38">
        <v>468</v>
      </c>
      <c r="B435" s="38" t="s">
        <v>36</v>
      </c>
      <c r="C435" s="38" t="s">
        <v>577</v>
      </c>
      <c r="D435" s="38" t="s">
        <v>820</v>
      </c>
      <c r="E435" s="38" t="s">
        <v>2</v>
      </c>
      <c r="F435" s="34">
        <v>5</v>
      </c>
      <c r="J435" s="34">
        <f>VLOOKUP($A435, Stat!$A$1:$C$1000, 2,0)</f>
        <v>6</v>
      </c>
      <c r="K435" s="34">
        <f>VLOOKUP($A435, Stat!$A$1:$C$1000, 3,0)</f>
        <v>3</v>
      </c>
      <c r="L435" s="34">
        <v>1</v>
      </c>
      <c r="P435" s="36">
        <v>132</v>
      </c>
      <c r="S435" s="38">
        <v>60</v>
      </c>
      <c r="T435" s="38">
        <v>0</v>
      </c>
      <c r="V435" s="38" t="s">
        <v>826</v>
      </c>
      <c r="X435" s="38">
        <v>1</v>
      </c>
    </row>
    <row r="436" spans="1:24" x14ac:dyDescent="0.25">
      <c r="A436" s="38">
        <v>469</v>
      </c>
      <c r="B436" s="38" t="s">
        <v>36</v>
      </c>
      <c r="C436" s="38" t="s">
        <v>577</v>
      </c>
      <c r="D436" s="38" t="s">
        <v>820</v>
      </c>
      <c r="E436" s="38" t="s">
        <v>3</v>
      </c>
      <c r="F436" s="34">
        <v>5</v>
      </c>
      <c r="J436" s="34">
        <f>VLOOKUP($A436, Stat!$A$1:$C$1000, 2,0)</f>
        <v>0</v>
      </c>
      <c r="K436" s="34">
        <f>VLOOKUP($A436, Stat!$A$1:$C$1000, 3,0)</f>
        <v>0</v>
      </c>
      <c r="L436" s="34">
        <v>1</v>
      </c>
      <c r="P436" s="36">
        <v>133</v>
      </c>
      <c r="S436" s="38">
        <v>60</v>
      </c>
      <c r="T436" s="38">
        <v>0</v>
      </c>
      <c r="V436" s="38" t="s">
        <v>826</v>
      </c>
      <c r="X436" s="38">
        <v>1</v>
      </c>
    </row>
    <row r="437" spans="1:24" x14ac:dyDescent="0.25">
      <c r="A437" s="38">
        <v>470</v>
      </c>
      <c r="B437" s="38" t="s">
        <v>36</v>
      </c>
      <c r="C437" s="38" t="s">
        <v>577</v>
      </c>
      <c r="D437" s="38" t="s">
        <v>820</v>
      </c>
      <c r="E437" s="38" t="s">
        <v>4</v>
      </c>
      <c r="F437" s="34">
        <v>5</v>
      </c>
      <c r="J437" s="34">
        <f>VLOOKUP($A437, Stat!$A$1:$C$1000, 2,0)</f>
        <v>1</v>
      </c>
      <c r="K437" s="34">
        <f>VLOOKUP($A437, Stat!$A$1:$C$1000, 3,0)</f>
        <v>1</v>
      </c>
      <c r="L437" s="34">
        <v>1</v>
      </c>
      <c r="P437" s="36">
        <v>134</v>
      </c>
      <c r="S437" s="38">
        <v>100</v>
      </c>
      <c r="T437" s="38">
        <v>0</v>
      </c>
      <c r="V437" s="38" t="s">
        <v>826</v>
      </c>
      <c r="X437" s="38">
        <v>1</v>
      </c>
    </row>
    <row r="438" spans="1:24" x14ac:dyDescent="0.25">
      <c r="A438" s="38">
        <v>471</v>
      </c>
      <c r="B438" s="38" t="s">
        <v>36</v>
      </c>
      <c r="C438" s="38" t="s">
        <v>577</v>
      </c>
      <c r="D438" s="38" t="s">
        <v>820</v>
      </c>
      <c r="E438" s="38" t="s">
        <v>48</v>
      </c>
      <c r="F438" s="34">
        <v>5</v>
      </c>
      <c r="J438" s="34">
        <f>VLOOKUP($A438, Stat!$A$1:$C$1000, 2,0)</f>
        <v>0</v>
      </c>
      <c r="K438" s="34">
        <f>VLOOKUP($A438, Stat!$A$1:$C$1000, 3,0)</f>
        <v>0</v>
      </c>
      <c r="L438" s="34">
        <v>1</v>
      </c>
      <c r="P438" s="36">
        <v>135</v>
      </c>
      <c r="S438" s="38">
        <v>100</v>
      </c>
      <c r="T438" s="38">
        <v>0</v>
      </c>
      <c r="V438" s="38" t="s">
        <v>826</v>
      </c>
      <c r="X438" s="38">
        <v>1</v>
      </c>
    </row>
    <row r="439" spans="1:24" x14ac:dyDescent="0.25">
      <c r="A439" s="38">
        <v>472</v>
      </c>
      <c r="B439" s="38" t="s">
        <v>36</v>
      </c>
      <c r="C439" s="38" t="s">
        <v>577</v>
      </c>
      <c r="D439" s="38" t="s">
        <v>822</v>
      </c>
      <c r="E439" s="38" t="s">
        <v>2</v>
      </c>
      <c r="F439" s="34">
        <v>5</v>
      </c>
      <c r="J439" s="34">
        <f>VLOOKUP($A439, Stat!$A$1:$C$1000, 2,0)</f>
        <v>1</v>
      </c>
      <c r="K439" s="34">
        <f>VLOOKUP($A439, Stat!$A$1:$C$1000, 3,0)</f>
        <v>0</v>
      </c>
      <c r="L439" s="34">
        <v>1</v>
      </c>
      <c r="P439" s="35" t="s">
        <v>859</v>
      </c>
      <c r="S439" s="38">
        <v>60</v>
      </c>
      <c r="T439" s="38">
        <v>0</v>
      </c>
      <c r="V439" s="38" t="s">
        <v>827</v>
      </c>
      <c r="X439" s="38">
        <v>1</v>
      </c>
    </row>
    <row r="440" spans="1:24" x14ac:dyDescent="0.25">
      <c r="A440" s="38">
        <v>473</v>
      </c>
      <c r="B440" s="38" t="s">
        <v>36</v>
      </c>
      <c r="C440" s="38" t="s">
        <v>577</v>
      </c>
      <c r="D440" s="38" t="s">
        <v>822</v>
      </c>
      <c r="E440" s="38" t="s">
        <v>3</v>
      </c>
      <c r="F440" s="34">
        <v>5</v>
      </c>
      <c r="J440" s="34">
        <f>VLOOKUP($A440, Stat!$A$1:$C$1000, 2,0)</f>
        <v>0</v>
      </c>
      <c r="K440" s="34">
        <f>VLOOKUP($A440, Stat!$A$1:$C$1000, 3,0)</f>
        <v>0</v>
      </c>
      <c r="L440" s="34">
        <v>1</v>
      </c>
      <c r="P440" s="35" t="s">
        <v>860</v>
      </c>
      <c r="S440" s="38">
        <v>60</v>
      </c>
      <c r="T440" s="38">
        <v>0</v>
      </c>
      <c r="V440" s="38" t="s">
        <v>827</v>
      </c>
      <c r="X440" s="38">
        <v>1</v>
      </c>
    </row>
    <row r="441" spans="1:24" x14ac:dyDescent="0.25">
      <c r="A441" s="38">
        <v>474</v>
      </c>
      <c r="B441" s="38" t="s">
        <v>36</v>
      </c>
      <c r="C441" s="38" t="s">
        <v>577</v>
      </c>
      <c r="D441" s="38" t="s">
        <v>822</v>
      </c>
      <c r="E441" s="38" t="s">
        <v>4</v>
      </c>
      <c r="F441" s="34">
        <v>5</v>
      </c>
      <c r="J441" s="34">
        <f>VLOOKUP($A441, Stat!$A$1:$C$1000, 2,0)</f>
        <v>0</v>
      </c>
      <c r="K441" s="34">
        <f>VLOOKUP($A441, Stat!$A$1:$C$1000, 3,0)</f>
        <v>0</v>
      </c>
      <c r="L441" s="34">
        <v>1</v>
      </c>
      <c r="P441" s="35" t="s">
        <v>861</v>
      </c>
      <c r="S441" s="38">
        <v>100</v>
      </c>
      <c r="T441" s="38">
        <v>0</v>
      </c>
      <c r="V441" s="38" t="s">
        <v>827</v>
      </c>
      <c r="X441" s="38">
        <v>1</v>
      </c>
    </row>
    <row r="442" spans="1:24" x14ac:dyDescent="0.25">
      <c r="A442" s="38">
        <v>475</v>
      </c>
      <c r="B442" s="38" t="s">
        <v>36</v>
      </c>
      <c r="C442" s="38" t="s">
        <v>577</v>
      </c>
      <c r="D442" s="38" t="s">
        <v>822</v>
      </c>
      <c r="E442" s="38" t="s">
        <v>48</v>
      </c>
      <c r="F442" s="34">
        <v>5</v>
      </c>
      <c r="J442" s="34">
        <f>VLOOKUP($A442, Stat!$A$1:$C$1000, 2,0)</f>
        <v>0</v>
      </c>
      <c r="K442" s="34">
        <f>VLOOKUP($A442, Stat!$A$1:$C$1000, 3,0)</f>
        <v>0</v>
      </c>
      <c r="L442" s="34">
        <v>1</v>
      </c>
      <c r="P442" s="35" t="s">
        <v>862</v>
      </c>
      <c r="S442" s="38">
        <v>100</v>
      </c>
      <c r="T442" s="38">
        <v>0</v>
      </c>
      <c r="V442" s="38" t="s">
        <v>827</v>
      </c>
      <c r="X442" s="38">
        <v>1</v>
      </c>
    </row>
    <row r="443" spans="1:24" x14ac:dyDescent="0.25">
      <c r="A443" s="38">
        <v>481</v>
      </c>
      <c r="B443" s="38" t="s">
        <v>57</v>
      </c>
      <c r="C443" s="38" t="s">
        <v>57</v>
      </c>
      <c r="D443" s="38" t="s">
        <v>833</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833</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832</v>
      </c>
      <c r="E445" s="38" t="s">
        <v>166</v>
      </c>
      <c r="F445" s="34">
        <v>7</v>
      </c>
      <c r="G445" s="34">
        <v>1</v>
      </c>
      <c r="H445" s="34">
        <v>1</v>
      </c>
      <c r="J445" s="34">
        <f>VLOOKUP($A445, Stat!$A$1:$C$1000, 2,0)</f>
        <v>22</v>
      </c>
      <c r="K445" s="34">
        <f>VLOOKUP($A445, Stat!$A$1:$C$1000, 3,0)</f>
        <v>3</v>
      </c>
      <c r="L445" s="34">
        <v>1</v>
      </c>
      <c r="S445" s="38">
        <v>0</v>
      </c>
      <c r="T445" s="38">
        <v>1</v>
      </c>
      <c r="V445" s="38" t="s">
        <v>336</v>
      </c>
      <c r="W445" s="38" t="s">
        <v>721</v>
      </c>
      <c r="X445" s="38">
        <v>1</v>
      </c>
    </row>
    <row r="446" spans="1:24" x14ac:dyDescent="0.25">
      <c r="A446" s="38">
        <v>485</v>
      </c>
      <c r="B446" s="38" t="s">
        <v>57</v>
      </c>
      <c r="C446" s="38" t="s">
        <v>57</v>
      </c>
      <c r="D446" s="38" t="s">
        <v>832</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832</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832</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832</v>
      </c>
      <c r="E449" s="38" t="s">
        <v>100</v>
      </c>
      <c r="F449" s="34">
        <v>7</v>
      </c>
      <c r="G449" s="34">
        <v>1</v>
      </c>
      <c r="H449" s="34">
        <v>1</v>
      </c>
      <c r="J449" s="34">
        <f>VLOOKUP($A449, Stat!$A$1:$C$1000, 2,0)</f>
        <v>81</v>
      </c>
      <c r="K449" s="34">
        <f>VLOOKUP($A449, Stat!$A$1:$C$1000, 3,0)</f>
        <v>28</v>
      </c>
      <c r="L449" s="34">
        <v>1</v>
      </c>
      <c r="S449" s="38">
        <v>0</v>
      </c>
      <c r="T449" s="38">
        <v>1</v>
      </c>
      <c r="V449" s="38" t="s">
        <v>336</v>
      </c>
      <c r="W449" s="38" t="s">
        <v>722</v>
      </c>
      <c r="X449" s="38">
        <v>1</v>
      </c>
    </row>
    <row r="450" spans="1:24" x14ac:dyDescent="0.25">
      <c r="A450" s="38">
        <v>489</v>
      </c>
      <c r="B450" s="38" t="s">
        <v>57</v>
      </c>
      <c r="C450" s="38" t="s">
        <v>57</v>
      </c>
      <c r="D450" s="38" t="s">
        <v>832</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832</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832</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832</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879</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879</v>
      </c>
      <c r="E455" s="38" t="s">
        <v>871</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879</v>
      </c>
      <c r="E456" s="38" t="s">
        <v>311</v>
      </c>
      <c r="F456" s="96" t="s">
        <v>471</v>
      </c>
      <c r="G456" s="36"/>
      <c r="H456" s="36"/>
      <c r="I456" s="35" t="s">
        <v>556</v>
      </c>
      <c r="J456" s="82">
        <f>VLOOKUP($A456, Stat!$A$1:$C$1000, 2,0)</f>
        <v>0</v>
      </c>
      <c r="K456" s="82">
        <f>VLOOKUP($A456, Stat!$A$1:$C$1000, 3,0)</f>
        <v>0</v>
      </c>
      <c r="L456" s="85"/>
      <c r="O456" s="34">
        <v>1</v>
      </c>
      <c r="P456" s="35" t="s">
        <v>853</v>
      </c>
      <c r="S456" s="38">
        <v>60</v>
      </c>
      <c r="T456" s="38">
        <v>0</v>
      </c>
      <c r="U456" s="38">
        <v>5</v>
      </c>
      <c r="X456" s="38">
        <v>1</v>
      </c>
    </row>
    <row r="457" spans="1:24" x14ac:dyDescent="0.25">
      <c r="A457" s="38">
        <v>496</v>
      </c>
      <c r="B457" s="38" t="s">
        <v>36</v>
      </c>
      <c r="C457" s="38" t="s">
        <v>6</v>
      </c>
      <c r="D457" s="38" t="s">
        <v>879</v>
      </c>
      <c r="E457" s="38" t="s">
        <v>848</v>
      </c>
      <c r="F457" s="96" t="s">
        <v>471</v>
      </c>
      <c r="G457" s="36"/>
      <c r="H457" s="36"/>
      <c r="I457" s="35" t="s">
        <v>477</v>
      </c>
      <c r="J457" s="82">
        <f>VLOOKUP($A457, Stat!$A$1:$C$1000, 2,0)</f>
        <v>0</v>
      </c>
      <c r="K457" s="82">
        <f>VLOOKUP($A457, Stat!$A$1:$C$1000, 3,0)</f>
        <v>0</v>
      </c>
      <c r="L457" s="85"/>
      <c r="O457" s="34">
        <v>1</v>
      </c>
      <c r="P457" s="35" t="s">
        <v>854</v>
      </c>
      <c r="S457" s="38">
        <v>60</v>
      </c>
      <c r="T457" s="38">
        <v>0</v>
      </c>
      <c r="U457" s="38">
        <v>5</v>
      </c>
      <c r="W457" s="38" t="s">
        <v>178</v>
      </c>
      <c r="X457" s="38">
        <v>1</v>
      </c>
    </row>
    <row r="458" spans="1:24" x14ac:dyDescent="0.25">
      <c r="A458" s="38">
        <v>497</v>
      </c>
      <c r="B458" s="38" t="s">
        <v>36</v>
      </c>
      <c r="C458" s="38" t="s">
        <v>6</v>
      </c>
      <c r="D458" s="38" t="s">
        <v>880</v>
      </c>
      <c r="E458" s="38" t="s">
        <v>872</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880</v>
      </c>
      <c r="E459" s="38" t="s">
        <v>873</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880</v>
      </c>
      <c r="E460" s="38" t="s">
        <v>874</v>
      </c>
      <c r="F460" s="96" t="s">
        <v>471</v>
      </c>
      <c r="G460" s="36"/>
      <c r="H460" s="36"/>
      <c r="I460" s="35" t="s">
        <v>556</v>
      </c>
      <c r="J460" s="34">
        <f>VLOOKUP($A460, Stat!$A$1:$C$1000, 2,0)</f>
        <v>0</v>
      </c>
      <c r="K460" s="34">
        <f>VLOOKUP($A460, Stat!$A$1:$C$1000, 3,0)</f>
        <v>0</v>
      </c>
      <c r="L460" s="85"/>
      <c r="O460" s="34">
        <v>1</v>
      </c>
      <c r="P460" s="35" t="s">
        <v>855</v>
      </c>
      <c r="S460" s="38">
        <v>60</v>
      </c>
      <c r="T460" s="38">
        <v>0</v>
      </c>
      <c r="U460" s="38">
        <v>5</v>
      </c>
      <c r="X460" s="38">
        <v>1</v>
      </c>
    </row>
    <row r="461" spans="1:24" x14ac:dyDescent="0.25">
      <c r="A461" s="38">
        <v>500</v>
      </c>
      <c r="B461" s="38" t="s">
        <v>36</v>
      </c>
      <c r="C461" s="38" t="s">
        <v>6</v>
      </c>
      <c r="D461" s="38" t="s">
        <v>880</v>
      </c>
      <c r="E461" s="38" t="s">
        <v>875</v>
      </c>
      <c r="F461" s="96" t="s">
        <v>471</v>
      </c>
      <c r="G461" s="36"/>
      <c r="H461" s="36"/>
      <c r="I461" s="35" t="s">
        <v>477</v>
      </c>
      <c r="J461" s="34">
        <f>VLOOKUP($A461, Stat!$A$1:$C$1000, 2,0)</f>
        <v>0</v>
      </c>
      <c r="K461" s="34">
        <f>VLOOKUP($A461, Stat!$A$1:$C$1000, 3,0)</f>
        <v>0</v>
      </c>
      <c r="L461" s="85"/>
      <c r="O461" s="34">
        <v>1</v>
      </c>
      <c r="P461" s="35" t="s">
        <v>856</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852</v>
      </c>
      <c r="X462" s="38">
        <v>1</v>
      </c>
    </row>
    <row r="463" spans="1:24" x14ac:dyDescent="0.25">
      <c r="A463" s="38">
        <v>502</v>
      </c>
      <c r="B463" s="38" t="s">
        <v>36</v>
      </c>
      <c r="C463" s="38" t="s">
        <v>6</v>
      </c>
      <c r="D463" s="38" t="s">
        <v>564</v>
      </c>
      <c r="E463" s="38" t="s">
        <v>796</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852</v>
      </c>
      <c r="X463" s="38">
        <v>1</v>
      </c>
    </row>
    <row r="464" spans="1:24" x14ac:dyDescent="0.25">
      <c r="A464" s="38">
        <v>503</v>
      </c>
      <c r="B464" s="38" t="s">
        <v>36</v>
      </c>
      <c r="C464" s="38" t="s">
        <v>6</v>
      </c>
      <c r="D464" s="38" t="s">
        <v>881</v>
      </c>
      <c r="E464" s="38" t="s">
        <v>526</v>
      </c>
      <c r="F464" s="96" t="s">
        <v>471</v>
      </c>
      <c r="G464" s="36"/>
      <c r="H464" s="36"/>
      <c r="I464" s="35" t="s">
        <v>526</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881</v>
      </c>
      <c r="E465" s="38" t="s">
        <v>794</v>
      </c>
      <c r="F465" s="96" t="s">
        <v>471</v>
      </c>
      <c r="G465" s="36"/>
      <c r="H465" s="36"/>
      <c r="I465" s="35" t="s">
        <v>570</v>
      </c>
      <c r="J465" s="82">
        <f>VLOOKUP($A465, Stat!$A$1:$C$1000, 2,0)</f>
        <v>10</v>
      </c>
      <c r="K465" s="82">
        <f>VLOOKUP($A465, Stat!$A$1:$C$1000, 3,0)</f>
        <v>0</v>
      </c>
      <c r="L465" s="34">
        <v>1</v>
      </c>
      <c r="P465" s="35" t="s">
        <v>857</v>
      </c>
      <c r="S465" s="38">
        <v>100</v>
      </c>
      <c r="T465" s="38">
        <v>0</v>
      </c>
      <c r="U465" s="38">
        <v>5</v>
      </c>
      <c r="X465" s="38">
        <v>1</v>
      </c>
    </row>
    <row r="466" spans="1:24" x14ac:dyDescent="0.25">
      <c r="A466" s="38">
        <v>505</v>
      </c>
      <c r="B466" s="38" t="s">
        <v>36</v>
      </c>
      <c r="C466" s="38" t="s">
        <v>6</v>
      </c>
      <c r="D466" s="38" t="s">
        <v>881</v>
      </c>
      <c r="E466" s="38" t="s">
        <v>795</v>
      </c>
      <c r="F466" s="96" t="s">
        <v>471</v>
      </c>
      <c r="I466" s="88" t="s">
        <v>858</v>
      </c>
      <c r="J466" s="82">
        <f>VLOOKUP($A466, Stat!$A$1:$C$1000, 2,0)</f>
        <v>64</v>
      </c>
      <c r="K466" s="82">
        <f>VLOOKUP($A466, Stat!$A$1:$C$1000, 3,0)</f>
        <v>34</v>
      </c>
      <c r="L466" s="34">
        <v>1</v>
      </c>
      <c r="P466" s="35"/>
      <c r="S466" s="38">
        <v>100</v>
      </c>
      <c r="T466" s="38">
        <v>0</v>
      </c>
      <c r="U466" s="38">
        <v>5</v>
      </c>
      <c r="W466" s="38" t="s">
        <v>851</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846</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845</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847</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793</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793</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830</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792</v>
      </c>
      <c r="W15" s="38">
        <v>1</v>
      </c>
    </row>
    <row r="16" spans="1:23" ht="13.2" customHeight="1" x14ac:dyDescent="0.25">
      <c r="A16" s="38">
        <v>71</v>
      </c>
      <c r="B16" s="38" t="s">
        <v>36</v>
      </c>
      <c r="C16" s="38" t="s">
        <v>6</v>
      </c>
      <c r="D16" s="38" t="s">
        <v>830</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792</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2018-04-26T14:57:53Z</dcterms:modified>
</cp:coreProperties>
</file>