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<sst xmlns="http://schemas.openxmlformats.org/spreadsheetml/2006/main" count="4056" uniqueCount="902">
  <si>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</si>
  <si>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</si>
  <si>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</si>
  <si>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</si>
  <si>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</si>
  <si>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</si>
  <si>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</si>
  <si>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</si>
  <si>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</si>
  <si>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</si>
  <si>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</si>
  <si>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</si>
  <si>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</si>
  <si>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</si>
  <si>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</si>
  <si>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</si>
  <si>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</si>
  <si>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</si>
  <si>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</si>
  <si>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</si>
  <si>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</si>
  <si>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</si>
  <si>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</si>
  <si>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</si>
  <si>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</si>
  <si>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</si>
  <si>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</si>
  <si>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</si>
  <si>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</si>
  <si>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</si>
  <si>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</si>
  <si>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</si>
  <si>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</si>
  <si>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</si>
  <si>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</si>
  <si>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</si>
  <si>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</si>
  <si>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</si>
  <si>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</si>
  <si>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</si>
  <si>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</si>
  <si>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</si>
  <si>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</si>
  <si>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</si>
  <si>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</si>
  <si>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</si>
  <si>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</si>
  <si>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</si>
  <si>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</si>
  <si>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</si>
  <si>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</si>
  <si>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</si>
  <si>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</si>
  <si>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</si>
  <si>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</si>
  <si>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</si>
  <si>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</si>
  <si>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</si>
  <si>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</si>
  <si>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</si>
  <si>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</si>
  <si>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</si>
  <si>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</si>
  <si>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</si>
  <si>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</si>
  <si>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</si>
  <si>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</si>
  <si>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</si>
  <si>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</si>
  <si>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</si>
  <si>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</si>
  <si>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</si>
  <si>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</si>
  <si>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</si>
  <si>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</si>
  <si>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</si>
  <si>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</si>
  <si>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</si>
  <si>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</si>
  <si>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</si>
  <si>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</si>
  <si>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</si>
  <si>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</si>
  <si>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</si>
  <si>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</si>
  <si>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</si>
  <si>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</si>
  <si>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</si>
  <si>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</si>
  <si>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</si>
  <si>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</si>
  <si>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</si>
  <si>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</si>
  <si>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</si>
  <si>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</si>
  <si>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</si>
  <si>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</si>
  <si>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</si>
  <si>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</si>
  <si>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</si>
  <si>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</si>
  <si>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</si>
  <si>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</si>
  <si>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</si>
  <si>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</si>
  <si>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</si>
  <si>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</si>
  <si>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</si>
  <si>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</si>
  <si>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</si>
  <si>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</si>
  <si>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</si>
  <si>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</si>
  <si>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</si>
  <si>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</si>
  <si>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</si>
  <si>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</si>
  <si>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</si>
  <si>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</si>
  <si>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</si>
  <si>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</si>
  <si>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</si>
  <si>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</si>
  <si>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</si>
  <si>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</si>
  <si>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</si>
  <si>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</si>
  <si>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</si>
  <si>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</si>
  <si>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</si>
  <si>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</si>
  <si>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</si>
  <si>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</si>
  <si>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</si>
  <si>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</si>
  <si>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</si>
  <si>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</si>
  <si>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</si>
  <si>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</si>
  <si>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</si>
  <si>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</si>
  <si>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</si>
  <si>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</si>
  <si>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</si>
  <si>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</si>
  <si>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</si>
  <si>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</si>
  <si>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</si>
  <si>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</si>
  <si>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</si>
  <si>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</si>
  <si>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</si>
  <si>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</si>
  <si>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</si>
  <si>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</si>
  <si>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</si>
  <si>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</si>
  <si>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</si>
  <si>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</si>
  <si>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</si>
  <si>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</si>
  <si>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</si>
  <si>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</si>
  <si>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</si>
  <si>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</si>
  <si>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</si>
  <si>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</si>
  <si>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</si>
  <si>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</si>
  <si>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</si>
  <si>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</si>
  <si>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</si>
  <si>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</si>
  <si>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</si>
  <si>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</si>
  <si>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</si>
  <si>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</si>
  <si>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</si>
  <si>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</si>
  <si>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</si>
  <si>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</si>
  <si>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</si>
  <si>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</si>
  <si>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</si>
  <si>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</si>
  <si>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</si>
  <si>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</si>
  <si>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</si>
  <si>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</si>
  <si>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</si>
  <si>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</si>
  <si>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</si>
  <si>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</si>
  <si>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</si>
  <si>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</si>
  <si>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</si>
  <si>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</si>
  <si>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</si>
  <si>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</si>
  <si>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</si>
  <si>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</si>
  <si>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</si>
  <si>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</si>
  <si>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</si>
  <si>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</si>
  <si>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</si>
  <si>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</si>
  <si>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</si>
  <si>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</si>
  <si>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</si>
  <si>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</si>
  <si>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</si>
  <si>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</si>
  <si>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</si>
  <si>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</si>
  <si>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</si>
  <si>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</si>
  <si>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</si>
  <si>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</si>
  <si>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</si>
  <si>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</si>
  <si>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</si>
  <si>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</si>
  <si>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</si>
  <si>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</si>
  <si>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</si>
  <si>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</si>
  <si>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</si>
  <si>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</si>
  <si>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</si>
  <si>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</si>
  <si>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</si>
  <si>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</si>
  <si>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</si>
  <si>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</si>
  <si>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</si>
  <si>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</si>
  <si>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</si>
  <si>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</si>
  <si>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</si>
  <si>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</si>
  <si>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</si>
  <si>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</si>
  <si>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</si>
  <si>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</si>
  <si>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</si>
  <si>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</si>
  <si>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</si>
  <si>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</si>
  <si>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</si>
  <si>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</si>
  <si>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</si>
  <si>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</si>
  <si>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</si>
  <si>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</si>
  <si>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</si>
  <si>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</si>
  <si>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</si>
  <si>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</si>
  <si>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</si>
  <si>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</si>
  <si>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</si>
  <si>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</si>
  <si>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</si>
  <si>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</si>
  <si>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</si>
  <si>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</si>
  <si>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</si>
  <si>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</si>
  <si>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</si>
  <si>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</si>
  <si>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</si>
  <si>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</si>
  <si>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</si>
  <si>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</si>
  <si>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</si>
  <si>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</si>
  <si>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</si>
  <si>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</si>
  <si>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</si>
  <si>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</si>
  <si>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</si>
  <si>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</si>
  <si>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</si>
  <si>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</si>
  <si>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</si>
  <si>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</si>
  <si>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</si>
  <si>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</si>
  <si>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</si>
  <si>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</si>
  <si>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</si>
  <si>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</si>
  <si>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</si>
  <si>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</si>
  <si>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</si>
  <si>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</si>
  <si>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</si>
  <si>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</si>
  <si>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</si>
  <si>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</si>
  <si>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</si>
  <si>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</si>
  <si>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</si>
  <si>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</si>
  <si>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</si>
  <si>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</si>
  <si>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</si>
  <si>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</si>
  <si>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</si>
  <si>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</si>
  <si>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</si>
  <si>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</si>
  <si>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</si>
  <si>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</si>
  <si>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</si>
  <si>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</si>
  <si>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</si>
  <si>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</si>
  <si>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</si>
  <si>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</si>
  <si>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</si>
  <si>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</si>
  <si>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</si>
  <si>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</si>
  <si>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</si>
  <si>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</si>
  <si>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</si>
  <si>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</si>
  <si>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</si>
  <si>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</si>
  <si>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</si>
  <si>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</si>
  <si>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</si>
  <si>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</si>
  <si>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</si>
  <si>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</si>
  <si>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</si>
  <si>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</si>
  <si>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</si>
  <si>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</si>
  <si>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</si>
  <si>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</si>
  <si>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</si>
  <si>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</si>
  <si>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</si>
  <si>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</si>
  <si>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</si>
  <si>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</si>
  <si>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</si>
  <si>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</si>
  <si>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</si>
  <si>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</si>
  <si>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</si>
  <si>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</si>
  <si>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</si>
  <si>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</si>
  <si>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</si>
  <si>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</si>
  <si>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</si>
  <si>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</si>
  <si>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</si>
  <si>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</si>
  <si>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</si>
  <si>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</si>
  <si>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</si>
  <si>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</si>
  <si>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</si>
  <si>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</si>
  <si>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</si>
  <si>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</si>
  <si>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</si>
  <si>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</si>
  <si>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</si>
  <si>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</si>
  <si>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</si>
  <si>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</si>
  <si>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</si>
  <si>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</si>
  <si>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</si>
  <si>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</si>
  <si>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</si>
  <si>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</si>
  <si>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</si>
  <si>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</si>
  <si>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</si>
  <si>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</si>
  <si>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</si>
  <si>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</si>
  <si>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</si>
  <si>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</si>
  <si>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</si>
  <si>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</si>
  <si>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</si>
  <si>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</si>
  <si>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</si>
  <si>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</si>
  <si>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</si>
  <si>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</si>
  <si>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</si>
  <si>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</si>
  <si>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</si>
  <si>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</si>
  <si>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</si>
  <si>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</si>
  <si>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</si>
  <si>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</si>
  <si>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</si>
  <si>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</si>
  <si>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</si>
  <si>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</si>
  <si>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</si>
  <si>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</si>
  <si>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</si>
  <si>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</si>
  <si>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</si>
  <si>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</si>
  <si>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</si>
  <si>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</si>
  <si>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</si>
  <si>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</si>
  <si>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</si>
  <si>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</si>
  <si>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</si>
  <si>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</si>
  <si>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</si>
  <si>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</si>
  <si>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</si>
  <si>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</si>
  <si>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</si>
  <si>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</si>
  <si>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</si>
  <si>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</si>
  <si>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</si>
  <si>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</si>
  <si>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</si>
  <si>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</si>
  <si>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</si>
  <si>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</si>
  <si>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</si>
  <si>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</si>
  <si>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</si>
  <si>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</si>
  <si>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</si>
  <si>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</si>
  <si>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</si>
  <si>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</si>
  <si>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</si>
  <si>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</si>
  <si>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</si>
  <si>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</si>
  <si>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</si>
  <si>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</si>
  <si>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</si>
  <si>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</si>
  <si>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</si>
  <si>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</si>
  <si>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</si>
  <si>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</si>
  <si>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</si>
  <si>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</si>
  <si>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</si>
  <si>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</si>
  <si>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</si>
  <si>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</si>
  <si>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</si>
  <si>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</si>
  <si>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</si>
  <si>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</si>
  <si>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</si>
  <si>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</si>
  <si>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</si>
  <si>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</si>
  <si>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</si>
  <si>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</si>
  <si>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</si>
  <si>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</si>
  <si>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</si>
  <si>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</si>
  <si>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</si>
  <si>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</si>
  <si>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</si>
  <si>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</si>
  <si>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</si>
  <si>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</si>
  <si>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</si>
  <si>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</si>
  <si>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</si>
  <si>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</si>
  <si>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</si>
  <si>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</si>
  <si>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</si>
  <si>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</si>
  <si>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</si>
  <si>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</si>
  <si>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</si>
  <si>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</si>
  <si>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</si>
  <si>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</si>
  <si>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</si>
  <si>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</si>
  <si>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</si>
  <si>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</si>
  <si>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</si>
  <si>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</si>
  <si>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</si>
  <si>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</si>
  <si>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</si>
  <si>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</si>
  <si>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</si>
  <si>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</si>
  <si>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</si>
  <si>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</si>
  <si>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</si>
  <si>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</si>
  <si>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</si>
  <si>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</si>
  <si>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</si>
  <si>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</si>
  <si>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</si>
  <si>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</si>
  <si>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</si>
  <si>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</si>
  <si>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</si>
  <si>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</si>
  <si>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</si>
  <si>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</si>
  <si>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</si>
  <si>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</si>
  <si>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</si>
  <si>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</si>
  <si>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</si>
  <si>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</si>
  <si>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</si>
  <si>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</si>
  <si>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</si>
  <si>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</si>
  <si>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</si>
  <si>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</si>
  <si>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</si>
  <si>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</si>
  <si>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</si>
  <si>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</si>
  <si>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</si>
  <si>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</si>
  <si>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</si>
  <si>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</si>
  <si>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</si>
  <si>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</si>
  <si>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</si>
  <si>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</si>
  <si>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</si>
  <si>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</si>
  <si>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</si>
  <si>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</si>
  <si>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</si>
  <si>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</si>
  <si>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</si>
  <si>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</si>
  <si>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</si>
  <si>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</si>
  <si>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</si>
  <si>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</si>
  <si>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</si>
  <si>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</si>
  <si>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</si>
  <si>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</si>
  <si>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</si>
  <si>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</si>
  <si>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</si>
  <si>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</si>
  <si>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</si>
  <si>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</si>
  <si>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</si>
  <si>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</si>
  <si>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</si>
  <si>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</si>
  <si>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</si>
  <si>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</si>
  <si>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</si>
  <si>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</si>
  <si>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</si>
  <si>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</si>
  <si>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</si>
  <si>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</si>
  <si>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</si>
  <si>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</si>
  <si>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</si>
  <si>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</si>
  <si>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</si>
  <si>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</si>
  <si>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</si>
  <si>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</si>
  <si>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</si>
  <si>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</si>
  <si>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</si>
  <si>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</si>
  <si>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</si>
  <si>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</si>
  <si>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</si>
  <si>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</si>
  <si>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</si>
  <si>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</si>
  <si>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</si>
  <si>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</si>
  <si>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</si>
  <si>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</si>
  <si>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</si>
  <si>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</si>
  <si>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</si>
  <si>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</si>
  <si>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</si>
  <si>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</si>
  <si>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</si>
  <si>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</si>
  <si>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</si>
  <si>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</si>
  <si>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</si>
  <si>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</si>
  <si>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</si>
  <si>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</si>
  <si>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</si>
  <si>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</si>
  <si>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</si>
  <si>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</si>
  <si>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</si>
  <si>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</si>
  <si>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</si>
  <si>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</si>
  <si>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</si>
  <si>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</si>
  <si>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</si>
  <si>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</si>
  <si>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</si>
  <si>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</si>
  <si>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</si>
  <si>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</si>
  <si>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</si>
  <si>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</si>
  <si>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</si>
  <si>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</si>
  <si>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</si>
  <si>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</si>
  <si>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</si>
  <si>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</si>
  <si>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</si>
  <si>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</si>
  <si>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</si>
  <si>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</si>
  <si>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</si>
  <si>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</si>
  <si>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</si>
  <si>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</si>
  <si>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</si>
  <si>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</si>
  <si>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</si>
  <si>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</si>
  <si>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</si>
  <si>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</si>
  <si>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</si>
  <si>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</si>
  <si>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</si>
  <si>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</si>
  <si>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</si>
  <si>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</si>
  <si>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</si>
  <si>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</si>
  <si>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</si>
  <si>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</si>
  <si>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</si>
  <si>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</si>
  <si>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</si>
  <si>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</si>
  <si>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</si>
  <si>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</si>
  <si>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</si>
  <si>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</si>
  <si>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</si>
  <si>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</si>
  <si>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</si>
  <si>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</si>
  <si>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</si>
  <si>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</si>
  <si>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</si>
  <si>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</si>
  <si>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</si>
  <si>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</si>
  <si>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</si>
  <si>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</si>
  <si>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</si>
  <si>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</si>
  <si>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</si>
  <si>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</si>
  <si>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</si>
  <si>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</si>
  <si>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</si>
  <si>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</si>
  <si>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</si>
  <si>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</si>
  <si>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</si>
  <si>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</si>
  <si>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</si>
  <si>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</si>
  <si>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</si>
  <si>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</si>
  <si>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</si>
  <si>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</si>
  <si>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</si>
  <si>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</si>
  <si>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</si>
  <si>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</si>
  <si>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</si>
  <si>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</si>
  <si>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</si>
  <si>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</si>
  <si>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</si>
  <si>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</si>
  <si>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</si>
  <si>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</si>
  <si>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</si>
  <si>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</si>
  <si>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</si>
  <si>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</si>
  <si>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</si>
  <si>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</si>
  <si>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</si>
  <si>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</si>
  <si>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</si>
  <si>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</si>
  <si>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</si>
  <si>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</si>
  <si>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</si>
  <si>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</si>
  <si>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</si>
  <si>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</si>
  <si>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</si>
  <si>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</si>
  <si>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</si>
  <si>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</si>
  <si>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</si>
  <si>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</si>
  <si>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</si>
  <si>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</si>
  <si>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</si>
  <si>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</si>
  <si>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</si>
  <si>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</si>
  <si>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</si>
  <si>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</si>
  <si>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</si>
  <si>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</si>
  <si>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</si>
  <si>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</si>
  <si>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</si>
  <si>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</si>
  <si>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</si>
  <si>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</si>
  <si>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</si>
  <si>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</si>
  <si>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</si>
  <si>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</si>
  <si>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</si>
  <si>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</si>
  <si>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</si>
  <si>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</si>
  <si>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</si>
  <si>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</si>
  <si>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</si>
  <si>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</si>
  <si>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</si>
  <si>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</si>
  <si>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</si>
  <si>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</si>
  <si>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</si>
  <si>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</si>
  <si>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</si>
  <si>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</si>
  <si>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</si>
  <si>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</si>
  <si>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</si>
  <si>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</si>
  <si>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</si>
  <si>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</si>
  <si>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</si>
  <si>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</si>
  <si>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</si>
  <si>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</si>
  <si>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</si>
  <si>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</si>
  <si>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</si>
  <si>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</si>
  <si>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</si>
  <si>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</si>
  <si>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</si>
  <si>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</si>
  <si>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</si>
  <si>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</si>
  <si>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</si>
  <si>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</si>
  <si>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</si>
  <si>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</si>
  <si>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</si>
  <si>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</si>
  <si>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</si>
  <si>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</si>
  <si>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</si>
  <si>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</si>
  <si>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</si>
  <si>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</si>
  <si>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</si>
  <si>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</si>
  <si>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</si>
  <si>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</si>
  <si>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</si>
  <si>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</si>
  <si>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</si>
  <si>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</si>
  <si>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</si>
  <si>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</si>
  <si>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</si>
  <si>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</si>
  <si>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</si>
  <si>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</si>
  <si>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</si>
  <si>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</si>
  <si>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</si>
  <si>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</si>
  <si>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</si>
  <si>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</si>
  <si>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</si>
  <si>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</si>
  <si>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</si>
  <si>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</si>
  <si>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</si>
  <si>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</si>
  <si>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</si>
  <si>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</si>
  <si>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</si>
  <si>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</si>
  <si>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</si>
  <si>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</si>
  <si>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</si>
  <si>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</si>
  <si>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</si>
  <si>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</si>
  <si>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</si>
  <si>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</si>
  <si>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</si>
  <si>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</si>
  <si>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</si>
  <si>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</si>
  <si>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</si>
  <si>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</si>
  <si>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</si>
  <si>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</si>
  <si>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</si>
  <si>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</si>
  <si>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</si>
  <si>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</si>
  <si>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</si>
  <si>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</si>
  <si>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</si>
  <si>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</si>
  <si>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</si>
  <si>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</si>
  <si>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</si>
  <si>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</si>
  <si>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</si>
  <si>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</si>
  <si>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</si>
  <si>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</si>
  <si>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</si>
  <si>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</si>
  <si>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</si>
  <si>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</si>
  <si>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</si>
  <si>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</si>
  <si>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</si>
  <si>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</si>
  <si>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</si>
  <si>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</si>
  <si>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</si>
  <si>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</si>
  <si>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</si>
  <si>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</si>
  <si>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</si>
  <si>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</si>
  <si>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</si>
  <si>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</si>
  <si>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</si>
  <si>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</si>
  <si>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</si>
  <si>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</si>
  <si>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</si>
  <si>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</si>
  <si>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</si>
  <si>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</si>
  <si>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</si>
  <si>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</si>
  <si>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</si>
  <si>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With higher voice. Includes 16th interval and above</t>
  </si>
  <si>
    <t>In lower voice. Includes 14th interval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</si>
</sst>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104" activePane="bottomLeft" state="frozen"/>
      <selection activeCell="C37" sqref="C37"/>
      <selection pane="bottomLeft" activeCell="E117" sqref="E11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854</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25">
      <c r="A5" s="116"/>
      <c r="B5" s="108"/>
      <c r="C5" s="3" t="s">
        <v>810</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25">
      <c r="A8" s="116"/>
      <c r="B8" s="108" t="s">
        <v>72</v>
      </c>
      <c r="C8" s="3" t="s">
        <v>809</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25">
      <c r="A13" s="116"/>
      <c r="B13" s="108"/>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25">
      <c r="A14" s="116"/>
      <c r="B14" s="108"/>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25">
      <c r="A15" s="116"/>
      <c r="B15" s="108"/>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25">
      <c r="A16" s="116"/>
      <c r="B16" s="108"/>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25">
      <c r="A17" s="116"/>
      <c r="B17" s="108"/>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25">
      <c r="A18" s="116"/>
      <c r="B18" s="108"/>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25">
      <c r="A19" s="116"/>
      <c r="B19" s="108"/>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25">
      <c r="A20" s="116"/>
      <c r="B20" s="108"/>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16"/>
      <c r="B21" s="108"/>
      <c r="C21" s="26" t="s">
        <v>804</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25">
      <c r="A22" s="116"/>
      <c r="B22" s="108"/>
      <c r="C22" s="103" t="s">
        <v>800</v>
      </c>
      <c r="D22" s="3"/>
      <c r="E22" s="54" t="s">
        <v>2</v>
      </c>
      <c r="F22" s="54" t="s">
        <v>3</v>
      </c>
      <c r="G22" s="56" t="s">
        <v>4</v>
      </c>
      <c r="H22" s="56" t="s">
        <v>47</v>
      </c>
      <c r="I22" s="3"/>
      <c r="J22" s="3"/>
      <c r="K22" s="3"/>
      <c r="L22" s="3"/>
      <c r="M22" s="13"/>
      <c r="N22" s="19" t="s">
        <v>805</v>
      </c>
      <c r="P22" s="2">
        <v>460</v>
      </c>
      <c r="Q22" s="2">
        <v>461</v>
      </c>
      <c r="R22" s="2">
        <v>462</v>
      </c>
      <c r="S22" s="2">
        <v>463</v>
      </c>
      <c r="U22" s="2"/>
      <c r="V22" s="2"/>
      <c r="W22" s="2"/>
      <c r="X22" s="2"/>
    </row>
    <row r="23" spans="1:24" ht="15.9" customHeight="1" x14ac:dyDescent="0.25">
      <c r="A23" s="116"/>
      <c r="B23" s="108"/>
      <c r="C23" s="103" t="s">
        <v>802</v>
      </c>
      <c r="D23" s="3"/>
      <c r="E23" s="54" t="s">
        <v>2</v>
      </c>
      <c r="F23" s="54" t="s">
        <v>3</v>
      </c>
      <c r="G23" s="56" t="s">
        <v>4</v>
      </c>
      <c r="H23" s="56" t="s">
        <v>47</v>
      </c>
      <c r="I23" s="3"/>
      <c r="J23" s="3"/>
      <c r="K23" s="3"/>
      <c r="L23" s="3"/>
      <c r="M23" s="4"/>
      <c r="N23" s="19" t="s">
        <v>806</v>
      </c>
      <c r="P23" s="2">
        <v>464</v>
      </c>
      <c r="Q23" s="2">
        <v>465</v>
      </c>
      <c r="R23" s="2">
        <v>466</v>
      </c>
      <c r="S23" s="2">
        <v>467</v>
      </c>
      <c r="U23" s="2"/>
      <c r="V23" s="2"/>
      <c r="W23" s="2"/>
      <c r="X23" s="2"/>
    </row>
    <row r="24" spans="1:24" ht="15.9" customHeight="1" x14ac:dyDescent="0.25">
      <c r="A24" s="116"/>
      <c r="B24" s="108"/>
      <c r="C24" s="103" t="s">
        <v>801</v>
      </c>
      <c r="D24" s="3"/>
      <c r="E24" s="54" t="s">
        <v>2</v>
      </c>
      <c r="F24" s="54" t="s">
        <v>3</v>
      </c>
      <c r="G24" s="56" t="s">
        <v>4</v>
      </c>
      <c r="H24" s="56" t="s">
        <v>47</v>
      </c>
      <c r="I24" s="98"/>
      <c r="J24" s="3"/>
      <c r="K24" s="3"/>
      <c r="L24" s="3"/>
      <c r="M24" s="4"/>
      <c r="N24" s="19" t="s">
        <v>807</v>
      </c>
      <c r="P24" s="2">
        <v>468</v>
      </c>
      <c r="Q24" s="2">
        <v>469</v>
      </c>
      <c r="R24" s="2">
        <v>470</v>
      </c>
      <c r="S24" s="2">
        <v>471</v>
      </c>
      <c r="U24" s="2"/>
      <c r="V24" s="2"/>
      <c r="W24" s="2"/>
      <c r="X24" s="2"/>
    </row>
    <row r="25" spans="1:24" ht="15.9" customHeight="1" x14ac:dyDescent="0.25">
      <c r="A25" s="116"/>
      <c r="B25" s="108"/>
      <c r="C25" s="103" t="s">
        <v>803</v>
      </c>
      <c r="D25" s="3"/>
      <c r="E25" s="54" t="s">
        <v>2</v>
      </c>
      <c r="F25" s="54" t="s">
        <v>3</v>
      </c>
      <c r="G25" s="56" t="s">
        <v>4</v>
      </c>
      <c r="H25" s="56" t="s">
        <v>47</v>
      </c>
      <c r="I25" s="3"/>
      <c r="J25" s="3"/>
      <c r="K25" s="3"/>
      <c r="L25" s="3"/>
      <c r="M25" s="4"/>
      <c r="N25" s="19" t="s">
        <v>808</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857</v>
      </c>
      <c r="D29" s="3">
        <v>0</v>
      </c>
      <c r="E29" s="49" t="s">
        <v>273</v>
      </c>
      <c r="F29" s="49" t="s">
        <v>849</v>
      </c>
      <c r="G29" s="48" t="s">
        <v>303</v>
      </c>
      <c r="H29" s="48" t="s">
        <v>829</v>
      </c>
      <c r="I29" s="3"/>
      <c r="J29" s="3"/>
      <c r="K29" s="3"/>
      <c r="L29" s="3"/>
      <c r="M29" s="13"/>
      <c r="N29" s="42"/>
      <c r="P29" s="2">
        <v>493</v>
      </c>
      <c r="Q29" s="2">
        <v>494</v>
      </c>
      <c r="R29" s="2">
        <v>495</v>
      </c>
      <c r="S29" s="2">
        <v>496</v>
      </c>
      <c r="T29" s="23"/>
      <c r="U29" s="23"/>
    </row>
    <row r="30" spans="1:24" ht="15.9" customHeight="1" x14ac:dyDescent="0.25">
      <c r="A30" s="116"/>
      <c r="B30" s="108"/>
      <c r="C30" s="25" t="s">
        <v>857</v>
      </c>
      <c r="D30" s="3">
        <v>1</v>
      </c>
      <c r="E30" s="49" t="s">
        <v>302</v>
      </c>
      <c r="F30" s="49" t="s">
        <v>849</v>
      </c>
      <c r="G30" s="48" t="s">
        <v>303</v>
      </c>
      <c r="H30" s="48" t="s">
        <v>829</v>
      </c>
      <c r="I30" s="3"/>
      <c r="J30" s="3"/>
      <c r="K30" s="3"/>
      <c r="L30" s="3"/>
      <c r="M30" s="13"/>
      <c r="N30" s="42"/>
      <c r="P30" s="2">
        <v>493</v>
      </c>
      <c r="Q30" s="2">
        <v>494</v>
      </c>
      <c r="R30" s="2">
        <v>495</v>
      </c>
      <c r="S30" s="2">
        <v>496</v>
      </c>
      <c r="T30" s="23"/>
      <c r="U30" s="23"/>
    </row>
    <row r="31" spans="1:24" ht="15.9" customHeight="1" x14ac:dyDescent="0.25">
      <c r="A31" s="116"/>
      <c r="B31" s="108"/>
      <c r="C31" s="25" t="s">
        <v>857</v>
      </c>
      <c r="D31" s="3">
        <v>2</v>
      </c>
      <c r="E31" s="48" t="s">
        <v>302</v>
      </c>
      <c r="F31" s="48" t="s">
        <v>830</v>
      </c>
      <c r="G31" s="50" t="s">
        <v>273</v>
      </c>
      <c r="H31" s="50" t="s">
        <v>849</v>
      </c>
      <c r="I31" s="3"/>
      <c r="J31" s="3"/>
      <c r="K31" s="3"/>
      <c r="L31" s="3"/>
      <c r="M31" s="13"/>
      <c r="N31" s="42"/>
      <c r="P31" s="2">
        <v>493</v>
      </c>
      <c r="Q31" s="2">
        <v>494</v>
      </c>
      <c r="R31" s="2">
        <v>495</v>
      </c>
      <c r="S31" s="2">
        <v>496</v>
      </c>
      <c r="T31" s="23"/>
      <c r="U31" s="23"/>
    </row>
    <row r="32" spans="1:24" ht="15.9" customHeight="1" x14ac:dyDescent="0.25">
      <c r="A32" s="116"/>
      <c r="B32" s="108"/>
      <c r="C32" s="25" t="s">
        <v>857</v>
      </c>
      <c r="D32" s="3">
        <v>3</v>
      </c>
      <c r="E32" s="48" t="s">
        <v>302</v>
      </c>
      <c r="F32" s="48" t="s">
        <v>830</v>
      </c>
      <c r="G32" s="50" t="s">
        <v>302</v>
      </c>
      <c r="H32" s="50" t="s">
        <v>830</v>
      </c>
      <c r="I32" s="3"/>
      <c r="J32" s="3"/>
      <c r="K32" s="3"/>
      <c r="L32" s="3"/>
      <c r="M32" s="13"/>
      <c r="N32" s="42"/>
      <c r="P32" s="2">
        <v>493</v>
      </c>
      <c r="Q32" s="2">
        <v>494</v>
      </c>
      <c r="R32" s="2">
        <v>495</v>
      </c>
      <c r="S32" s="2">
        <v>496</v>
      </c>
      <c r="T32" s="23"/>
      <c r="U32" s="23"/>
    </row>
    <row r="33" spans="1:21" ht="15.9" customHeight="1" x14ac:dyDescent="0.25">
      <c r="A33" s="116"/>
      <c r="B33" s="108"/>
      <c r="C33" s="25" t="s">
        <v>857</v>
      </c>
      <c r="D33" s="3">
        <v>4</v>
      </c>
      <c r="E33" s="49" t="s">
        <v>273</v>
      </c>
      <c r="F33" s="49" t="s">
        <v>849</v>
      </c>
      <c r="G33" s="48" t="s">
        <v>303</v>
      </c>
      <c r="H33" s="48" t="s">
        <v>829</v>
      </c>
      <c r="I33" s="3"/>
      <c r="J33" s="3"/>
      <c r="K33" s="3"/>
      <c r="L33" s="3"/>
      <c r="M33" s="13"/>
      <c r="N33" s="42"/>
      <c r="P33" s="2">
        <v>493</v>
      </c>
      <c r="Q33" s="2">
        <v>494</v>
      </c>
      <c r="R33" s="2">
        <v>495</v>
      </c>
      <c r="S33" s="2">
        <v>496</v>
      </c>
      <c r="T33" s="23"/>
      <c r="U33" s="23"/>
    </row>
    <row r="34" spans="1:21" ht="15.9" customHeight="1" x14ac:dyDescent="0.25">
      <c r="A34" s="116"/>
      <c r="B34" s="108"/>
      <c r="C34" s="25" t="s">
        <v>857</v>
      </c>
      <c r="D34" s="3">
        <v>5</v>
      </c>
      <c r="E34" s="49" t="s">
        <v>273</v>
      </c>
      <c r="F34" s="49" t="s">
        <v>849</v>
      </c>
      <c r="G34" s="48" t="s">
        <v>303</v>
      </c>
      <c r="H34" s="48" t="s">
        <v>829</v>
      </c>
      <c r="I34" s="3"/>
      <c r="J34" s="3"/>
      <c r="K34" s="3"/>
      <c r="L34" s="3"/>
      <c r="M34" s="13"/>
      <c r="N34" s="42"/>
      <c r="P34" s="2">
        <v>493</v>
      </c>
      <c r="Q34" s="2">
        <v>494</v>
      </c>
      <c r="R34" s="2">
        <v>495</v>
      </c>
      <c r="S34" s="2">
        <v>496</v>
      </c>
      <c r="T34" s="23"/>
      <c r="U34" s="23"/>
    </row>
    <row r="35" spans="1:21" ht="15.9" customHeight="1" x14ac:dyDescent="0.25">
      <c r="A35" s="116"/>
      <c r="B35" s="108"/>
      <c r="C35" s="25" t="s">
        <v>858</v>
      </c>
      <c r="D35" s="3">
        <v>0</v>
      </c>
      <c r="E35" s="49" t="s">
        <v>850</v>
      </c>
      <c r="F35" s="49" t="s">
        <v>851</v>
      </c>
      <c r="G35" s="48" t="s">
        <v>852</v>
      </c>
      <c r="H35" s="48" t="s">
        <v>853</v>
      </c>
      <c r="I35" s="3"/>
      <c r="J35" s="3"/>
      <c r="K35" s="3"/>
      <c r="L35" s="3"/>
      <c r="M35" s="13"/>
      <c r="N35" s="42"/>
      <c r="P35" s="2">
        <v>497</v>
      </c>
      <c r="Q35" s="2">
        <v>498</v>
      </c>
      <c r="R35" s="2">
        <v>499</v>
      </c>
      <c r="S35" s="2">
        <v>500</v>
      </c>
      <c r="T35" s="23"/>
      <c r="U35" s="23"/>
    </row>
    <row r="36" spans="1:21" ht="15.9" customHeight="1" x14ac:dyDescent="0.25">
      <c r="A36" s="116"/>
      <c r="B36" s="108"/>
      <c r="C36" s="25" t="s">
        <v>858</v>
      </c>
      <c r="D36" s="3">
        <v>1</v>
      </c>
      <c r="E36" s="49" t="s">
        <v>303</v>
      </c>
      <c r="F36" s="49" t="s">
        <v>851</v>
      </c>
      <c r="G36" s="48" t="s">
        <v>852</v>
      </c>
      <c r="H36" s="48" t="s">
        <v>853</v>
      </c>
      <c r="I36" s="3"/>
      <c r="J36" s="3"/>
      <c r="K36" s="3"/>
      <c r="L36" s="3"/>
      <c r="M36" s="13"/>
      <c r="N36" s="42"/>
      <c r="P36" s="2">
        <v>497</v>
      </c>
      <c r="Q36" s="2">
        <v>498</v>
      </c>
      <c r="R36" s="2">
        <v>499</v>
      </c>
      <c r="S36" s="2">
        <v>500</v>
      </c>
      <c r="T36" s="23"/>
      <c r="U36" s="23"/>
    </row>
    <row r="37" spans="1:21" ht="15.9" customHeight="1" x14ac:dyDescent="0.25">
      <c r="A37" s="116"/>
      <c r="B37" s="108"/>
      <c r="C37" s="25" t="s">
        <v>858</v>
      </c>
      <c r="D37" s="3">
        <v>2</v>
      </c>
      <c r="E37" s="48" t="s">
        <v>303</v>
      </c>
      <c r="F37" s="48" t="s">
        <v>831</v>
      </c>
      <c r="G37" s="50" t="s">
        <v>303</v>
      </c>
      <c r="H37" s="50" t="s">
        <v>831</v>
      </c>
      <c r="I37" s="3"/>
      <c r="J37" s="3"/>
      <c r="K37" s="3"/>
      <c r="L37" s="3"/>
      <c r="M37" s="13"/>
      <c r="N37" s="42"/>
      <c r="P37" s="2">
        <v>497</v>
      </c>
      <c r="Q37" s="2">
        <v>498</v>
      </c>
      <c r="R37" s="2">
        <v>499</v>
      </c>
      <c r="S37" s="2">
        <v>500</v>
      </c>
      <c r="T37" s="23"/>
      <c r="U37" s="23"/>
    </row>
    <row r="38" spans="1:21" ht="15.9" customHeight="1" x14ac:dyDescent="0.25">
      <c r="A38" s="116"/>
      <c r="B38" s="108"/>
      <c r="C38" s="25" t="s">
        <v>858</v>
      </c>
      <c r="D38" s="3">
        <v>3</v>
      </c>
      <c r="E38" s="48" t="s">
        <v>303</v>
      </c>
      <c r="F38" s="48" t="s">
        <v>831</v>
      </c>
      <c r="G38" s="50" t="s">
        <v>303</v>
      </c>
      <c r="H38" s="50" t="s">
        <v>831</v>
      </c>
      <c r="I38" s="3"/>
      <c r="J38" s="3"/>
      <c r="K38" s="3"/>
      <c r="L38" s="3"/>
      <c r="M38" s="13"/>
      <c r="N38" s="42"/>
      <c r="P38" s="2">
        <v>497</v>
      </c>
      <c r="Q38" s="2">
        <v>498</v>
      </c>
      <c r="R38" s="2">
        <v>499</v>
      </c>
      <c r="S38" s="2">
        <v>500</v>
      </c>
      <c r="T38" s="23"/>
      <c r="U38" s="23"/>
    </row>
    <row r="39" spans="1:21" ht="15.9" customHeight="1" x14ac:dyDescent="0.25">
      <c r="A39" s="116"/>
      <c r="B39" s="108"/>
      <c r="C39" s="25" t="s">
        <v>858</v>
      </c>
      <c r="D39" s="3">
        <v>4</v>
      </c>
      <c r="E39" s="49" t="s">
        <v>850</v>
      </c>
      <c r="F39" s="49" t="s">
        <v>851</v>
      </c>
      <c r="G39" s="48" t="s">
        <v>852</v>
      </c>
      <c r="H39" s="48" t="s">
        <v>853</v>
      </c>
      <c r="I39" s="3"/>
      <c r="J39" s="3"/>
      <c r="K39" s="3"/>
      <c r="L39" s="3"/>
      <c r="M39" s="13"/>
      <c r="N39" s="42"/>
      <c r="P39" s="2">
        <v>497</v>
      </c>
      <c r="Q39" s="2">
        <v>498</v>
      </c>
      <c r="R39" s="2">
        <v>499</v>
      </c>
      <c r="S39" s="2">
        <v>500</v>
      </c>
      <c r="T39" s="23"/>
      <c r="U39" s="23"/>
    </row>
    <row r="40" spans="1:21" ht="15.9" customHeight="1" x14ac:dyDescent="0.25">
      <c r="A40" s="116"/>
      <c r="B40" s="108"/>
      <c r="C40" s="25" t="s">
        <v>858</v>
      </c>
      <c r="D40" s="3">
        <v>5</v>
      </c>
      <c r="E40" s="49" t="s">
        <v>850</v>
      </c>
      <c r="F40" s="49" t="s">
        <v>851</v>
      </c>
      <c r="G40" s="48" t="s">
        <v>852</v>
      </c>
      <c r="H40" s="48" t="s">
        <v>853</v>
      </c>
      <c r="I40" s="3"/>
      <c r="J40" s="3"/>
      <c r="K40" s="3"/>
      <c r="L40" s="3"/>
      <c r="M40" s="13"/>
      <c r="N40" s="42"/>
      <c r="P40" s="2">
        <v>497</v>
      </c>
      <c r="Q40" s="2">
        <v>498</v>
      </c>
      <c r="R40" s="2">
        <v>499</v>
      </c>
      <c r="S40" s="2">
        <v>500</v>
      </c>
      <c r="T40" s="23"/>
      <c r="U40" s="23"/>
    </row>
    <row r="41" spans="1:21" ht="15.9" customHeight="1" x14ac:dyDescent="0.25">
      <c r="A41" s="116"/>
      <c r="B41" s="108"/>
      <c r="C41" s="3" t="s">
        <v>553</v>
      </c>
      <c r="D41" s="3">
        <v>120</v>
      </c>
      <c r="E41" s="48">
        <v>3</v>
      </c>
      <c r="F41" s="50" t="s">
        <v>49</v>
      </c>
      <c r="G41" s="3"/>
      <c r="H41" s="3"/>
      <c r="I41" s="3"/>
      <c r="J41" s="3"/>
      <c r="K41" s="3"/>
      <c r="L41" s="3"/>
      <c r="M41" s="13"/>
      <c r="N41" s="42" t="s">
        <v>866</v>
      </c>
      <c r="P41" s="2">
        <v>501</v>
      </c>
      <c r="Q41" s="2">
        <v>502</v>
      </c>
      <c r="R41" s="23"/>
      <c r="S41" s="23"/>
      <c r="T41" s="23"/>
      <c r="U41" s="23"/>
    </row>
    <row r="42" spans="1:21" ht="15.9" customHeight="1" x14ac:dyDescent="0.25">
      <c r="A42" s="116"/>
      <c r="B42" s="108"/>
      <c r="C42" s="3" t="s">
        <v>553</v>
      </c>
      <c r="D42" s="3">
        <v>34</v>
      </c>
      <c r="E42" s="48">
        <v>3</v>
      </c>
      <c r="F42" s="50" t="s">
        <v>49</v>
      </c>
      <c r="G42" s="3"/>
      <c r="H42" s="3"/>
      <c r="I42" s="3"/>
      <c r="J42" s="3"/>
      <c r="K42" s="3"/>
      <c r="L42" s="3"/>
      <c r="M42" s="13"/>
      <c r="N42" s="42" t="s">
        <v>833</v>
      </c>
      <c r="P42" s="2">
        <v>501</v>
      </c>
      <c r="Q42" s="2">
        <v>502</v>
      </c>
      <c r="R42" s="23"/>
      <c r="S42" s="23"/>
      <c r="T42" s="23"/>
      <c r="U42" s="23"/>
    </row>
    <row r="43" spans="1:21" ht="15.9" customHeight="1" x14ac:dyDescent="0.25">
      <c r="A43" s="116"/>
      <c r="B43" s="108"/>
      <c r="C43" s="3" t="s">
        <v>553</v>
      </c>
      <c r="D43" s="3">
        <v>5</v>
      </c>
      <c r="E43" s="48">
        <v>4</v>
      </c>
      <c r="F43" s="50" t="s">
        <v>777</v>
      </c>
      <c r="G43" s="3"/>
      <c r="H43" s="3"/>
      <c r="I43" s="3"/>
      <c r="J43" s="3"/>
      <c r="K43" s="3"/>
      <c r="L43" s="3"/>
      <c r="M43" s="13"/>
      <c r="N43" s="42" t="s">
        <v>833</v>
      </c>
      <c r="P43" s="2">
        <v>501</v>
      </c>
      <c r="Q43" s="2">
        <v>502</v>
      </c>
      <c r="R43" s="23"/>
      <c r="S43" s="23"/>
      <c r="T43" s="23"/>
      <c r="U43" s="23"/>
    </row>
    <row r="44" spans="1:21" ht="15.9" customHeight="1" x14ac:dyDescent="0.25">
      <c r="A44" s="116"/>
      <c r="B44" s="108"/>
      <c r="C44" s="3" t="s">
        <v>859</v>
      </c>
      <c r="D44" s="3">
        <v>1230</v>
      </c>
      <c r="E44" s="54" t="s">
        <v>516</v>
      </c>
      <c r="F44" s="56" t="s">
        <v>775</v>
      </c>
      <c r="G44" s="56" t="s">
        <v>776</v>
      </c>
      <c r="H44" s="3"/>
      <c r="I44" s="3"/>
      <c r="J44" s="3"/>
      <c r="K44" s="3"/>
      <c r="L44" s="3"/>
      <c r="M44" s="13"/>
      <c r="N44" s="19"/>
      <c r="P44" s="2">
        <v>503</v>
      </c>
      <c r="Q44" s="2">
        <v>504</v>
      </c>
      <c r="R44" s="2">
        <v>505</v>
      </c>
      <c r="S44" s="23"/>
      <c r="T44" s="23"/>
      <c r="U44" s="23"/>
    </row>
    <row r="45" spans="1:21" ht="15.9" customHeight="1" x14ac:dyDescent="0.25">
      <c r="A45" s="116"/>
      <c r="B45" s="108"/>
      <c r="C45" s="3" t="s">
        <v>859</v>
      </c>
      <c r="D45" s="3">
        <v>45</v>
      </c>
      <c r="E45" s="57" t="s">
        <v>516</v>
      </c>
      <c r="F45" s="56" t="s">
        <v>775</v>
      </c>
      <c r="G45" s="56" t="s">
        <v>776</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659</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660</v>
      </c>
      <c r="P47" s="2">
        <v>302</v>
      </c>
      <c r="R47" s="2">
        <v>303</v>
      </c>
    </row>
    <row r="48" spans="1:21" ht="15.9" customHeight="1" x14ac:dyDescent="0.25">
      <c r="A48" s="116"/>
      <c r="B48" s="111" t="s">
        <v>12</v>
      </c>
      <c r="C48" s="26" t="s">
        <v>855</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25">
      <c r="A49" s="116"/>
      <c r="B49" s="112"/>
      <c r="C49" s="26" t="s">
        <v>855</v>
      </c>
      <c r="D49" s="3">
        <v>23</v>
      </c>
      <c r="E49" s="54" t="s">
        <v>314</v>
      </c>
      <c r="F49" s="57" t="s">
        <v>312</v>
      </c>
      <c r="G49" s="4" t="s">
        <v>313</v>
      </c>
      <c r="H49" s="3"/>
      <c r="I49" s="3"/>
      <c r="J49" s="3"/>
      <c r="K49" s="3"/>
      <c r="L49" s="3"/>
      <c r="M49" s="10"/>
      <c r="N49" s="19" t="s">
        <v>661</v>
      </c>
      <c r="P49" s="1">
        <v>402</v>
      </c>
      <c r="Q49" s="1">
        <v>403</v>
      </c>
      <c r="R49" s="1">
        <v>404</v>
      </c>
    </row>
    <row r="50" spans="1:22" ht="15.9" customHeight="1" x14ac:dyDescent="0.25">
      <c r="A50" s="116"/>
      <c r="B50" s="112"/>
      <c r="C50" s="26" t="s">
        <v>856</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25">
      <c r="A51" s="116"/>
      <c r="B51" s="112"/>
      <c r="C51" s="26" t="s">
        <v>855</v>
      </c>
      <c r="D51" s="3">
        <v>5</v>
      </c>
      <c r="E51" s="54" t="s">
        <v>314</v>
      </c>
      <c r="F51" s="57" t="s">
        <v>312</v>
      </c>
      <c r="G51" s="4" t="s">
        <v>313</v>
      </c>
      <c r="H51" s="3"/>
      <c r="I51" s="3"/>
      <c r="J51" s="3"/>
      <c r="K51" s="3"/>
      <c r="L51" s="3"/>
      <c r="M51" s="13"/>
      <c r="N51" s="19" t="s">
        <v>661</v>
      </c>
      <c r="P51" s="1">
        <v>402</v>
      </c>
      <c r="Q51" s="1">
        <v>403</v>
      </c>
      <c r="R51" s="1">
        <v>404</v>
      </c>
    </row>
    <row r="52" spans="1:22" ht="15.9" customHeight="1" x14ac:dyDescent="0.25">
      <c r="A52" s="116"/>
      <c r="B52" s="112"/>
      <c r="C52" s="26" t="s">
        <v>856</v>
      </c>
      <c r="D52" s="3">
        <v>5</v>
      </c>
      <c r="E52" s="54" t="s">
        <v>314</v>
      </c>
      <c r="F52" s="54" t="s">
        <v>312</v>
      </c>
      <c r="G52" s="57" t="s">
        <v>313</v>
      </c>
      <c r="H52" s="3"/>
      <c r="I52" s="3"/>
      <c r="J52" s="3"/>
      <c r="K52" s="3"/>
      <c r="L52" s="3"/>
      <c r="M52" s="13"/>
      <c r="N52" s="19" t="s">
        <v>662</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883</v>
      </c>
      <c r="D54" s="3"/>
      <c r="E54" s="57" t="s">
        <v>878</v>
      </c>
      <c r="F54" s="57" t="s">
        <v>879</v>
      </c>
      <c r="G54" s="57" t="s">
        <v>880</v>
      </c>
      <c r="H54" s="57" t="s">
        <v>881</v>
      </c>
      <c r="I54" s="3"/>
      <c r="J54" s="3"/>
      <c r="K54" s="3"/>
      <c r="L54" s="3"/>
      <c r="M54" s="43"/>
      <c r="N54" s="19" t="s">
        <v>876</v>
      </c>
      <c r="P54" s="2">
        <v>311</v>
      </c>
      <c r="Q54" s="2">
        <v>312</v>
      </c>
      <c r="R54" s="2">
        <v>405</v>
      </c>
      <c r="S54" s="2">
        <v>406</v>
      </c>
      <c r="T54" s="2"/>
    </row>
    <row r="55" spans="1:22" ht="15.9" customHeight="1" x14ac:dyDescent="0.25">
      <c r="A55" s="116"/>
      <c r="B55" s="112"/>
      <c r="C55" s="3" t="s">
        <v>882</v>
      </c>
      <c r="D55" s="3"/>
      <c r="E55" s="54" t="s">
        <v>878</v>
      </c>
      <c r="F55" s="54" t="s">
        <v>879</v>
      </c>
      <c r="G55" s="54" t="s">
        <v>880</v>
      </c>
      <c r="H55" s="54" t="s">
        <v>881</v>
      </c>
      <c r="I55" s="3"/>
      <c r="J55" s="3"/>
      <c r="K55" s="3"/>
      <c r="L55" s="3"/>
      <c r="M55" s="43"/>
      <c r="N55" s="19" t="s">
        <v>876</v>
      </c>
      <c r="P55" s="2">
        <v>313</v>
      </c>
      <c r="Q55" s="2">
        <v>314</v>
      </c>
      <c r="R55" s="2">
        <v>407</v>
      </c>
      <c r="S55" s="2">
        <v>408</v>
      </c>
      <c r="T55" s="2"/>
    </row>
    <row r="56" spans="1:22" ht="15.9" customHeight="1" x14ac:dyDescent="0.25">
      <c r="A56" s="116"/>
      <c r="B56" s="112"/>
      <c r="C56" s="3" t="s">
        <v>115</v>
      </c>
      <c r="D56" s="3"/>
      <c r="E56" s="48" t="s">
        <v>897</v>
      </c>
      <c r="F56" s="48" t="s">
        <v>898</v>
      </c>
      <c r="G56" s="3"/>
      <c r="H56" s="3"/>
      <c r="I56" s="3"/>
      <c r="J56" s="3"/>
      <c r="K56" s="3"/>
      <c r="L56" s="3"/>
      <c r="M56" s="10"/>
      <c r="N56" s="19" t="s">
        <v>663</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25">
      <c r="A61" s="116"/>
      <c r="B61" s="111" t="s">
        <v>419</v>
      </c>
      <c r="C61" s="26" t="s">
        <v>778</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25">
      <c r="A62" s="116"/>
      <c r="B62" s="112"/>
      <c r="C62" s="26" t="s">
        <v>779</v>
      </c>
      <c r="D62" s="3"/>
      <c r="E62" s="55" t="s">
        <v>45</v>
      </c>
      <c r="F62" s="56" t="s">
        <v>46</v>
      </c>
      <c r="G62" s="57" t="s">
        <v>20</v>
      </c>
      <c r="H62" s="3"/>
      <c r="I62" s="3"/>
      <c r="J62" s="3"/>
      <c r="K62" s="3"/>
      <c r="L62" s="3"/>
      <c r="M62" s="4"/>
      <c r="N62" s="19" t="s">
        <v>414</v>
      </c>
      <c r="P62" s="2">
        <v>365</v>
      </c>
      <c r="Q62" s="2">
        <v>366</v>
      </c>
      <c r="R62" s="2">
        <v>367</v>
      </c>
    </row>
    <row r="63" spans="1:22" ht="15.9" customHeight="1" x14ac:dyDescent="0.25">
      <c r="A63" s="116"/>
      <c r="B63" s="112"/>
      <c r="C63" s="26" t="s">
        <v>780</v>
      </c>
      <c r="D63" s="3"/>
      <c r="E63" s="55" t="s">
        <v>45</v>
      </c>
      <c r="F63" s="56" t="s">
        <v>46</v>
      </c>
      <c r="G63" s="57" t="s">
        <v>20</v>
      </c>
      <c r="H63" s="3"/>
      <c r="I63" s="3"/>
      <c r="J63" s="3"/>
      <c r="K63" s="3"/>
      <c r="L63" s="3"/>
      <c r="M63" s="4"/>
      <c r="N63" s="19" t="s">
        <v>415</v>
      </c>
      <c r="P63" s="2">
        <v>360</v>
      </c>
      <c r="Q63" s="2">
        <v>361</v>
      </c>
      <c r="R63" s="2">
        <v>362</v>
      </c>
    </row>
    <row r="64" spans="1:22" ht="15.9" customHeight="1" x14ac:dyDescent="0.25">
      <c r="A64" s="116"/>
      <c r="B64" s="112"/>
      <c r="C64" s="26" t="s">
        <v>781</v>
      </c>
      <c r="D64" s="3"/>
      <c r="E64" s="57" t="s">
        <v>45</v>
      </c>
      <c r="F64" s="54" t="s">
        <v>46</v>
      </c>
      <c r="G64" s="57" t="s">
        <v>20</v>
      </c>
      <c r="H64" s="47"/>
      <c r="I64" s="3"/>
      <c r="J64" s="3"/>
      <c r="K64" s="3"/>
      <c r="L64" s="3"/>
      <c r="M64" s="43"/>
      <c r="N64" s="19" t="s">
        <v>413</v>
      </c>
      <c r="P64" s="2">
        <v>18</v>
      </c>
      <c r="Q64" s="2">
        <v>19</v>
      </c>
      <c r="R64" s="2">
        <v>363</v>
      </c>
      <c r="S64" s="2"/>
    </row>
    <row r="65" spans="1:24" ht="15.9" customHeight="1" x14ac:dyDescent="0.25">
      <c r="A65" s="116"/>
      <c r="B65" s="113"/>
      <c r="C65" s="26" t="s">
        <v>782</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25">
      <c r="A67" s="116"/>
      <c r="B67" s="108"/>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25">
      <c r="A68" s="116"/>
      <c r="B68" s="108"/>
      <c r="C68" s="26" t="s">
        <v>474</v>
      </c>
      <c r="D68" s="3"/>
      <c r="E68" s="53" t="s">
        <v>555</v>
      </c>
      <c r="F68" s="3"/>
      <c r="G68" s="3"/>
      <c r="H68" s="3"/>
      <c r="I68" s="3"/>
      <c r="J68" s="3"/>
      <c r="K68" s="3"/>
      <c r="L68" s="3"/>
      <c r="M68" s="13"/>
      <c r="N68" s="19"/>
      <c r="P68" s="22">
        <v>11</v>
      </c>
      <c r="Q68" s="2"/>
      <c r="R68" s="2"/>
      <c r="S68" s="2"/>
      <c r="T68" s="22"/>
    </row>
    <row r="69" spans="1:24" ht="15.9" customHeight="1" x14ac:dyDescent="0.25">
      <c r="A69" s="116"/>
      <c r="B69" s="108"/>
      <c r="C69" s="3" t="s">
        <v>768</v>
      </c>
      <c r="D69" s="3"/>
      <c r="E69" s="50" t="s">
        <v>280</v>
      </c>
      <c r="F69" s="48" t="s">
        <v>343</v>
      </c>
      <c r="G69" s="48" t="s">
        <v>761</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767</v>
      </c>
      <c r="D70" s="3"/>
      <c r="E70" s="50" t="s">
        <v>280</v>
      </c>
      <c r="F70" s="48" t="s">
        <v>343</v>
      </c>
      <c r="G70" s="48" t="s">
        <v>761</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763</v>
      </c>
      <c r="D71" s="3"/>
      <c r="E71" s="50" t="s">
        <v>280</v>
      </c>
      <c r="F71" s="48" t="s">
        <v>373</v>
      </c>
      <c r="G71" s="48" t="s">
        <v>761</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766</v>
      </c>
      <c r="D72" s="3"/>
      <c r="E72" s="50" t="s">
        <v>280</v>
      </c>
      <c r="F72" s="48" t="s">
        <v>563</v>
      </c>
      <c r="G72" s="48" t="s">
        <v>762</v>
      </c>
      <c r="H72" s="49" t="s">
        <v>564</v>
      </c>
      <c r="I72" s="3"/>
      <c r="J72" s="3"/>
      <c r="K72" s="3"/>
      <c r="L72" s="3"/>
      <c r="M72" s="4"/>
      <c r="N72" s="19"/>
      <c r="P72" s="2">
        <v>446</v>
      </c>
      <c r="Q72" s="2">
        <v>447</v>
      </c>
      <c r="R72" s="2">
        <v>448</v>
      </c>
      <c r="S72" s="2">
        <v>449</v>
      </c>
      <c r="U72" s="2"/>
      <c r="V72" s="2"/>
      <c r="W72" s="2"/>
      <c r="X72" s="2"/>
    </row>
    <row r="73" spans="1:24" ht="15.9" customHeight="1" x14ac:dyDescent="0.25">
      <c r="A73" s="116"/>
      <c r="B73" s="108"/>
      <c r="C73" s="26" t="s">
        <v>764</v>
      </c>
      <c r="D73" s="3"/>
      <c r="E73" s="50" t="s">
        <v>280</v>
      </c>
      <c r="F73" s="48" t="s">
        <v>343</v>
      </c>
      <c r="G73" s="48" t="s">
        <v>761</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765</v>
      </c>
      <c r="D74" s="3"/>
      <c r="E74" s="50" t="s">
        <v>280</v>
      </c>
      <c r="F74" s="48" t="s">
        <v>563</v>
      </c>
      <c r="G74" s="48" t="s">
        <v>762</v>
      </c>
      <c r="H74" s="49" t="s">
        <v>564</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582</v>
      </c>
      <c r="F75" s="49" t="s">
        <v>583</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619</v>
      </c>
      <c r="F76" s="51" t="s">
        <v>620</v>
      </c>
      <c r="G76" s="51" t="s">
        <v>621</v>
      </c>
      <c r="H76" s="3"/>
      <c r="I76" s="3"/>
      <c r="J76" s="3"/>
      <c r="K76" s="3"/>
      <c r="L76" s="3"/>
      <c r="M76" s="10"/>
      <c r="N76" s="19" t="s">
        <v>672</v>
      </c>
      <c r="P76" s="2">
        <v>17</v>
      </c>
      <c r="Q76" s="2">
        <v>428</v>
      </c>
      <c r="R76" s="2">
        <v>429</v>
      </c>
    </row>
    <row r="77" spans="1:24" x14ac:dyDescent="0.25">
      <c r="A77" s="116"/>
      <c r="B77" s="108"/>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682</v>
      </c>
      <c r="P78" s="2">
        <v>194</v>
      </c>
      <c r="Q78" s="2">
        <v>195</v>
      </c>
      <c r="R78" s="2"/>
    </row>
    <row r="79" spans="1:24" x14ac:dyDescent="0.25">
      <c r="A79" s="116"/>
      <c r="B79" s="108"/>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786</v>
      </c>
      <c r="D81" s="3"/>
      <c r="E81" s="59" t="s">
        <v>678</v>
      </c>
      <c r="G81" s="3"/>
      <c r="H81" s="3"/>
      <c r="I81" s="3"/>
      <c r="J81" s="3"/>
      <c r="K81" s="3"/>
      <c r="L81" s="3"/>
      <c r="M81" s="10"/>
      <c r="N81" s="19"/>
      <c r="P81" s="22">
        <v>375</v>
      </c>
      <c r="S81" s="2"/>
    </row>
    <row r="82" spans="1:22" ht="15.9" customHeight="1" x14ac:dyDescent="0.25">
      <c r="A82" s="116"/>
      <c r="B82" s="108"/>
      <c r="C82" s="3" t="s">
        <v>783</v>
      </c>
      <c r="D82" s="3"/>
      <c r="E82" s="54" t="s">
        <v>785</v>
      </c>
      <c r="F82" s="56" t="s">
        <v>784</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x14ac:dyDescent="0.25">
      <c r="A85" s="116"/>
      <c r="B85" s="108"/>
      <c r="C85" s="3" t="s">
        <v>601</v>
      </c>
      <c r="D85" s="3"/>
      <c r="E85" s="57" t="s">
        <v>603</v>
      </c>
      <c r="F85" s="64" t="s">
        <v>602</v>
      </c>
      <c r="G85" s="65" t="s">
        <v>604</v>
      </c>
      <c r="H85" s="3"/>
      <c r="I85" s="3"/>
      <c r="J85" s="3"/>
      <c r="K85" s="3"/>
      <c r="L85" s="3"/>
      <c r="M85" s="4"/>
      <c r="N85" s="19"/>
      <c r="P85" s="2">
        <v>418</v>
      </c>
      <c r="Q85" s="23">
        <v>99</v>
      </c>
      <c r="R85" s="23">
        <v>321</v>
      </c>
    </row>
    <row r="86" spans="1:22" x14ac:dyDescent="0.25">
      <c r="A86" s="116"/>
      <c r="B86" s="108"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16"/>
      <c r="B87" s="108"/>
      <c r="C87" s="26" t="s">
        <v>64</v>
      </c>
      <c r="D87" s="3"/>
      <c r="E87" s="18" t="s">
        <v>395</v>
      </c>
      <c r="F87" s="18" t="s">
        <v>396</v>
      </c>
      <c r="G87" s="3"/>
      <c r="H87" s="3"/>
      <c r="I87" s="3"/>
      <c r="J87" s="3"/>
      <c r="K87" s="3"/>
      <c r="L87" s="3"/>
      <c r="M87" s="4"/>
      <c r="N87" s="19" t="s">
        <v>682</v>
      </c>
      <c r="P87" s="2">
        <v>14</v>
      </c>
      <c r="Q87" s="2">
        <v>34</v>
      </c>
    </row>
    <row r="88" spans="1:22" x14ac:dyDescent="0.25">
      <c r="A88" s="116"/>
      <c r="B88" s="108"/>
      <c r="C88" s="26" t="s">
        <v>65</v>
      </c>
      <c r="D88" s="3"/>
      <c r="E88" s="18" t="s">
        <v>394</v>
      </c>
      <c r="F88" s="18" t="s">
        <v>892</v>
      </c>
      <c r="G88" s="3"/>
      <c r="H88" s="3"/>
      <c r="I88" s="3"/>
      <c r="J88" s="3"/>
      <c r="K88" s="3"/>
      <c r="L88" s="3"/>
      <c r="M88" s="43"/>
      <c r="N88" s="19" t="s">
        <v>682</v>
      </c>
      <c r="P88" s="2">
        <v>51</v>
      </c>
      <c r="Q88" s="2">
        <v>13</v>
      </c>
    </row>
    <row r="89" spans="1:22" x14ac:dyDescent="0.25">
      <c r="A89" s="116"/>
      <c r="B89" s="108"/>
      <c r="C89" s="3" t="s">
        <v>420</v>
      </c>
      <c r="D89" s="3"/>
      <c r="E89" s="57" t="s">
        <v>427</v>
      </c>
      <c r="F89" s="57" t="s">
        <v>426</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682</v>
      </c>
      <c r="P90" s="23">
        <v>50</v>
      </c>
      <c r="Q90" s="2"/>
      <c r="R90" s="23"/>
    </row>
    <row r="91" spans="1:22" ht="13.2" customHeight="1" x14ac:dyDescent="0.25">
      <c r="A91" s="117" t="s">
        <v>56</v>
      </c>
      <c r="B91" s="108" t="s">
        <v>53</v>
      </c>
      <c r="C91" s="26" t="s">
        <v>694</v>
      </c>
      <c r="D91" s="3"/>
      <c r="E91" s="54" t="s">
        <v>691</v>
      </c>
      <c r="F91" s="48" t="s">
        <v>116</v>
      </c>
      <c r="G91" s="3"/>
      <c r="H91" s="3"/>
      <c r="I91" s="3"/>
      <c r="J91" s="3"/>
      <c r="K91" s="3"/>
      <c r="L91" s="3"/>
      <c r="M91" s="10"/>
      <c r="N91" s="19"/>
      <c r="P91" s="2">
        <v>74</v>
      </c>
      <c r="Q91" s="2">
        <v>200</v>
      </c>
    </row>
    <row r="92" spans="1:22" x14ac:dyDescent="0.25">
      <c r="A92" s="118"/>
      <c r="B92" s="108"/>
      <c r="C92" s="3" t="s">
        <v>695</v>
      </c>
      <c r="D92" s="3"/>
      <c r="E92" s="48" t="s">
        <v>378</v>
      </c>
      <c r="F92" s="48" t="s">
        <v>377</v>
      </c>
      <c r="G92" s="3"/>
      <c r="H92" s="3"/>
      <c r="I92" s="3"/>
      <c r="J92" s="3"/>
      <c r="K92" s="3"/>
      <c r="L92" s="3"/>
      <c r="M92" s="13"/>
      <c r="N92" s="19"/>
      <c r="P92" s="2">
        <v>349</v>
      </c>
      <c r="Q92" s="2">
        <v>350</v>
      </c>
    </row>
    <row r="93" spans="1:22" x14ac:dyDescent="0.25">
      <c r="A93" s="118"/>
      <c r="B93" s="108"/>
      <c r="C93" s="26" t="s">
        <v>692</v>
      </c>
      <c r="D93" s="3"/>
      <c r="E93" s="48" t="s">
        <v>375</v>
      </c>
      <c r="F93" s="3"/>
      <c r="G93" s="3"/>
      <c r="H93" s="3"/>
      <c r="I93" s="3"/>
      <c r="J93" s="3"/>
      <c r="K93" s="3"/>
      <c r="L93" s="3"/>
      <c r="M93" s="13"/>
      <c r="N93" s="19" t="s">
        <v>693</v>
      </c>
      <c r="P93" s="2">
        <v>199</v>
      </c>
      <c r="Q93" s="2"/>
    </row>
    <row r="94" spans="1:22" x14ac:dyDescent="0.25">
      <c r="A94" s="118"/>
      <c r="B94" s="108"/>
      <c r="C94" s="29" t="s">
        <v>886</v>
      </c>
      <c r="D94" s="3"/>
      <c r="E94" s="57" t="s">
        <v>885</v>
      </c>
      <c r="F94" s="3"/>
      <c r="G94" s="3"/>
      <c r="H94" s="3"/>
      <c r="I94" s="3"/>
      <c r="J94" s="3"/>
      <c r="K94" s="3"/>
      <c r="L94" s="3"/>
      <c r="M94" s="4"/>
      <c r="N94" s="19" t="s">
        <v>890</v>
      </c>
      <c r="P94" s="2">
        <v>201</v>
      </c>
    </row>
    <row r="95" spans="1:22" x14ac:dyDescent="0.25">
      <c r="A95" s="118"/>
      <c r="B95" s="108"/>
      <c r="C95" s="29" t="s">
        <v>887</v>
      </c>
      <c r="D95" s="3"/>
      <c r="E95" s="57" t="s">
        <v>715</v>
      </c>
      <c r="F95" s="3"/>
      <c r="G95" s="3"/>
      <c r="H95" s="3"/>
      <c r="I95" s="3"/>
      <c r="J95" s="3"/>
      <c r="K95" s="3"/>
      <c r="L95" s="3"/>
      <c r="M95" s="4"/>
      <c r="N95" s="19" t="s">
        <v>891</v>
      </c>
      <c r="P95" s="2">
        <v>202</v>
      </c>
    </row>
    <row r="96" spans="1:22" x14ac:dyDescent="0.25">
      <c r="A96" s="118"/>
      <c r="B96" s="108"/>
      <c r="C96" s="26" t="s">
        <v>792</v>
      </c>
      <c r="D96" s="3"/>
      <c r="E96" s="56" t="s">
        <v>84</v>
      </c>
      <c r="F96" s="56" t="s">
        <v>85</v>
      </c>
      <c r="G96" s="3"/>
      <c r="H96" s="3"/>
      <c r="I96" s="3"/>
      <c r="J96" s="3"/>
      <c r="K96" s="3"/>
      <c r="L96" s="3"/>
      <c r="M96" s="43"/>
      <c r="N96" s="19" t="s">
        <v>696</v>
      </c>
      <c r="P96" s="2">
        <v>152</v>
      </c>
      <c r="Q96" s="2">
        <v>153</v>
      </c>
    </row>
    <row r="97" spans="1:23" x14ac:dyDescent="0.25">
      <c r="A97" s="118"/>
      <c r="B97" s="108"/>
      <c r="C97" s="26" t="s">
        <v>793</v>
      </c>
      <c r="D97" s="3"/>
      <c r="E97" s="56" t="s">
        <v>84</v>
      </c>
      <c r="F97" s="56" t="s">
        <v>85</v>
      </c>
      <c r="G97" s="3"/>
      <c r="H97" s="3"/>
      <c r="I97" s="3"/>
      <c r="J97" s="3"/>
      <c r="K97" s="3"/>
      <c r="L97" s="3"/>
      <c r="M97" s="10"/>
      <c r="N97" s="19" t="s">
        <v>697</v>
      </c>
      <c r="P97" s="2">
        <v>158</v>
      </c>
      <c r="Q97" s="2">
        <v>159</v>
      </c>
    </row>
    <row r="98" spans="1:23" x14ac:dyDescent="0.25">
      <c r="A98" s="118"/>
      <c r="B98" s="108"/>
      <c r="C98" s="26" t="s">
        <v>794</v>
      </c>
      <c r="D98" s="3"/>
      <c r="E98" s="56" t="s">
        <v>84</v>
      </c>
      <c r="F98" s="56" t="s">
        <v>85</v>
      </c>
      <c r="G98" s="3"/>
      <c r="H98" s="3"/>
      <c r="I98" s="3"/>
      <c r="J98" s="3"/>
      <c r="K98" s="3"/>
      <c r="L98" s="3"/>
      <c r="M98" s="13"/>
      <c r="N98" s="19" t="s">
        <v>698</v>
      </c>
      <c r="P98" s="2">
        <v>164</v>
      </c>
      <c r="Q98" s="2">
        <v>165</v>
      </c>
    </row>
    <row r="99" spans="1:23" x14ac:dyDescent="0.25">
      <c r="A99" s="118"/>
      <c r="B99" s="108"/>
      <c r="C99" s="26" t="s">
        <v>795</v>
      </c>
      <c r="D99" s="3"/>
      <c r="E99" s="56" t="s">
        <v>84</v>
      </c>
      <c r="F99" s="56" t="s">
        <v>85</v>
      </c>
      <c r="G99" s="3"/>
      <c r="H99" s="3"/>
      <c r="I99" s="3"/>
      <c r="J99" s="3"/>
      <c r="K99" s="3"/>
      <c r="L99" s="3"/>
      <c r="M99" s="4"/>
      <c r="N99" s="19" t="s">
        <v>90</v>
      </c>
      <c r="P99" s="2">
        <v>170</v>
      </c>
      <c r="Q99" s="2">
        <v>171</v>
      </c>
    </row>
    <row r="100" spans="1:23" x14ac:dyDescent="0.25">
      <c r="A100" s="118"/>
      <c r="B100" s="108"/>
      <c r="C100" s="26" t="s">
        <v>796</v>
      </c>
      <c r="D100" s="3"/>
      <c r="E100" s="54" t="s">
        <v>86</v>
      </c>
      <c r="F100" s="56" t="s">
        <v>87</v>
      </c>
      <c r="G100" s="56" t="s">
        <v>88</v>
      </c>
      <c r="H100" s="56" t="s">
        <v>89</v>
      </c>
      <c r="I100" s="30" t="s">
        <v>864</v>
      </c>
      <c r="J100" s="3"/>
      <c r="K100" s="3"/>
      <c r="L100" s="3"/>
      <c r="M100" s="13"/>
      <c r="N100" s="19"/>
      <c r="P100" s="23">
        <v>154</v>
      </c>
      <c r="Q100" s="23">
        <v>155</v>
      </c>
      <c r="R100" s="23">
        <v>156</v>
      </c>
      <c r="S100" s="23">
        <v>157</v>
      </c>
      <c r="T100" s="23">
        <v>432</v>
      </c>
      <c r="U100" s="23"/>
    </row>
    <row r="101" spans="1:23" x14ac:dyDescent="0.25">
      <c r="A101" s="118"/>
      <c r="B101" s="108"/>
      <c r="C101" s="26" t="s">
        <v>797</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798</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799</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824</v>
      </c>
      <c r="D105" s="3"/>
      <c r="E105" s="57" t="s">
        <v>4</v>
      </c>
      <c r="G105" s="3"/>
      <c r="H105" s="3"/>
      <c r="I105" s="3"/>
      <c r="J105" s="3"/>
      <c r="K105" s="3"/>
      <c r="L105" s="3"/>
      <c r="M105" s="43"/>
      <c r="N105" s="42" t="s">
        <v>437</v>
      </c>
      <c r="P105" s="22">
        <v>325</v>
      </c>
      <c r="R105" s="22"/>
      <c r="S105" s="22"/>
      <c r="T105" s="22"/>
      <c r="U105" s="22"/>
    </row>
    <row r="106" spans="1:23" x14ac:dyDescent="0.25">
      <c r="A106" s="118"/>
      <c r="B106" s="108"/>
      <c r="C106" s="3" t="s">
        <v>825</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18"/>
      <c r="B107" s="108"/>
      <c r="C107" s="3" t="s">
        <v>860</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815</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814</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812</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812</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x14ac:dyDescent="0.25">
      <c r="A112" s="118"/>
      <c r="B112" s="108"/>
      <c r="C112" s="26" t="s">
        <v>813</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813</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x14ac:dyDescent="0.25">
      <c r="A114" s="118"/>
      <c r="B114" s="108"/>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x14ac:dyDescent="0.25">
      <c r="A115" s="118"/>
      <c r="B115" s="108"/>
      <c r="C115" s="26" t="s">
        <v>819</v>
      </c>
      <c r="D115" s="3"/>
      <c r="E115" s="4" t="s">
        <v>816</v>
      </c>
      <c r="F115" s="4" t="s">
        <v>817</v>
      </c>
      <c r="G115" s="55" t="s">
        <v>818</v>
      </c>
      <c r="H115" s="55" t="s">
        <v>138</v>
      </c>
      <c r="I115" s="3"/>
      <c r="J115" s="3"/>
      <c r="K115" s="3"/>
      <c r="L115" s="3"/>
      <c r="M115" s="4"/>
      <c r="N115" s="19"/>
      <c r="P115" s="2">
        <v>208</v>
      </c>
      <c r="Q115" s="2">
        <v>212</v>
      </c>
      <c r="R115" s="2">
        <v>210</v>
      </c>
      <c r="S115" s="2">
        <v>214</v>
      </c>
      <c r="T115" s="2"/>
      <c r="U115" s="2"/>
    </row>
    <row r="116" spans="1:23" x14ac:dyDescent="0.25">
      <c r="A116" s="118"/>
      <c r="B116" s="108"/>
      <c r="C116" s="26" t="s">
        <v>820</v>
      </c>
      <c r="D116" s="3"/>
      <c r="E116" s="4" t="s">
        <v>816</v>
      </c>
      <c r="F116" s="4" t="s">
        <v>817</v>
      </c>
      <c r="G116" s="55" t="s">
        <v>818</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490</v>
      </c>
      <c r="D120" s="3"/>
      <c r="E120" s="56" t="s">
        <v>412</v>
      </c>
      <c r="F120" s="56" t="s">
        <v>57</v>
      </c>
      <c r="G120" s="54" t="s">
        <v>710</v>
      </c>
      <c r="H120" s="86" t="s">
        <v>711</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491</v>
      </c>
      <c r="D121" s="3"/>
      <c r="E121" s="18" t="s">
        <v>99</v>
      </c>
      <c r="F121" s="56" t="s">
        <v>138</v>
      </c>
      <c r="G121" s="18" t="s">
        <v>217</v>
      </c>
      <c r="I121" s="3"/>
      <c r="J121" s="3"/>
      <c r="K121" s="3"/>
      <c r="L121" s="3"/>
      <c r="M121" s="43"/>
      <c r="N121" s="19"/>
      <c r="P121" s="2">
        <v>169</v>
      </c>
      <c r="Q121" s="2">
        <v>187</v>
      </c>
      <c r="R121" s="2">
        <v>276</v>
      </c>
    </row>
    <row r="122" spans="1:23" x14ac:dyDescent="0.25">
      <c r="A122" s="118"/>
      <c r="B122" s="108"/>
      <c r="C122" s="3" t="s">
        <v>560</v>
      </c>
      <c r="D122" s="3"/>
      <c r="E122" s="45">
        <v>3</v>
      </c>
      <c r="F122" s="48" t="s">
        <v>821</v>
      </c>
      <c r="G122" s="3"/>
      <c r="H122" s="3"/>
      <c r="I122" s="3"/>
      <c r="J122" s="3"/>
      <c r="K122" s="3"/>
      <c r="L122" s="3"/>
      <c r="M122" s="10"/>
      <c r="N122" s="19" t="s">
        <v>822</v>
      </c>
      <c r="P122" s="2">
        <v>89</v>
      </c>
      <c r="Q122" s="2">
        <v>96</v>
      </c>
    </row>
    <row r="123" spans="1:23" x14ac:dyDescent="0.25">
      <c r="A123" s="118"/>
      <c r="B123" s="108"/>
      <c r="C123" s="3" t="s">
        <v>561</v>
      </c>
      <c r="D123" s="3"/>
      <c r="E123" s="45">
        <v>3</v>
      </c>
      <c r="F123" s="48" t="s">
        <v>821</v>
      </c>
      <c r="G123" s="3"/>
      <c r="H123" s="3"/>
      <c r="I123" s="3"/>
      <c r="J123" s="3"/>
      <c r="K123" s="3"/>
      <c r="L123" s="3"/>
      <c r="M123" s="10"/>
      <c r="N123" s="19" t="s">
        <v>823</v>
      </c>
      <c r="P123" s="2">
        <v>389</v>
      </c>
      <c r="Q123" s="2">
        <v>390</v>
      </c>
      <c r="R123" s="2"/>
      <c r="S123" s="2"/>
    </row>
    <row r="124" spans="1:23" x14ac:dyDescent="0.25">
      <c r="A124" s="118"/>
      <c r="B124" s="108"/>
      <c r="C124" s="26" t="s">
        <v>383</v>
      </c>
      <c r="D124" s="3"/>
      <c r="E124" s="18" t="s">
        <v>397</v>
      </c>
      <c r="F124" s="18" t="s">
        <v>398</v>
      </c>
      <c r="G124" s="57" t="s">
        <v>399</v>
      </c>
      <c r="H124" s="54" t="s">
        <v>617</v>
      </c>
      <c r="I124" s="56" t="s">
        <v>400</v>
      </c>
      <c r="J124" s="56" t="s">
        <v>615</v>
      </c>
      <c r="K124" s="56" t="s">
        <v>616</v>
      </c>
      <c r="L124" s="56" t="s">
        <v>213</v>
      </c>
      <c r="M124" s="13"/>
      <c r="N124" s="19" t="s">
        <v>714</v>
      </c>
      <c r="P124" s="2">
        <v>268</v>
      </c>
      <c r="Q124" s="2">
        <v>269</v>
      </c>
      <c r="R124" s="2">
        <v>270</v>
      </c>
      <c r="S124" s="2">
        <v>421</v>
      </c>
      <c r="T124" s="22">
        <v>271</v>
      </c>
      <c r="U124" s="22">
        <v>423</v>
      </c>
      <c r="V124" s="22">
        <v>425</v>
      </c>
      <c r="W124" s="22">
        <v>272</v>
      </c>
    </row>
    <row r="125" spans="1:23" x14ac:dyDescent="0.25">
      <c r="A125" s="118"/>
      <c r="B125" s="108"/>
      <c r="C125" s="26" t="s">
        <v>384</v>
      </c>
      <c r="D125" s="3"/>
      <c r="E125" s="18" t="s">
        <v>397</v>
      </c>
      <c r="F125" s="54" t="s">
        <v>398</v>
      </c>
      <c r="G125" s="54" t="s">
        <v>399</v>
      </c>
      <c r="H125" s="56" t="s">
        <v>617</v>
      </c>
      <c r="I125" s="56" t="s">
        <v>400</v>
      </c>
      <c r="J125" s="56" t="s">
        <v>615</v>
      </c>
      <c r="K125" s="56" t="s">
        <v>616</v>
      </c>
      <c r="L125" s="56" t="s">
        <v>213</v>
      </c>
      <c r="M125" s="13"/>
      <c r="N125" s="19" t="s">
        <v>714</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401</v>
      </c>
      <c r="F128" s="59" t="s">
        <v>845</v>
      </c>
      <c r="G128" s="59" t="s">
        <v>715</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454</v>
      </c>
      <c r="D129" s="3"/>
      <c r="E129" s="4" t="s">
        <v>455</v>
      </c>
      <c r="F129" s="54" t="s">
        <v>614</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723</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499</v>
      </c>
      <c r="D133" s="3"/>
      <c r="E133" s="57" t="s">
        <v>557</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724</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846</v>
      </c>
      <c r="K137" s="54" t="s">
        <v>847</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874</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791</v>
      </c>
      <c r="D145" s="3"/>
      <c r="E145" s="54" t="s">
        <v>787</v>
      </c>
      <c r="F145" s="4" t="s">
        <v>788</v>
      </c>
      <c r="G145" s="54" t="s">
        <v>789</v>
      </c>
      <c r="H145" s="4" t="s">
        <v>790</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746</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405</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618</v>
      </c>
      <c r="J150" s="54" t="s">
        <v>344</v>
      </c>
      <c r="K150" s="54" t="s">
        <v>348</v>
      </c>
      <c r="L150" s="54" t="s">
        <v>169</v>
      </c>
      <c r="M150" s="10"/>
      <c r="N150" s="19" t="s">
        <v>745</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770</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827</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826</v>
      </c>
      <c r="F184" s="48" t="s">
        <v>828</v>
      </c>
      <c r="G184" s="49" t="s">
        <v>273</v>
      </c>
      <c r="H184" s="49" t="s">
        <v>275</v>
      </c>
      <c r="I184" s="3"/>
      <c r="J184" s="3"/>
      <c r="K184" s="3"/>
      <c r="L184" s="3"/>
      <c r="M184" s="43"/>
      <c r="N184" s="19"/>
      <c r="P184" s="2">
        <v>202</v>
      </c>
      <c r="Q184" s="2">
        <v>203</v>
      </c>
      <c r="R184" s="2">
        <v>313</v>
      </c>
      <c r="S184" s="2">
        <v>314</v>
      </c>
    </row>
    <row r="185" spans="2:19" ht="15.9" customHeight="1" x14ac:dyDescent="0.25">
      <c r="C185" s="28" t="s">
        <v>811</v>
      </c>
      <c r="D185" s="28"/>
      <c r="E185" s="48">
        <v>3</v>
      </c>
      <c r="F185" s="50" t="s">
        <v>49</v>
      </c>
      <c r="G185" s="3"/>
      <c r="H185" s="3"/>
      <c r="I185" s="3"/>
      <c r="J185" s="3"/>
      <c r="K185" s="3"/>
      <c r="L185" s="3"/>
      <c r="M185" s="10"/>
      <c r="N185" s="19" t="s">
        <v>773</v>
      </c>
      <c r="P185" s="2">
        <v>70</v>
      </c>
      <c r="Q185" s="2">
        <v>71</v>
      </c>
    </row>
    <row r="186" spans="2:19" ht="15.9" customHeight="1" x14ac:dyDescent="0.25">
      <c r="C186" s="26" t="s">
        <v>9</v>
      </c>
      <c r="D186" s="26"/>
      <c r="E186" s="56" t="s">
        <v>613</v>
      </c>
      <c r="F186" s="20"/>
      <c r="G186" s="3"/>
      <c r="H186" s="3"/>
      <c r="I186" s="3"/>
      <c r="J186" s="3"/>
      <c r="K186" s="3"/>
      <c r="L186" s="3"/>
      <c r="M186" s="13"/>
      <c r="N186" s="19" t="s">
        <v>654</v>
      </c>
      <c r="P186" s="2">
        <v>27</v>
      </c>
      <c r="Q186" s="17"/>
    </row>
    <row r="187" spans="2:19" ht="15.9" customHeight="1" x14ac:dyDescent="0.25">
      <c r="C187" s="3" t="s">
        <v>774</v>
      </c>
      <c r="D187" s="3"/>
      <c r="E187" s="18" t="s">
        <v>10</v>
      </c>
      <c r="F187" s="60" t="s">
        <v>656</v>
      </c>
      <c r="G187" s="3"/>
      <c r="H187" s="3"/>
      <c r="I187" s="3"/>
      <c r="J187" s="3"/>
      <c r="K187" s="3"/>
      <c r="L187" s="3"/>
      <c r="M187" s="4"/>
      <c r="N187" s="19" t="s">
        <v>655</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854</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 customHeight="1" x14ac:dyDescent="0.25">
      <c r="A4" s="38">
        <v>3</v>
      </c>
      <c r="B4" s="38" t="s">
        <v>56</v>
      </c>
      <c r="C4" s="38" t="s">
        <v>187</v>
      </c>
      <c r="D4" s="38" t="s">
        <v>233</v>
      </c>
      <c r="E4" s="38" t="s">
        <v>846</v>
      </c>
      <c r="J4" s="34">
        <f>VLOOKUP($A4, Stat!$A$1:$C$1000, 2,0)</f>
        <v>0</v>
      </c>
      <c r="K4" s="34">
        <f>VLOOKUP($A4, Stat!$A$1:$C$1000, 3,0)</f>
        <v>0</v>
      </c>
      <c r="L4" s="84"/>
      <c r="S4" s="38">
        <v>0</v>
      </c>
      <c r="T4" s="38">
        <v>0</v>
      </c>
      <c r="W4" s="38" t="s">
        <v>861</v>
      </c>
      <c r="X4" s="38">
        <v>1</v>
      </c>
    </row>
    <row r="5" spans="1:24" ht="13.2"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421</v>
      </c>
      <c r="D12" s="38" t="s">
        <v>65</v>
      </c>
      <c r="E12" s="41" t="s">
        <v>892</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 customHeight="1" x14ac:dyDescent="0.25">
      <c r="A17" s="38">
        <v>18</v>
      </c>
      <c r="B17" s="38" t="s">
        <v>35</v>
      </c>
      <c r="C17" s="38" t="s">
        <v>419</v>
      </c>
      <c r="D17" s="38" t="s">
        <v>781</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 customHeight="1" x14ac:dyDescent="0.25">
      <c r="A18" s="38">
        <v>19</v>
      </c>
      <c r="B18" s="38" t="s">
        <v>35</v>
      </c>
      <c r="C18" s="38" t="s">
        <v>419</v>
      </c>
      <c r="D18" s="38" t="s">
        <v>781</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798</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725</v>
      </c>
      <c r="X26" s="38">
        <v>1</v>
      </c>
    </row>
    <row r="27" spans="1:24" ht="13.2"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865</v>
      </c>
      <c r="X28" s="38">
        <v>1</v>
      </c>
    </row>
    <row r="29" spans="1:24" ht="13.2"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724</v>
      </c>
      <c r="X31" s="38">
        <v>1</v>
      </c>
    </row>
    <row r="32" spans="1:24" ht="13.2"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769</v>
      </c>
      <c r="X33" s="38">
        <v>1</v>
      </c>
    </row>
    <row r="34" spans="1:24" ht="13.2"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724</v>
      </c>
      <c r="X41" s="38">
        <v>1</v>
      </c>
    </row>
    <row r="42" spans="1:24" ht="13.2"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 customHeight="1" x14ac:dyDescent="0.25">
      <c r="A65" s="38">
        <v>70</v>
      </c>
      <c r="B65" s="38" t="s">
        <v>35</v>
      </c>
      <c r="C65" s="38" t="s">
        <v>12</v>
      </c>
      <c r="D65" s="38" t="s">
        <v>115</v>
      </c>
      <c r="E65" s="38" t="s">
        <v>897</v>
      </c>
      <c r="F65" s="34">
        <v>9</v>
      </c>
      <c r="I65" s="87" t="s">
        <v>518</v>
      </c>
      <c r="S65" s="38">
        <v>60</v>
      </c>
      <c r="T65" s="38">
        <v>0</v>
      </c>
      <c r="V65" s="38" t="s">
        <v>663</v>
      </c>
      <c r="W65" s="38" t="s">
        <v>899</v>
      </c>
    </row>
    <row r="66" spans="1:24" ht="13.2" customHeight="1" x14ac:dyDescent="0.25">
      <c r="A66" s="38">
        <v>71</v>
      </c>
      <c r="B66" s="38" t="s">
        <v>35</v>
      </c>
      <c r="C66" s="38" t="s">
        <v>12</v>
      </c>
      <c r="D66" s="38" t="s">
        <v>115</v>
      </c>
      <c r="E66" s="38" t="s">
        <v>898</v>
      </c>
      <c r="F66" s="34">
        <v>9</v>
      </c>
      <c r="I66" s="87" t="s">
        <v>518</v>
      </c>
      <c r="S66" s="38">
        <v>60</v>
      </c>
      <c r="T66" s="38">
        <v>0</v>
      </c>
      <c r="V66" s="38" t="s">
        <v>663</v>
      </c>
      <c r="W66" s="38" t="s">
        <v>899</v>
      </c>
    </row>
    <row r="67" spans="1:24" ht="13.2"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845</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815</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815</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860</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 customHeight="1" x14ac:dyDescent="0.25">
      <c r="A80" s="38">
        <v>88</v>
      </c>
      <c r="B80" s="38" t="s">
        <v>56</v>
      </c>
      <c r="C80" s="38" t="s">
        <v>159</v>
      </c>
      <c r="D80" s="38" t="s">
        <v>791</v>
      </c>
      <c r="E80" s="41" t="s">
        <v>138</v>
      </c>
      <c r="F80" s="95" t="s">
        <v>226</v>
      </c>
      <c r="G80" s="35"/>
      <c r="H80" s="35"/>
      <c r="I80" s="35"/>
      <c r="J80" s="81">
        <f>VLOOKUP($A80, Stat!$A$1:$C$1000, 2,0)</f>
        <v>47</v>
      </c>
      <c r="K80" s="81">
        <f>VLOOKUP($A80, Stat!$A$1:$C$1000, 3,0)</f>
        <v>12</v>
      </c>
      <c r="L80" s="34">
        <v>1</v>
      </c>
      <c r="P80" s="36"/>
      <c r="Q80" s="36"/>
      <c r="R80" s="36"/>
      <c r="S80" s="38">
        <v>60</v>
      </c>
      <c r="T80" s="38">
        <v>0</v>
      </c>
      <c r="W80" s="38" t="s">
        <v>747</v>
      </c>
      <c r="X80" s="38">
        <v>1</v>
      </c>
    </row>
    <row r="81" spans="1:24" ht="13.2"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822</v>
      </c>
      <c r="X81" s="38">
        <v>1</v>
      </c>
    </row>
    <row r="82" spans="1:24" ht="13.2"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716</v>
      </c>
      <c r="X83" s="38">
        <v>1</v>
      </c>
    </row>
    <row r="84" spans="1:24" ht="13.2"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 customHeight="1" x14ac:dyDescent="0.25">
      <c r="A85" s="38">
        <v>93</v>
      </c>
      <c r="B85" s="38" t="s">
        <v>56</v>
      </c>
      <c r="C85" s="38" t="s">
        <v>56</v>
      </c>
      <c r="D85" s="38" t="s">
        <v>723</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723</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723</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560</v>
      </c>
      <c r="E88" s="41" t="s">
        <v>821</v>
      </c>
      <c r="F88" s="95" t="s">
        <v>463</v>
      </c>
      <c r="G88" s="35" t="s">
        <v>198</v>
      </c>
      <c r="H88" s="36"/>
      <c r="I88" s="35" t="s">
        <v>560</v>
      </c>
      <c r="J88" s="81">
        <f>VLOOKUP($A88, Stat!$A$1:$C$1000, 2,0)</f>
        <v>4</v>
      </c>
      <c r="K88" s="81">
        <f>VLOOKUP($A88, Stat!$A$1:$C$1000, 3,0)</f>
        <v>0</v>
      </c>
      <c r="L88" s="84"/>
      <c r="P88" s="36"/>
      <c r="Q88" s="36"/>
      <c r="R88" s="36"/>
      <c r="S88" s="38">
        <v>60</v>
      </c>
      <c r="T88" s="38">
        <v>0</v>
      </c>
      <c r="V88" s="38" t="s">
        <v>822</v>
      </c>
      <c r="X88" s="38">
        <v>1</v>
      </c>
    </row>
    <row r="89" spans="1:24" ht="13.2" customHeight="1" x14ac:dyDescent="0.25">
      <c r="A89" s="38">
        <v>97</v>
      </c>
      <c r="B89" s="38" t="s">
        <v>56</v>
      </c>
      <c r="C89" s="38" t="s">
        <v>187</v>
      </c>
      <c r="D89" s="38" t="s">
        <v>233</v>
      </c>
      <c r="E89" s="38" t="s">
        <v>847</v>
      </c>
      <c r="J89" s="81">
        <f>VLOOKUP($A89, Stat!$A$1:$C$1000, 2,0)</f>
        <v>3</v>
      </c>
      <c r="K89" s="81">
        <f>VLOOKUP($A89, Stat!$A$1:$C$1000, 3,0)</f>
        <v>0</v>
      </c>
      <c r="L89" s="83"/>
      <c r="S89" s="38">
        <v>60</v>
      </c>
      <c r="T89" s="38">
        <v>0</v>
      </c>
      <c r="W89" s="38" t="s">
        <v>848</v>
      </c>
      <c r="X89" s="38">
        <v>1</v>
      </c>
    </row>
    <row r="90" spans="1:24" ht="13.2"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 customHeight="1" x14ac:dyDescent="0.25">
      <c r="A91" s="38">
        <v>100</v>
      </c>
      <c r="B91" s="38" t="s">
        <v>35</v>
      </c>
      <c r="C91" s="38" t="s">
        <v>73</v>
      </c>
      <c r="D91" s="38" t="s">
        <v>810</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810</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810</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810</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 customHeight="1" x14ac:dyDescent="0.25">
      <c r="A103" s="38">
        <v>112</v>
      </c>
      <c r="B103" s="38" t="s">
        <v>35</v>
      </c>
      <c r="C103" s="38" t="s">
        <v>72</v>
      </c>
      <c r="D103" s="38" t="s">
        <v>809</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809</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809</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809</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 customHeight="1" x14ac:dyDescent="0.25">
      <c r="A141" s="38">
        <v>152</v>
      </c>
      <c r="B141" s="38" t="s">
        <v>56</v>
      </c>
      <c r="C141" s="38" t="s">
        <v>53</v>
      </c>
      <c r="D141" s="38" t="s">
        <v>792</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 customHeight="1" x14ac:dyDescent="0.25">
      <c r="A142" s="38">
        <v>153</v>
      </c>
      <c r="B142" s="38" t="s">
        <v>56</v>
      </c>
      <c r="C142" s="38" t="s">
        <v>53</v>
      </c>
      <c r="D142" s="38" t="s">
        <v>792</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 customHeight="1" x14ac:dyDescent="0.25">
      <c r="A143" s="38">
        <v>154</v>
      </c>
      <c r="B143" s="38" t="s">
        <v>56</v>
      </c>
      <c r="C143" s="38" t="s">
        <v>53</v>
      </c>
      <c r="D143" s="38" t="s">
        <v>796</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796</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796</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796</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793</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 customHeight="1" x14ac:dyDescent="0.25">
      <c r="A148" s="38">
        <v>159</v>
      </c>
      <c r="B148" s="38" t="s">
        <v>56</v>
      </c>
      <c r="C148" s="38" t="s">
        <v>53</v>
      </c>
      <c r="D148" s="38" t="s">
        <v>793</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 customHeight="1" x14ac:dyDescent="0.25">
      <c r="A149" s="38">
        <v>160</v>
      </c>
      <c r="B149" s="38" t="s">
        <v>56</v>
      </c>
      <c r="C149" s="38" t="s">
        <v>53</v>
      </c>
      <c r="D149" s="38" t="s">
        <v>797</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797</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797</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797</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794</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 customHeight="1" x14ac:dyDescent="0.25">
      <c r="A154" s="38">
        <v>165</v>
      </c>
      <c r="B154" s="38" t="s">
        <v>56</v>
      </c>
      <c r="C154" s="38" t="s">
        <v>53</v>
      </c>
      <c r="D154" s="38" t="s">
        <v>794</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 customHeight="1" x14ac:dyDescent="0.25">
      <c r="A155" s="38">
        <v>166</v>
      </c>
      <c r="B155" s="38" t="s">
        <v>56</v>
      </c>
      <c r="C155" s="38" t="s">
        <v>53</v>
      </c>
      <c r="D155" s="38" t="s">
        <v>798</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798</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798</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795</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795</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799</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 customHeight="1" x14ac:dyDescent="0.25">
      <c r="A162" s="38">
        <v>173</v>
      </c>
      <c r="B162" s="38" t="s">
        <v>56</v>
      </c>
      <c r="C162" s="38" t="s">
        <v>53</v>
      </c>
      <c r="D162" s="38" t="s">
        <v>799</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 customHeight="1" x14ac:dyDescent="0.25">
      <c r="A163" s="38">
        <v>174</v>
      </c>
      <c r="B163" s="38" t="s">
        <v>56</v>
      </c>
      <c r="C163" s="38" t="s">
        <v>53</v>
      </c>
      <c r="D163" s="38" t="s">
        <v>799</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717</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 customHeight="1" x14ac:dyDescent="0.25">
      <c r="A185" s="38">
        <v>197</v>
      </c>
      <c r="B185" s="38" t="s">
        <v>56</v>
      </c>
      <c r="C185" s="38" t="s">
        <v>159</v>
      </c>
      <c r="D185" s="38" t="s">
        <v>874</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 customHeight="1" x14ac:dyDescent="0.25">
      <c r="A188" s="38">
        <v>201</v>
      </c>
      <c r="B188" s="38" t="s">
        <v>56</v>
      </c>
      <c r="C188" s="38" t="s">
        <v>53</v>
      </c>
      <c r="D188" s="38" t="s">
        <v>886</v>
      </c>
      <c r="E188" s="41" t="s">
        <v>885</v>
      </c>
      <c r="F188" s="95" t="s">
        <v>227</v>
      </c>
      <c r="G188" s="35"/>
      <c r="H188" s="35"/>
      <c r="I188" s="35" t="s">
        <v>888</v>
      </c>
      <c r="J188" s="81">
        <f>VLOOKUP($A188, Stat!$A$1:$C$1000, 2,0)</f>
        <v>9</v>
      </c>
      <c r="K188" s="81">
        <f>VLOOKUP($A188, Stat!$A$1:$C$1000, 3,0)</f>
        <v>2</v>
      </c>
      <c r="L188" s="84"/>
      <c r="P188" s="36"/>
      <c r="Q188" s="36"/>
      <c r="R188" s="36"/>
      <c r="S188" s="38">
        <v>0</v>
      </c>
      <c r="T188" s="38">
        <v>0</v>
      </c>
      <c r="V188" s="38" t="s">
        <v>890</v>
      </c>
      <c r="X188" s="38">
        <v>1</v>
      </c>
    </row>
    <row r="189" spans="1:24" ht="13.2" customHeight="1" x14ac:dyDescent="0.25">
      <c r="A189" s="38">
        <v>202</v>
      </c>
      <c r="B189" s="38" t="s">
        <v>56</v>
      </c>
      <c r="C189" s="38" t="s">
        <v>53</v>
      </c>
      <c r="D189" s="38" t="s">
        <v>887</v>
      </c>
      <c r="E189" s="38" t="s">
        <v>715</v>
      </c>
      <c r="F189" s="34">
        <v>8</v>
      </c>
      <c r="I189" s="87" t="s">
        <v>889</v>
      </c>
      <c r="S189" s="38">
        <v>0</v>
      </c>
      <c r="T189" s="38">
        <v>0</v>
      </c>
      <c r="V189" s="38" t="s">
        <v>891</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 customHeight="1" x14ac:dyDescent="0.25">
      <c r="A194" s="38">
        <v>208</v>
      </c>
      <c r="B194" s="38" t="s">
        <v>56</v>
      </c>
      <c r="C194" s="38" t="s">
        <v>56</v>
      </c>
      <c r="D194" s="38" t="s">
        <v>819</v>
      </c>
      <c r="E194" s="41" t="s">
        <v>816</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893</v>
      </c>
      <c r="X194" s="38">
        <v>1</v>
      </c>
    </row>
    <row r="195" spans="1:24" ht="13.2" customHeight="1" x14ac:dyDescent="0.25">
      <c r="A195" s="38">
        <v>209</v>
      </c>
      <c r="B195" s="38" t="s">
        <v>56</v>
      </c>
      <c r="C195" s="38" t="s">
        <v>56</v>
      </c>
      <c r="D195" s="38" t="s">
        <v>820</v>
      </c>
      <c r="E195" s="41" t="s">
        <v>816</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894</v>
      </c>
      <c r="X195" s="38">
        <v>1</v>
      </c>
    </row>
    <row r="196" spans="1:24" ht="13.2" customHeight="1" x14ac:dyDescent="0.25">
      <c r="A196" s="38">
        <v>210</v>
      </c>
      <c r="B196" s="38" t="s">
        <v>56</v>
      </c>
      <c r="C196" s="38" t="s">
        <v>56</v>
      </c>
      <c r="D196" s="38" t="s">
        <v>819</v>
      </c>
      <c r="E196" s="41" t="s">
        <v>818</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870</v>
      </c>
      <c r="X196" s="38">
        <v>1</v>
      </c>
    </row>
    <row r="197" spans="1:24" ht="13.2" customHeight="1" x14ac:dyDescent="0.25">
      <c r="A197" s="38">
        <v>211</v>
      </c>
      <c r="B197" s="38" t="s">
        <v>56</v>
      </c>
      <c r="C197" s="38" t="s">
        <v>56</v>
      </c>
      <c r="D197" s="38" t="s">
        <v>820</v>
      </c>
      <c r="E197" s="41" t="s">
        <v>818</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871</v>
      </c>
      <c r="X197" s="38">
        <v>1</v>
      </c>
    </row>
    <row r="198" spans="1:24" ht="13.2" customHeight="1" x14ac:dyDescent="0.25">
      <c r="A198" s="38">
        <v>212</v>
      </c>
      <c r="B198" s="38" t="s">
        <v>56</v>
      </c>
      <c r="C198" s="38" t="s">
        <v>56</v>
      </c>
      <c r="D198" s="38" t="s">
        <v>819</v>
      </c>
      <c r="E198" s="41" t="s">
        <v>817</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895</v>
      </c>
      <c r="X198" s="38">
        <v>1</v>
      </c>
    </row>
    <row r="199" spans="1:24" ht="13.2" customHeight="1" x14ac:dyDescent="0.25">
      <c r="A199" s="38">
        <v>213</v>
      </c>
      <c r="B199" s="38" t="s">
        <v>56</v>
      </c>
      <c r="C199" s="38" t="s">
        <v>56</v>
      </c>
      <c r="D199" s="38" t="s">
        <v>820</v>
      </c>
      <c r="E199" s="41" t="s">
        <v>817</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896</v>
      </c>
      <c r="X199" s="38">
        <v>1</v>
      </c>
    </row>
    <row r="200" spans="1:24" ht="13.2" customHeight="1" x14ac:dyDescent="0.25">
      <c r="A200" s="38">
        <v>214</v>
      </c>
      <c r="B200" s="38" t="s">
        <v>56</v>
      </c>
      <c r="C200" s="38" t="s">
        <v>56</v>
      </c>
      <c r="D200" s="38" t="s">
        <v>819</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872</v>
      </c>
      <c r="X200" s="38">
        <v>1</v>
      </c>
    </row>
    <row r="201" spans="1:24" ht="13.2" customHeight="1" x14ac:dyDescent="0.25">
      <c r="A201" s="38">
        <v>215</v>
      </c>
      <c r="B201" s="38" t="s">
        <v>56</v>
      </c>
      <c r="C201" s="38" t="s">
        <v>56</v>
      </c>
      <c r="D201" s="38" t="s">
        <v>820</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873</v>
      </c>
      <c r="X201" s="38">
        <v>1</v>
      </c>
    </row>
    <row r="202" spans="1:24" ht="13.2"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900</v>
      </c>
      <c r="X202" s="38">
        <v>1</v>
      </c>
    </row>
    <row r="203" spans="1:24" ht="13.2"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901</v>
      </c>
      <c r="X203" s="38">
        <v>1</v>
      </c>
    </row>
    <row r="204" spans="1:24" ht="13.2"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706</v>
      </c>
      <c r="X204" s="38">
        <v>1</v>
      </c>
    </row>
    <row r="205" spans="1:24" ht="13.2"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707</v>
      </c>
      <c r="X205" s="38">
        <v>1</v>
      </c>
    </row>
    <row r="206" spans="1:24" ht="13.2"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708</v>
      </c>
      <c r="X207" s="38">
        <v>1</v>
      </c>
    </row>
    <row r="208" spans="1:24" ht="13.2" customHeight="1" x14ac:dyDescent="0.25">
      <c r="A208" s="38">
        <v>223</v>
      </c>
      <c r="B208" s="38" t="s">
        <v>56</v>
      </c>
      <c r="C208" s="38" t="s">
        <v>56</v>
      </c>
      <c r="D208" s="38" t="s">
        <v>490</v>
      </c>
      <c r="E208" s="41" t="s">
        <v>710</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718</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 customHeight="1" x14ac:dyDescent="0.25">
      <c r="A211" s="38">
        <v>226</v>
      </c>
      <c r="B211" s="38" t="s">
        <v>56</v>
      </c>
      <c r="C211" s="38" t="s">
        <v>159</v>
      </c>
      <c r="D211" s="38" t="s">
        <v>791</v>
      </c>
      <c r="E211" s="41" t="s">
        <v>787</v>
      </c>
      <c r="F211" s="36"/>
      <c r="G211" s="36"/>
      <c r="H211" s="36"/>
      <c r="I211" s="36"/>
      <c r="J211" s="81">
        <f>VLOOKUP($A211, Stat!$A$1:$C$1000, 2,0)</f>
        <v>12</v>
      </c>
      <c r="K211" s="81">
        <f>VLOOKUP($A211, Stat!$A$1:$C$1000, 3,0)</f>
        <v>7</v>
      </c>
      <c r="L211" s="34">
        <v>1</v>
      </c>
      <c r="P211" s="36"/>
      <c r="Q211" s="36"/>
      <c r="R211" s="36"/>
      <c r="S211" s="38">
        <v>60</v>
      </c>
      <c r="T211" s="38">
        <v>0</v>
      </c>
      <c r="W211" s="38" t="s">
        <v>748</v>
      </c>
      <c r="X211" s="38">
        <v>1</v>
      </c>
    </row>
    <row r="212" spans="1:24" ht="13.2" customHeight="1" x14ac:dyDescent="0.25">
      <c r="A212" s="38">
        <v>227</v>
      </c>
      <c r="B212" s="38" t="s">
        <v>56</v>
      </c>
      <c r="C212" s="38" t="s">
        <v>159</v>
      </c>
      <c r="D212" s="38" t="s">
        <v>791</v>
      </c>
      <c r="E212" s="41" t="s">
        <v>788</v>
      </c>
      <c r="F212" s="36"/>
      <c r="G212" s="36"/>
      <c r="H212" s="36"/>
      <c r="I212" s="36"/>
      <c r="J212" s="81">
        <f>VLOOKUP($A212, Stat!$A$1:$C$1000, 2,0)</f>
        <v>47</v>
      </c>
      <c r="K212" s="81">
        <f>VLOOKUP($A212, Stat!$A$1:$C$1000, 3,0)</f>
        <v>5</v>
      </c>
      <c r="L212" s="34">
        <v>1</v>
      </c>
      <c r="P212" s="36"/>
      <c r="Q212" s="36"/>
      <c r="R212" s="36"/>
      <c r="S212" s="38">
        <v>0</v>
      </c>
      <c r="T212" s="38">
        <v>1</v>
      </c>
      <c r="W212" s="38" t="s">
        <v>749</v>
      </c>
      <c r="X212" s="38">
        <v>1</v>
      </c>
    </row>
    <row r="213" spans="1:24" ht="13.2" customHeight="1" x14ac:dyDescent="0.25">
      <c r="A213" s="38">
        <v>228</v>
      </c>
      <c r="B213" s="38" t="s">
        <v>56</v>
      </c>
      <c r="C213" s="38" t="s">
        <v>159</v>
      </c>
      <c r="D213" s="38" t="s">
        <v>791</v>
      </c>
      <c r="E213" s="41" t="s">
        <v>789</v>
      </c>
      <c r="F213" s="36"/>
      <c r="G213" s="36"/>
      <c r="H213" s="36"/>
      <c r="I213" s="36"/>
      <c r="J213" s="81">
        <f>VLOOKUP($A213, Stat!$A$1:$C$1000, 2,0)</f>
        <v>25</v>
      </c>
      <c r="K213" s="81">
        <f>VLOOKUP($A213, Stat!$A$1:$C$1000, 3,0)</f>
        <v>8</v>
      </c>
      <c r="L213" s="34">
        <v>1</v>
      </c>
      <c r="P213" s="36"/>
      <c r="Q213" s="36"/>
      <c r="R213" s="36"/>
      <c r="S213" s="38">
        <v>60</v>
      </c>
      <c r="T213" s="38">
        <v>0</v>
      </c>
      <c r="W213" s="38" t="s">
        <v>750</v>
      </c>
      <c r="X213" s="38">
        <v>1</v>
      </c>
    </row>
    <row r="214" spans="1:24" ht="13.2" customHeight="1" x14ac:dyDescent="0.25">
      <c r="A214" s="38">
        <v>229</v>
      </c>
      <c r="B214" s="38" t="s">
        <v>56</v>
      </c>
      <c r="C214" s="38" t="s">
        <v>159</v>
      </c>
      <c r="D214" s="38" t="s">
        <v>791</v>
      </c>
      <c r="E214" s="41" t="s">
        <v>790</v>
      </c>
      <c r="F214" s="36"/>
      <c r="G214" s="36"/>
      <c r="H214" s="36"/>
      <c r="I214" s="36"/>
      <c r="J214" s="81">
        <f>VLOOKUP($A214, Stat!$A$1:$C$1000, 2,0)</f>
        <v>57</v>
      </c>
      <c r="K214" s="81">
        <f>VLOOKUP($A214, Stat!$A$1:$C$1000, 3,0)</f>
        <v>9</v>
      </c>
      <c r="L214" s="34">
        <v>1</v>
      </c>
      <c r="P214" s="36"/>
      <c r="Q214" s="36"/>
      <c r="R214" s="36"/>
      <c r="S214" s="38">
        <v>0</v>
      </c>
      <c r="T214" s="38">
        <v>1</v>
      </c>
      <c r="W214" s="38" t="s">
        <v>751</v>
      </c>
      <c r="X214" s="38">
        <v>1</v>
      </c>
    </row>
    <row r="215" spans="1:24" ht="13.2" customHeight="1" x14ac:dyDescent="0.25">
      <c r="A215" s="38">
        <v>230</v>
      </c>
      <c r="B215" s="38" t="s">
        <v>56</v>
      </c>
      <c r="C215" s="38" t="s">
        <v>159</v>
      </c>
      <c r="D215" s="38" t="s">
        <v>791</v>
      </c>
      <c r="E215" s="41" t="s">
        <v>161</v>
      </c>
      <c r="F215" s="36"/>
      <c r="G215" s="36"/>
      <c r="H215" s="36"/>
      <c r="I215" s="36"/>
      <c r="J215" s="81">
        <f>VLOOKUP($A215, Stat!$A$1:$C$1000, 2,0)</f>
        <v>19</v>
      </c>
      <c r="K215" s="81">
        <f>VLOOKUP($A215, Stat!$A$1:$C$1000, 3,0)</f>
        <v>3</v>
      </c>
      <c r="L215" s="34">
        <v>1</v>
      </c>
      <c r="P215" s="36"/>
      <c r="Q215" s="36"/>
      <c r="R215" s="36"/>
      <c r="S215" s="38">
        <v>60</v>
      </c>
      <c r="T215" s="38">
        <v>0</v>
      </c>
      <c r="W215" s="38" t="s">
        <v>752</v>
      </c>
      <c r="X215" s="38">
        <v>1</v>
      </c>
    </row>
    <row r="216" spans="1:24" ht="13.2" customHeight="1" x14ac:dyDescent="0.25">
      <c r="A216" s="38">
        <v>231</v>
      </c>
      <c r="B216" s="38" t="s">
        <v>56</v>
      </c>
      <c r="C216" s="38" t="s">
        <v>159</v>
      </c>
      <c r="D216" s="38" t="s">
        <v>791</v>
      </c>
      <c r="E216" s="41" t="s">
        <v>147</v>
      </c>
      <c r="F216" s="36"/>
      <c r="G216" s="36"/>
      <c r="H216" s="36"/>
      <c r="I216" s="36"/>
      <c r="J216" s="81">
        <f>VLOOKUP($A216, Stat!$A$1:$C$1000, 2,0)</f>
        <v>4</v>
      </c>
      <c r="K216" s="81">
        <f>VLOOKUP($A216, Stat!$A$1:$C$1000, 3,0)</f>
        <v>3</v>
      </c>
      <c r="L216" s="34">
        <v>1</v>
      </c>
      <c r="P216" s="36"/>
      <c r="Q216" s="36"/>
      <c r="R216" s="36"/>
      <c r="S216" s="38">
        <v>60</v>
      </c>
      <c r="T216" s="38">
        <v>0</v>
      </c>
      <c r="W216" s="38" t="s">
        <v>753</v>
      </c>
      <c r="X216" s="38">
        <v>1</v>
      </c>
    </row>
    <row r="217" spans="1:24" ht="13.2" customHeight="1" x14ac:dyDescent="0.25">
      <c r="A217" s="38">
        <v>232</v>
      </c>
      <c r="B217" s="38" t="s">
        <v>56</v>
      </c>
      <c r="C217" s="38" t="s">
        <v>159</v>
      </c>
      <c r="D217" s="38" t="s">
        <v>791</v>
      </c>
      <c r="E217" s="41" t="s">
        <v>162</v>
      </c>
      <c r="F217" s="36"/>
      <c r="G217" s="36"/>
      <c r="H217" s="36"/>
      <c r="I217" s="36"/>
      <c r="J217" s="81">
        <f>VLOOKUP($A217, Stat!$A$1:$C$1000, 2,0)</f>
        <v>3</v>
      </c>
      <c r="K217" s="81">
        <f>VLOOKUP($A217, Stat!$A$1:$C$1000, 3,0)</f>
        <v>3</v>
      </c>
      <c r="L217" s="34">
        <v>1</v>
      </c>
      <c r="P217" s="36"/>
      <c r="Q217" s="36"/>
      <c r="R217" s="36"/>
      <c r="S217" s="38">
        <v>60</v>
      </c>
      <c r="T217" s="38">
        <v>0</v>
      </c>
      <c r="W217" s="38" t="s">
        <v>754</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728</v>
      </c>
      <c r="X218" s="38">
        <v>1</v>
      </c>
    </row>
    <row r="219" spans="1:24" ht="13.2"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729</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730</v>
      </c>
      <c r="X221" s="38">
        <v>1</v>
      </c>
    </row>
    <row r="222" spans="1:24" ht="13.2" customHeight="1" x14ac:dyDescent="0.25">
      <c r="A222" s="38">
        <v>237</v>
      </c>
      <c r="B222" s="38" t="s">
        <v>56</v>
      </c>
      <c r="C222" s="38" t="s">
        <v>159</v>
      </c>
      <c r="D222" s="38" t="s">
        <v>874</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755</v>
      </c>
      <c r="X224" s="38">
        <v>1</v>
      </c>
    </row>
    <row r="225" spans="1:24" ht="13.2"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756</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745</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745</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745</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745</v>
      </c>
      <c r="X229" s="38">
        <v>1</v>
      </c>
    </row>
    <row r="230" spans="1:24" ht="13.2"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757</v>
      </c>
      <c r="X232" s="38">
        <v>1</v>
      </c>
    </row>
    <row r="233" spans="1:24" x14ac:dyDescent="0.25">
      <c r="A233" s="38">
        <v>248</v>
      </c>
      <c r="B233" s="38" t="s">
        <v>56</v>
      </c>
      <c r="C233" s="38" t="s">
        <v>56</v>
      </c>
      <c r="D233" s="38" t="s">
        <v>812</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812</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812</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745</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874</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875</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758</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731</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732</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733</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734</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735</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736</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714</v>
      </c>
      <c r="X253" s="38">
        <v>1</v>
      </c>
    </row>
    <row r="254" spans="1:24" ht="13.2"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714</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714</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714</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714</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745</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0</v>
      </c>
      <c r="T261" s="38">
        <v>-1</v>
      </c>
      <c r="W261" s="38" t="s">
        <v>218</v>
      </c>
      <c r="X261" s="38">
        <v>1</v>
      </c>
    </row>
    <row r="262" spans="1:24" ht="13.2"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719</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759</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737</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738</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739</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740</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709</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712</v>
      </c>
      <c r="X280" s="38">
        <v>1</v>
      </c>
    </row>
    <row r="281" spans="1:24" ht="13.2"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883</v>
      </c>
      <c r="E294" s="38" t="s">
        <v>878</v>
      </c>
      <c r="F294" s="34">
        <v>3</v>
      </c>
      <c r="S294" s="38">
        <v>0</v>
      </c>
      <c r="T294" s="38">
        <v>0</v>
      </c>
      <c r="V294" s="38" t="s">
        <v>876</v>
      </c>
    </row>
    <row r="295" spans="1:24" ht="13.2" customHeight="1" x14ac:dyDescent="0.25">
      <c r="A295" s="38">
        <v>312</v>
      </c>
      <c r="B295" s="38" t="s">
        <v>35</v>
      </c>
      <c r="C295" s="38" t="s">
        <v>12</v>
      </c>
      <c r="D295" s="38" t="s">
        <v>883</v>
      </c>
      <c r="E295" s="38" t="s">
        <v>879</v>
      </c>
      <c r="F295" s="34">
        <v>3</v>
      </c>
      <c r="S295" s="38">
        <v>0</v>
      </c>
      <c r="T295" s="38">
        <v>0</v>
      </c>
      <c r="V295" s="38" t="s">
        <v>876</v>
      </c>
    </row>
    <row r="296" spans="1:24" ht="13.2" customHeight="1" x14ac:dyDescent="0.25">
      <c r="A296" s="38">
        <v>313</v>
      </c>
      <c r="B296" s="38" t="s">
        <v>35</v>
      </c>
      <c r="C296" s="38" t="s">
        <v>12</v>
      </c>
      <c r="D296" s="38" t="s">
        <v>882</v>
      </c>
      <c r="E296" s="38" t="s">
        <v>878</v>
      </c>
      <c r="F296" s="34">
        <v>3</v>
      </c>
      <c r="P296" s="34">
        <v>311.40499999999997</v>
      </c>
      <c r="S296" s="38">
        <v>60</v>
      </c>
      <c r="T296" s="38">
        <v>0</v>
      </c>
      <c r="V296" s="38" t="s">
        <v>876</v>
      </c>
    </row>
    <row r="297" spans="1:24" ht="13.2" customHeight="1" x14ac:dyDescent="0.25">
      <c r="A297" s="38">
        <v>314</v>
      </c>
      <c r="B297" s="38" t="s">
        <v>35</v>
      </c>
      <c r="C297" s="38" t="s">
        <v>12</v>
      </c>
      <c r="D297" s="38" t="s">
        <v>882</v>
      </c>
      <c r="E297" s="38" t="s">
        <v>879</v>
      </c>
      <c r="F297" s="34">
        <v>3</v>
      </c>
      <c r="P297" s="34">
        <v>312.40600000000001</v>
      </c>
      <c r="S297" s="38">
        <v>60</v>
      </c>
      <c r="T297" s="38">
        <v>0</v>
      </c>
      <c r="V297" s="38" t="s">
        <v>876</v>
      </c>
    </row>
    <row r="298" spans="1:24" x14ac:dyDescent="0.25">
      <c r="A298" s="38">
        <v>315</v>
      </c>
      <c r="B298" s="38" t="s">
        <v>56</v>
      </c>
      <c r="C298" s="38" t="s">
        <v>56</v>
      </c>
      <c r="D298" s="38" t="s">
        <v>812</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812</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715</v>
      </c>
      <c r="J300" s="81">
        <f>VLOOKUP($A300, Stat!$A$1:$C$1000, 2,0)</f>
        <v>21</v>
      </c>
      <c r="K300" s="81">
        <f>VLOOKUP($A300, Stat!$A$1:$C$1000, 3,0)</f>
        <v>4</v>
      </c>
      <c r="L300" s="34">
        <v>1</v>
      </c>
      <c r="S300" s="38">
        <v>30</v>
      </c>
      <c r="T300" s="38">
        <v>0</v>
      </c>
      <c r="W300" s="38" t="s">
        <v>720</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721</v>
      </c>
      <c r="X301" s="38">
        <v>1</v>
      </c>
    </row>
    <row r="302" spans="1:24" ht="13.2"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741</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 customHeight="1" x14ac:dyDescent="0.25">
      <c r="A306" s="38">
        <v>325</v>
      </c>
      <c r="B306" s="38" t="s">
        <v>56</v>
      </c>
      <c r="C306" s="38" t="s">
        <v>56</v>
      </c>
      <c r="D306" s="38" t="s">
        <v>824</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825</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742</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743</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815</v>
      </c>
      <c r="E311" s="38" t="s">
        <v>331</v>
      </c>
      <c r="F311" s="34">
        <v>7</v>
      </c>
      <c r="G311" s="34">
        <v>1</v>
      </c>
      <c r="H311" s="34">
        <v>1</v>
      </c>
      <c r="J311" s="81">
        <f>VLOOKUP($A311, Stat!$A$1:$C$1000, 2,0)</f>
        <v>5</v>
      </c>
      <c r="K311" s="81">
        <f>VLOOKUP($A311, Stat!$A$1:$C$1000, 3,0)</f>
        <v>3</v>
      </c>
      <c r="L311" s="34">
        <v>1</v>
      </c>
      <c r="P311" s="34">
        <v>249</v>
      </c>
      <c r="S311" s="38">
        <v>0</v>
      </c>
      <c r="T311" s="38">
        <v>1</v>
      </c>
      <c r="W311" s="38" t="s">
        <v>884</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722</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745</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744</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746</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746</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746</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746</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746</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782</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782</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812</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714</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714</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714</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714</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714</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713</v>
      </c>
      <c r="X337" s="38">
        <v>1</v>
      </c>
    </row>
    <row r="338" spans="1:24" x14ac:dyDescent="0.25">
      <c r="A338" s="38">
        <v>360</v>
      </c>
      <c r="B338" s="38" t="s">
        <v>35</v>
      </c>
      <c r="C338" s="38" t="s">
        <v>419</v>
      </c>
      <c r="D338" s="38" t="s">
        <v>780</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780</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780</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781</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782</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779</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779</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779</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778</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778</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778</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812</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786</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812</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783</v>
      </c>
      <c r="E361" s="38" t="s">
        <v>785</v>
      </c>
      <c r="F361" s="34">
        <v>1</v>
      </c>
      <c r="J361" s="81">
        <f>VLOOKUP($A361, Stat!$A$1:$C$1000, 2,0)</f>
        <v>20</v>
      </c>
      <c r="K361" s="85">
        <f>VLOOKUP($A361, Stat!$A$1:$C$1000, 3,0)</f>
        <v>0</v>
      </c>
      <c r="L361" s="34">
        <v>1</v>
      </c>
      <c r="S361" s="38">
        <v>60</v>
      </c>
      <c r="T361" s="38">
        <v>0</v>
      </c>
      <c r="W361" s="38" t="s">
        <v>862</v>
      </c>
      <c r="X361" s="38">
        <v>1</v>
      </c>
    </row>
    <row r="362" spans="1:24" x14ac:dyDescent="0.25">
      <c r="A362" s="38">
        <v>384</v>
      </c>
      <c r="B362" s="38" t="s">
        <v>56</v>
      </c>
      <c r="C362" s="38" t="s">
        <v>56</v>
      </c>
      <c r="D362" s="38" t="s">
        <v>490</v>
      </c>
      <c r="E362" s="38" t="s">
        <v>711</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812</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726</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727</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823</v>
      </c>
      <c r="X367" s="38">
        <v>1</v>
      </c>
    </row>
    <row r="368" spans="1:24" x14ac:dyDescent="0.25">
      <c r="A368" s="38">
        <v>390</v>
      </c>
      <c r="B368" s="38" t="s">
        <v>56</v>
      </c>
      <c r="C368" s="38" t="s">
        <v>56</v>
      </c>
      <c r="D368" s="38" t="s">
        <v>561</v>
      </c>
      <c r="E368" s="38" t="s">
        <v>821</v>
      </c>
      <c r="F368" s="34">
        <v>9</v>
      </c>
      <c r="G368" s="34">
        <v>1</v>
      </c>
      <c r="I368" s="34" t="s">
        <v>561</v>
      </c>
      <c r="J368" s="34">
        <f>VLOOKUP($A368, Stat!$A$1:$C$1000, 2,0)</f>
        <v>6</v>
      </c>
      <c r="K368" s="34">
        <f>VLOOKUP($A368, Stat!$A$1:$C$1000, 3,0)</f>
        <v>0</v>
      </c>
      <c r="L368" s="84"/>
      <c r="S368" s="38">
        <v>60</v>
      </c>
      <c r="T368" s="38">
        <v>0</v>
      </c>
      <c r="V368" s="38" t="s">
        <v>823</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855</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855</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855</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883</v>
      </c>
      <c r="E380" s="38" t="s">
        <v>880</v>
      </c>
      <c r="F380" s="34">
        <v>3</v>
      </c>
      <c r="S380" s="38">
        <v>0</v>
      </c>
      <c r="T380" s="38">
        <v>0</v>
      </c>
      <c r="V380" s="38" t="s">
        <v>876</v>
      </c>
      <c r="W380" s="38" t="s">
        <v>877</v>
      </c>
    </row>
    <row r="381" spans="1:24" x14ac:dyDescent="0.25">
      <c r="A381" s="38">
        <v>406</v>
      </c>
      <c r="B381" s="38" t="s">
        <v>35</v>
      </c>
      <c r="C381" s="38" t="s">
        <v>12</v>
      </c>
      <c r="D381" s="38" t="s">
        <v>883</v>
      </c>
      <c r="E381" s="38" t="s">
        <v>881</v>
      </c>
      <c r="F381" s="34">
        <v>3</v>
      </c>
      <c r="S381" s="38">
        <v>0</v>
      </c>
      <c r="T381" s="38">
        <v>0</v>
      </c>
      <c r="V381" s="38" t="s">
        <v>876</v>
      </c>
      <c r="W381" s="38" t="s">
        <v>877</v>
      </c>
    </row>
    <row r="382" spans="1:24" x14ac:dyDescent="0.25">
      <c r="A382" s="38">
        <v>407</v>
      </c>
      <c r="B382" s="38" t="s">
        <v>35</v>
      </c>
      <c r="C382" s="38" t="s">
        <v>12</v>
      </c>
      <c r="D382" s="38" t="s">
        <v>882</v>
      </c>
      <c r="E382" s="38" t="s">
        <v>880</v>
      </c>
      <c r="F382" s="34">
        <v>3</v>
      </c>
      <c r="P382" s="34">
        <v>311.40499999999997</v>
      </c>
      <c r="S382" s="38">
        <v>60</v>
      </c>
      <c r="T382" s="38">
        <v>0</v>
      </c>
      <c r="V382" s="38" t="s">
        <v>876</v>
      </c>
      <c r="W382" s="38" t="s">
        <v>877</v>
      </c>
    </row>
    <row r="383" spans="1:24" x14ac:dyDescent="0.25">
      <c r="A383" s="38">
        <v>408</v>
      </c>
      <c r="B383" s="38" t="s">
        <v>35</v>
      </c>
      <c r="C383" s="38" t="s">
        <v>12</v>
      </c>
      <c r="D383" s="38" t="s">
        <v>882</v>
      </c>
      <c r="E383" s="38" t="s">
        <v>881</v>
      </c>
      <c r="F383" s="34">
        <v>3</v>
      </c>
      <c r="P383" s="34">
        <v>312.40600000000001</v>
      </c>
      <c r="S383" s="38">
        <v>60</v>
      </c>
      <c r="T383" s="38">
        <v>0</v>
      </c>
      <c r="V383" s="38" t="s">
        <v>876</v>
      </c>
      <c r="W383" s="38" t="s">
        <v>877</v>
      </c>
    </row>
    <row r="384" spans="1:24" x14ac:dyDescent="0.25">
      <c r="A384" s="38">
        <v>411</v>
      </c>
      <c r="B384" s="38" t="s">
        <v>35</v>
      </c>
      <c r="C384" s="38" t="s">
        <v>12</v>
      </c>
      <c r="D384" s="38" t="s">
        <v>856</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856</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856</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804</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804</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804</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804</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714</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714</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714</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714</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714</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714</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745</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796</v>
      </c>
      <c r="E405" s="38" t="s">
        <v>864</v>
      </c>
      <c r="F405" s="34">
        <v>8</v>
      </c>
      <c r="I405" s="34" t="s">
        <v>546</v>
      </c>
      <c r="J405" s="34">
        <f>VLOOKUP($A405, Stat!$A$1:$C$1000, 2,0)</f>
        <v>2</v>
      </c>
      <c r="K405" s="34">
        <f>VLOOKUP($A405, Stat!$A$1:$C$1000, 3,0)</f>
        <v>0</v>
      </c>
      <c r="L405" s="34">
        <v>1</v>
      </c>
      <c r="P405" s="34">
        <v>157</v>
      </c>
      <c r="S405" s="38">
        <v>0</v>
      </c>
      <c r="T405" s="38">
        <v>1</v>
      </c>
      <c r="W405" s="38" t="s">
        <v>863</v>
      </c>
      <c r="X405" s="38">
        <v>1</v>
      </c>
    </row>
    <row r="406" spans="1:24" x14ac:dyDescent="0.25">
      <c r="A406" s="38">
        <v>433</v>
      </c>
      <c r="B406" s="38" t="s">
        <v>37</v>
      </c>
      <c r="C406" s="38" t="s">
        <v>15</v>
      </c>
      <c r="D406" s="38" t="s">
        <v>783</v>
      </c>
      <c r="E406" s="38" t="s">
        <v>784</v>
      </c>
      <c r="F406" s="34">
        <v>1</v>
      </c>
      <c r="J406" s="34">
        <f>VLOOKUP($A406, Stat!$A$1:$C$1000, 2,0)</f>
        <v>172</v>
      </c>
      <c r="K406" s="34">
        <f>VLOOKUP($A406, Stat!$A$1:$C$1000, 3,0)</f>
        <v>0</v>
      </c>
      <c r="L406" s="34">
        <v>1</v>
      </c>
      <c r="S406" s="38">
        <v>100</v>
      </c>
      <c r="T406" s="38">
        <v>0</v>
      </c>
      <c r="W406" s="38" t="s">
        <v>760</v>
      </c>
      <c r="X406" s="38">
        <v>1</v>
      </c>
    </row>
    <row r="407" spans="1:24" x14ac:dyDescent="0.25">
      <c r="A407" s="38">
        <v>434</v>
      </c>
      <c r="B407" s="38" t="s">
        <v>35</v>
      </c>
      <c r="C407" s="38" t="s">
        <v>14</v>
      </c>
      <c r="D407" s="38" t="s">
        <v>768</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768</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768</v>
      </c>
      <c r="E409" s="38" t="s">
        <v>761</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768</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767</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767</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767</v>
      </c>
      <c r="E413" s="38" t="s">
        <v>761</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767</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763</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763</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763</v>
      </c>
      <c r="E417" s="38" t="s">
        <v>761</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763</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766</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766</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766</v>
      </c>
      <c r="E421" s="38" t="s">
        <v>762</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766</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764</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764</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764</v>
      </c>
      <c r="E425" s="38" t="s">
        <v>761</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764</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765</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765</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765</v>
      </c>
      <c r="E429" s="38" t="s">
        <v>762</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765</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770</v>
      </c>
      <c r="J431" s="34">
        <f>VLOOKUP($A431, Stat!$A$1:$C$1000, 2,0)</f>
        <v>23</v>
      </c>
      <c r="K431" s="34">
        <f>VLOOKUP($A431, Stat!$A$1:$C$1000, 3,0)</f>
        <v>6</v>
      </c>
      <c r="S431" s="38">
        <v>100</v>
      </c>
      <c r="T431" s="38">
        <v>0</v>
      </c>
      <c r="W431" s="38" t="s">
        <v>771</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772</v>
      </c>
      <c r="X432" s="38">
        <v>1</v>
      </c>
    </row>
    <row r="433" spans="1:24" x14ac:dyDescent="0.25">
      <c r="A433" s="38">
        <v>460</v>
      </c>
      <c r="B433" s="38" t="s">
        <v>35</v>
      </c>
      <c r="C433" s="38" t="s">
        <v>566</v>
      </c>
      <c r="D433" s="38" t="s">
        <v>800</v>
      </c>
      <c r="E433" s="38" t="s">
        <v>2</v>
      </c>
      <c r="F433" s="34">
        <v>5</v>
      </c>
      <c r="J433" s="34">
        <f>VLOOKUP($A433, Stat!$A$1:$C$1000, 2,0)</f>
        <v>0</v>
      </c>
      <c r="K433" s="34">
        <f>VLOOKUP($A433, Stat!$A$1:$C$1000, 3,0)</f>
        <v>0</v>
      </c>
      <c r="L433" s="34">
        <v>1</v>
      </c>
      <c r="P433" s="35" t="s">
        <v>585</v>
      </c>
      <c r="S433" s="38">
        <v>60</v>
      </c>
      <c r="T433" s="38">
        <v>0</v>
      </c>
      <c r="V433" s="38" t="s">
        <v>805</v>
      </c>
      <c r="X433" s="38">
        <v>1</v>
      </c>
    </row>
    <row r="434" spans="1:24" x14ac:dyDescent="0.25">
      <c r="A434" s="38">
        <v>461</v>
      </c>
      <c r="B434" s="38" t="s">
        <v>35</v>
      </c>
      <c r="C434" s="38" t="s">
        <v>566</v>
      </c>
      <c r="D434" s="38" t="s">
        <v>800</v>
      </c>
      <c r="E434" s="38" t="s">
        <v>3</v>
      </c>
      <c r="F434" s="34">
        <v>5</v>
      </c>
      <c r="J434" s="34">
        <f>VLOOKUP($A434, Stat!$A$1:$C$1000, 2,0)</f>
        <v>0</v>
      </c>
      <c r="K434" s="34">
        <f>VLOOKUP($A434, Stat!$A$1:$C$1000, 3,0)</f>
        <v>0</v>
      </c>
      <c r="L434" s="34">
        <v>1</v>
      </c>
      <c r="P434" s="35" t="s">
        <v>589</v>
      </c>
      <c r="S434" s="38">
        <v>60</v>
      </c>
      <c r="T434" s="38">
        <v>0</v>
      </c>
      <c r="V434" s="38" t="s">
        <v>805</v>
      </c>
      <c r="X434" s="38">
        <v>1</v>
      </c>
    </row>
    <row r="435" spans="1:24" x14ac:dyDescent="0.25">
      <c r="A435" s="38">
        <v>462</v>
      </c>
      <c r="B435" s="38" t="s">
        <v>35</v>
      </c>
      <c r="C435" s="38" t="s">
        <v>566</v>
      </c>
      <c r="D435" s="38" t="s">
        <v>800</v>
      </c>
      <c r="E435" s="38" t="s">
        <v>4</v>
      </c>
      <c r="F435" s="34">
        <v>5</v>
      </c>
      <c r="J435" s="34">
        <f>VLOOKUP($A435, Stat!$A$1:$C$1000, 2,0)</f>
        <v>0</v>
      </c>
      <c r="K435" s="34">
        <f>VLOOKUP($A435, Stat!$A$1:$C$1000, 3,0)</f>
        <v>0</v>
      </c>
      <c r="L435" s="34">
        <v>1</v>
      </c>
      <c r="P435" s="35" t="s">
        <v>590</v>
      </c>
      <c r="S435" s="38">
        <v>100</v>
      </c>
      <c r="T435" s="38">
        <v>0</v>
      </c>
      <c r="V435" s="38" t="s">
        <v>805</v>
      </c>
      <c r="X435" s="38">
        <v>1</v>
      </c>
    </row>
    <row r="436" spans="1:24" x14ac:dyDescent="0.25">
      <c r="A436" s="38">
        <v>463</v>
      </c>
      <c r="B436" s="38" t="s">
        <v>35</v>
      </c>
      <c r="C436" s="38" t="s">
        <v>566</v>
      </c>
      <c r="D436" s="38" t="s">
        <v>800</v>
      </c>
      <c r="E436" s="38" t="s">
        <v>47</v>
      </c>
      <c r="F436" s="34">
        <v>5</v>
      </c>
      <c r="J436" s="34">
        <f>VLOOKUP($A436, Stat!$A$1:$C$1000, 2,0)</f>
        <v>1</v>
      </c>
      <c r="K436" s="34">
        <f>VLOOKUP($A436, Stat!$A$1:$C$1000, 3,0)</f>
        <v>1</v>
      </c>
      <c r="L436" s="34">
        <v>1</v>
      </c>
      <c r="P436" s="35" t="s">
        <v>591</v>
      </c>
      <c r="S436" s="38">
        <v>100</v>
      </c>
      <c r="T436" s="38">
        <v>0</v>
      </c>
      <c r="V436" s="38" t="s">
        <v>805</v>
      </c>
      <c r="X436" s="38">
        <v>1</v>
      </c>
    </row>
    <row r="437" spans="1:24" x14ac:dyDescent="0.25">
      <c r="A437" s="38">
        <v>464</v>
      </c>
      <c r="B437" s="38" t="s">
        <v>35</v>
      </c>
      <c r="C437" s="38" t="s">
        <v>566</v>
      </c>
      <c r="D437" s="38" t="s">
        <v>802</v>
      </c>
      <c r="E437" s="38" t="s">
        <v>2</v>
      </c>
      <c r="F437" s="34">
        <v>5</v>
      </c>
      <c r="J437" s="34">
        <f>VLOOKUP($A437, Stat!$A$1:$C$1000, 2,0)</f>
        <v>1</v>
      </c>
      <c r="K437" s="34">
        <f>VLOOKUP($A437, Stat!$A$1:$C$1000, 3,0)</f>
        <v>1</v>
      </c>
      <c r="L437" s="34">
        <v>1</v>
      </c>
      <c r="P437" s="35" t="s">
        <v>841</v>
      </c>
      <c r="S437" s="38">
        <v>60</v>
      </c>
      <c r="T437" s="38">
        <v>0</v>
      </c>
      <c r="V437" s="38" t="s">
        <v>806</v>
      </c>
      <c r="X437" s="38">
        <v>1</v>
      </c>
    </row>
    <row r="438" spans="1:24" x14ac:dyDescent="0.25">
      <c r="A438" s="38">
        <v>465</v>
      </c>
      <c r="B438" s="38" t="s">
        <v>35</v>
      </c>
      <c r="C438" s="38" t="s">
        <v>566</v>
      </c>
      <c r="D438" s="38" t="s">
        <v>802</v>
      </c>
      <c r="E438" s="38" t="s">
        <v>3</v>
      </c>
      <c r="F438" s="34">
        <v>5</v>
      </c>
      <c r="J438" s="34">
        <f>VLOOKUP($A438, Stat!$A$1:$C$1000, 2,0)</f>
        <v>1</v>
      </c>
      <c r="K438" s="34">
        <f>VLOOKUP($A438, Stat!$A$1:$C$1000, 3,0)</f>
        <v>0</v>
      </c>
      <c r="L438" s="34">
        <v>1</v>
      </c>
      <c r="P438" s="35" t="s">
        <v>842</v>
      </c>
      <c r="S438" s="38">
        <v>60</v>
      </c>
      <c r="T438" s="38">
        <v>0</v>
      </c>
      <c r="V438" s="38" t="s">
        <v>806</v>
      </c>
      <c r="X438" s="38">
        <v>1</v>
      </c>
    </row>
    <row r="439" spans="1:24" x14ac:dyDescent="0.25">
      <c r="A439" s="38">
        <v>466</v>
      </c>
      <c r="B439" s="38" t="s">
        <v>35</v>
      </c>
      <c r="C439" s="38" t="s">
        <v>566</v>
      </c>
      <c r="D439" s="38" t="s">
        <v>802</v>
      </c>
      <c r="E439" s="38" t="s">
        <v>4</v>
      </c>
      <c r="F439" s="34">
        <v>5</v>
      </c>
      <c r="J439" s="34">
        <f>VLOOKUP($A439, Stat!$A$1:$C$1000, 2,0)</f>
        <v>0</v>
      </c>
      <c r="K439" s="34">
        <f>VLOOKUP($A439, Stat!$A$1:$C$1000, 3,0)</f>
        <v>0</v>
      </c>
      <c r="L439" s="34">
        <v>1</v>
      </c>
      <c r="P439" s="35" t="s">
        <v>843</v>
      </c>
      <c r="S439" s="38">
        <v>100</v>
      </c>
      <c r="T439" s="38">
        <v>0</v>
      </c>
      <c r="V439" s="38" t="s">
        <v>806</v>
      </c>
      <c r="X439" s="38">
        <v>1</v>
      </c>
    </row>
    <row r="440" spans="1:24" x14ac:dyDescent="0.25">
      <c r="A440" s="38">
        <v>467</v>
      </c>
      <c r="B440" s="38" t="s">
        <v>35</v>
      </c>
      <c r="C440" s="38" t="s">
        <v>566</v>
      </c>
      <c r="D440" s="38" t="s">
        <v>802</v>
      </c>
      <c r="E440" s="38" t="s">
        <v>47</v>
      </c>
      <c r="F440" s="34">
        <v>5</v>
      </c>
      <c r="J440" s="34">
        <f>VLOOKUP($A440, Stat!$A$1:$C$1000, 2,0)</f>
        <v>0</v>
      </c>
      <c r="K440" s="34">
        <f>VLOOKUP($A440, Stat!$A$1:$C$1000, 3,0)</f>
        <v>0</v>
      </c>
      <c r="L440" s="34">
        <v>1</v>
      </c>
      <c r="P440" s="35" t="s">
        <v>844</v>
      </c>
      <c r="S440" s="38">
        <v>100</v>
      </c>
      <c r="T440" s="38">
        <v>0</v>
      </c>
      <c r="V440" s="38" t="s">
        <v>806</v>
      </c>
      <c r="X440" s="38">
        <v>1</v>
      </c>
    </row>
    <row r="441" spans="1:24" x14ac:dyDescent="0.25">
      <c r="A441" s="38">
        <v>468</v>
      </c>
      <c r="B441" s="38" t="s">
        <v>35</v>
      </c>
      <c r="C441" s="38" t="s">
        <v>566</v>
      </c>
      <c r="D441" s="38" t="s">
        <v>801</v>
      </c>
      <c r="E441" s="38" t="s">
        <v>2</v>
      </c>
      <c r="F441" s="34">
        <v>5</v>
      </c>
      <c r="J441" s="34">
        <f>VLOOKUP($A441, Stat!$A$1:$C$1000, 2,0)</f>
        <v>6</v>
      </c>
      <c r="K441" s="34">
        <f>VLOOKUP($A441, Stat!$A$1:$C$1000, 3,0)</f>
        <v>3</v>
      </c>
      <c r="L441" s="34">
        <v>1</v>
      </c>
      <c r="P441" s="36">
        <v>132</v>
      </c>
      <c r="S441" s="38">
        <v>60</v>
      </c>
      <c r="T441" s="38">
        <v>0</v>
      </c>
      <c r="V441" s="38" t="s">
        <v>807</v>
      </c>
      <c r="X441" s="38">
        <v>1</v>
      </c>
    </row>
    <row r="442" spans="1:24" x14ac:dyDescent="0.25">
      <c r="A442" s="38">
        <v>469</v>
      </c>
      <c r="B442" s="38" t="s">
        <v>35</v>
      </c>
      <c r="C442" s="38" t="s">
        <v>566</v>
      </c>
      <c r="D442" s="38" t="s">
        <v>801</v>
      </c>
      <c r="E442" s="38" t="s">
        <v>3</v>
      </c>
      <c r="F442" s="34">
        <v>5</v>
      </c>
      <c r="J442" s="34">
        <f>VLOOKUP($A442, Stat!$A$1:$C$1000, 2,0)</f>
        <v>0</v>
      </c>
      <c r="K442" s="34">
        <f>VLOOKUP($A442, Stat!$A$1:$C$1000, 3,0)</f>
        <v>0</v>
      </c>
      <c r="L442" s="34">
        <v>1</v>
      </c>
      <c r="P442" s="36">
        <v>133</v>
      </c>
      <c r="S442" s="38">
        <v>60</v>
      </c>
      <c r="T442" s="38">
        <v>0</v>
      </c>
      <c r="V442" s="38" t="s">
        <v>807</v>
      </c>
      <c r="X442" s="38">
        <v>1</v>
      </c>
    </row>
    <row r="443" spans="1:24" x14ac:dyDescent="0.25">
      <c r="A443" s="38">
        <v>470</v>
      </c>
      <c r="B443" s="38" t="s">
        <v>35</v>
      </c>
      <c r="C443" s="38" t="s">
        <v>566</v>
      </c>
      <c r="D443" s="38" t="s">
        <v>801</v>
      </c>
      <c r="E443" s="38" t="s">
        <v>4</v>
      </c>
      <c r="F443" s="34">
        <v>5</v>
      </c>
      <c r="J443" s="34">
        <f>VLOOKUP($A443, Stat!$A$1:$C$1000, 2,0)</f>
        <v>1</v>
      </c>
      <c r="K443" s="34">
        <f>VLOOKUP($A443, Stat!$A$1:$C$1000, 3,0)</f>
        <v>1</v>
      </c>
      <c r="L443" s="34">
        <v>1</v>
      </c>
      <c r="P443" s="36">
        <v>134</v>
      </c>
      <c r="S443" s="38">
        <v>100</v>
      </c>
      <c r="T443" s="38">
        <v>0</v>
      </c>
      <c r="V443" s="38" t="s">
        <v>807</v>
      </c>
      <c r="X443" s="38">
        <v>1</v>
      </c>
    </row>
    <row r="444" spans="1:24" x14ac:dyDescent="0.25">
      <c r="A444" s="38">
        <v>471</v>
      </c>
      <c r="B444" s="38" t="s">
        <v>35</v>
      </c>
      <c r="C444" s="38" t="s">
        <v>566</v>
      </c>
      <c r="D444" s="38" t="s">
        <v>801</v>
      </c>
      <c r="E444" s="38" t="s">
        <v>47</v>
      </c>
      <c r="F444" s="34">
        <v>5</v>
      </c>
      <c r="J444" s="34">
        <f>VLOOKUP($A444, Stat!$A$1:$C$1000, 2,0)</f>
        <v>0</v>
      </c>
      <c r="K444" s="34">
        <f>VLOOKUP($A444, Stat!$A$1:$C$1000, 3,0)</f>
        <v>0</v>
      </c>
      <c r="L444" s="34">
        <v>1</v>
      </c>
      <c r="P444" s="36">
        <v>135</v>
      </c>
      <c r="S444" s="38">
        <v>100</v>
      </c>
      <c r="T444" s="38">
        <v>0</v>
      </c>
      <c r="V444" s="38" t="s">
        <v>807</v>
      </c>
      <c r="X444" s="38">
        <v>1</v>
      </c>
    </row>
    <row r="445" spans="1:24" x14ac:dyDescent="0.25">
      <c r="A445" s="38">
        <v>472</v>
      </c>
      <c r="B445" s="38" t="s">
        <v>35</v>
      </c>
      <c r="C445" s="38" t="s">
        <v>566</v>
      </c>
      <c r="D445" s="38" t="s">
        <v>803</v>
      </c>
      <c r="E445" s="38" t="s">
        <v>2</v>
      </c>
      <c r="F445" s="34">
        <v>5</v>
      </c>
      <c r="J445" s="34">
        <f>VLOOKUP($A445, Stat!$A$1:$C$1000, 2,0)</f>
        <v>1</v>
      </c>
      <c r="K445" s="34">
        <f>VLOOKUP($A445, Stat!$A$1:$C$1000, 3,0)</f>
        <v>0</v>
      </c>
      <c r="L445" s="34">
        <v>1</v>
      </c>
      <c r="P445" s="35" t="s">
        <v>840</v>
      </c>
      <c r="S445" s="38">
        <v>60</v>
      </c>
      <c r="T445" s="38">
        <v>0</v>
      </c>
      <c r="V445" s="38" t="s">
        <v>808</v>
      </c>
      <c r="X445" s="38">
        <v>1</v>
      </c>
    </row>
    <row r="446" spans="1:24" x14ac:dyDescent="0.25">
      <c r="A446" s="38">
        <v>473</v>
      </c>
      <c r="B446" s="38" t="s">
        <v>35</v>
      </c>
      <c r="C446" s="38" t="s">
        <v>566</v>
      </c>
      <c r="D446" s="38" t="s">
        <v>803</v>
      </c>
      <c r="E446" s="38" t="s">
        <v>3</v>
      </c>
      <c r="F446" s="34">
        <v>5</v>
      </c>
      <c r="J446" s="34">
        <f>VLOOKUP($A446, Stat!$A$1:$C$1000, 2,0)</f>
        <v>0</v>
      </c>
      <c r="K446" s="34">
        <f>VLOOKUP($A446, Stat!$A$1:$C$1000, 3,0)</f>
        <v>0</v>
      </c>
      <c r="L446" s="34">
        <v>1</v>
      </c>
      <c r="P446" s="35" t="s">
        <v>867</v>
      </c>
      <c r="S446" s="38">
        <v>60</v>
      </c>
      <c r="T446" s="38">
        <v>0</v>
      </c>
      <c r="V446" s="38" t="s">
        <v>808</v>
      </c>
      <c r="X446" s="38">
        <v>1</v>
      </c>
    </row>
    <row r="447" spans="1:24" x14ac:dyDescent="0.25">
      <c r="A447" s="38">
        <v>474</v>
      </c>
      <c r="B447" s="38" t="s">
        <v>35</v>
      </c>
      <c r="C447" s="38" t="s">
        <v>566</v>
      </c>
      <c r="D447" s="38" t="s">
        <v>803</v>
      </c>
      <c r="E447" s="38" t="s">
        <v>4</v>
      </c>
      <c r="F447" s="34">
        <v>5</v>
      </c>
      <c r="J447" s="34">
        <f>VLOOKUP($A447, Stat!$A$1:$C$1000, 2,0)</f>
        <v>0</v>
      </c>
      <c r="K447" s="34">
        <f>VLOOKUP($A447, Stat!$A$1:$C$1000, 3,0)</f>
        <v>0</v>
      </c>
      <c r="L447" s="34">
        <v>1</v>
      </c>
      <c r="P447" s="35" t="s">
        <v>868</v>
      </c>
      <c r="S447" s="38">
        <v>100</v>
      </c>
      <c r="T447" s="38">
        <v>0</v>
      </c>
      <c r="V447" s="38" t="s">
        <v>808</v>
      </c>
      <c r="X447" s="38">
        <v>1</v>
      </c>
    </row>
    <row r="448" spans="1:24" x14ac:dyDescent="0.25">
      <c r="A448" s="38">
        <v>475</v>
      </c>
      <c r="B448" s="38" t="s">
        <v>35</v>
      </c>
      <c r="C448" s="38" t="s">
        <v>566</v>
      </c>
      <c r="D448" s="38" t="s">
        <v>803</v>
      </c>
      <c r="E448" s="38" t="s">
        <v>47</v>
      </c>
      <c r="F448" s="34">
        <v>5</v>
      </c>
      <c r="J448" s="34">
        <f>VLOOKUP($A448, Stat!$A$1:$C$1000, 2,0)</f>
        <v>0</v>
      </c>
      <c r="K448" s="34">
        <f>VLOOKUP($A448, Stat!$A$1:$C$1000, 3,0)</f>
        <v>0</v>
      </c>
      <c r="L448" s="34">
        <v>1</v>
      </c>
      <c r="P448" s="35" t="s">
        <v>869</v>
      </c>
      <c r="S448" s="38">
        <v>100</v>
      </c>
      <c r="T448" s="38">
        <v>0</v>
      </c>
      <c r="V448" s="38" t="s">
        <v>808</v>
      </c>
      <c r="X448" s="38">
        <v>1</v>
      </c>
    </row>
    <row r="449" spans="1:24" x14ac:dyDescent="0.25">
      <c r="A449" s="38">
        <v>481</v>
      </c>
      <c r="B449" s="38" t="s">
        <v>56</v>
      </c>
      <c r="C449" s="38" t="s">
        <v>56</v>
      </c>
      <c r="D449" s="38" t="s">
        <v>814</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814</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813</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813</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813</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813</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813</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813</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813</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813</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813</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857</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857</v>
      </c>
      <c r="E461" s="38" t="s">
        <v>849</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857</v>
      </c>
      <c r="E462" s="38" t="s">
        <v>303</v>
      </c>
      <c r="F462" s="95" t="s">
        <v>461</v>
      </c>
      <c r="G462" s="36"/>
      <c r="H462" s="36"/>
      <c r="I462" s="35" t="s">
        <v>546</v>
      </c>
      <c r="J462" s="81">
        <f>VLOOKUP($A462, Stat!$A$1:$C$1000, 2,0)</f>
        <v>0</v>
      </c>
      <c r="K462" s="81">
        <f>VLOOKUP($A462, Stat!$A$1:$C$1000, 3,0)</f>
        <v>0</v>
      </c>
      <c r="L462" s="84"/>
      <c r="O462" s="34">
        <v>1</v>
      </c>
      <c r="P462" s="35" t="s">
        <v>834</v>
      </c>
      <c r="S462" s="38">
        <v>60</v>
      </c>
      <c r="T462" s="38">
        <v>0</v>
      </c>
      <c r="U462" s="38">
        <v>5</v>
      </c>
      <c r="X462" s="38">
        <v>1</v>
      </c>
    </row>
    <row r="463" spans="1:24" x14ac:dyDescent="0.25">
      <c r="A463" s="38">
        <v>496</v>
      </c>
      <c r="B463" s="38" t="s">
        <v>35</v>
      </c>
      <c r="C463" s="38" t="s">
        <v>6</v>
      </c>
      <c r="D463" s="38" t="s">
        <v>857</v>
      </c>
      <c r="E463" s="38" t="s">
        <v>829</v>
      </c>
      <c r="F463" s="95" t="s">
        <v>461</v>
      </c>
      <c r="G463" s="36"/>
      <c r="H463" s="36"/>
      <c r="I463" s="35" t="s">
        <v>467</v>
      </c>
      <c r="J463" s="81">
        <f>VLOOKUP($A463, Stat!$A$1:$C$1000, 2,0)</f>
        <v>0</v>
      </c>
      <c r="K463" s="81">
        <f>VLOOKUP($A463, Stat!$A$1:$C$1000, 3,0)</f>
        <v>0</v>
      </c>
      <c r="L463" s="84"/>
      <c r="O463" s="34">
        <v>1</v>
      </c>
      <c r="P463" s="35" t="s">
        <v>835</v>
      </c>
      <c r="S463" s="38">
        <v>60</v>
      </c>
      <c r="T463" s="38">
        <v>0</v>
      </c>
      <c r="U463" s="38">
        <v>5</v>
      </c>
      <c r="W463" s="38" t="s">
        <v>176</v>
      </c>
      <c r="X463" s="38">
        <v>1</v>
      </c>
    </row>
    <row r="464" spans="1:24" x14ac:dyDescent="0.25">
      <c r="A464" s="38">
        <v>497</v>
      </c>
      <c r="B464" s="38" t="s">
        <v>35</v>
      </c>
      <c r="C464" s="38" t="s">
        <v>6</v>
      </c>
      <c r="D464" s="38" t="s">
        <v>858</v>
      </c>
      <c r="E464" s="38" t="s">
        <v>850</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858</v>
      </c>
      <c r="E465" s="38" t="s">
        <v>851</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858</v>
      </c>
      <c r="E466" s="38" t="s">
        <v>852</v>
      </c>
      <c r="F466" s="95" t="s">
        <v>461</v>
      </c>
      <c r="G466" s="36"/>
      <c r="H466" s="36"/>
      <c r="I466" s="35" t="s">
        <v>546</v>
      </c>
      <c r="J466" s="34">
        <f>VLOOKUP($A466, Stat!$A$1:$C$1000, 2,0)</f>
        <v>0</v>
      </c>
      <c r="K466" s="34">
        <f>VLOOKUP($A466, Stat!$A$1:$C$1000, 3,0)</f>
        <v>0</v>
      </c>
      <c r="L466" s="84"/>
      <c r="O466" s="34">
        <v>1</v>
      </c>
      <c r="P466" s="35" t="s">
        <v>836</v>
      </c>
      <c r="S466" s="38">
        <v>60</v>
      </c>
      <c r="T466" s="38">
        <v>0</v>
      </c>
      <c r="U466" s="38">
        <v>5</v>
      </c>
      <c r="X466" s="38">
        <v>1</v>
      </c>
    </row>
    <row r="467" spans="1:24" x14ac:dyDescent="0.25">
      <c r="A467" s="38">
        <v>500</v>
      </c>
      <c r="B467" s="38" t="s">
        <v>35</v>
      </c>
      <c r="C467" s="38" t="s">
        <v>6</v>
      </c>
      <c r="D467" s="38" t="s">
        <v>858</v>
      </c>
      <c r="E467" s="38" t="s">
        <v>853</v>
      </c>
      <c r="F467" s="95" t="s">
        <v>461</v>
      </c>
      <c r="G467" s="36"/>
      <c r="H467" s="36"/>
      <c r="I467" s="35" t="s">
        <v>467</v>
      </c>
      <c r="J467" s="34">
        <f>VLOOKUP($A467, Stat!$A$1:$C$1000, 2,0)</f>
        <v>0</v>
      </c>
      <c r="K467" s="34">
        <f>VLOOKUP($A467, Stat!$A$1:$C$1000, 3,0)</f>
        <v>0</v>
      </c>
      <c r="L467" s="84"/>
      <c r="O467" s="34">
        <v>1</v>
      </c>
      <c r="P467" s="35" t="s">
        <v>837</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833</v>
      </c>
      <c r="X468" s="38">
        <v>1</v>
      </c>
    </row>
    <row r="469" spans="1:24" x14ac:dyDescent="0.25">
      <c r="A469" s="38">
        <v>502</v>
      </c>
      <c r="B469" s="38" t="s">
        <v>35</v>
      </c>
      <c r="C469" s="38" t="s">
        <v>6</v>
      </c>
      <c r="D469" s="38" t="s">
        <v>553</v>
      </c>
      <c r="E469" s="38" t="s">
        <v>777</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833</v>
      </c>
      <c r="X469" s="38">
        <v>1</v>
      </c>
    </row>
    <row r="470" spans="1:24" x14ac:dyDescent="0.25">
      <c r="A470" s="38">
        <v>503</v>
      </c>
      <c r="B470" s="38" t="s">
        <v>35</v>
      </c>
      <c r="C470" s="38" t="s">
        <v>6</v>
      </c>
      <c r="D470" s="38" t="s">
        <v>859</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859</v>
      </c>
      <c r="E471" s="38" t="s">
        <v>775</v>
      </c>
      <c r="F471" s="95" t="s">
        <v>461</v>
      </c>
      <c r="G471" s="36"/>
      <c r="H471" s="36"/>
      <c r="I471" s="35" t="s">
        <v>559</v>
      </c>
      <c r="J471" s="81">
        <f>VLOOKUP($A471, Stat!$A$1:$C$1000, 2,0)</f>
        <v>10</v>
      </c>
      <c r="K471" s="81">
        <f>VLOOKUP($A471, Stat!$A$1:$C$1000, 3,0)</f>
        <v>0</v>
      </c>
      <c r="L471" s="34">
        <v>1</v>
      </c>
      <c r="P471" s="35" t="s">
        <v>838</v>
      </c>
      <c r="S471" s="38">
        <v>100</v>
      </c>
      <c r="T471" s="38">
        <v>0</v>
      </c>
      <c r="U471" s="38">
        <v>45</v>
      </c>
      <c r="X471" s="38">
        <v>1</v>
      </c>
    </row>
    <row r="472" spans="1:24" x14ac:dyDescent="0.25">
      <c r="A472" s="38">
        <v>505</v>
      </c>
      <c r="B472" s="38" t="s">
        <v>35</v>
      </c>
      <c r="C472" s="38" t="s">
        <v>6</v>
      </c>
      <c r="D472" s="38" t="s">
        <v>859</v>
      </c>
      <c r="E472" s="38" t="s">
        <v>776</v>
      </c>
      <c r="F472" s="95" t="s">
        <v>461</v>
      </c>
      <c r="I472" s="87" t="s">
        <v>839</v>
      </c>
      <c r="J472" s="81">
        <f>VLOOKUP($A472, Stat!$A$1:$C$1000, 2,0)</f>
        <v>64</v>
      </c>
      <c r="K472" s="81">
        <f>VLOOKUP($A472, Stat!$A$1:$C$1000, 3,0)</f>
        <v>34</v>
      </c>
      <c r="L472" s="34">
        <v>1</v>
      </c>
      <c r="P472" s="35"/>
      <c r="S472" s="38">
        <v>100</v>
      </c>
      <c r="T472" s="38">
        <v>0</v>
      </c>
      <c r="U472" s="38">
        <v>45</v>
      </c>
      <c r="W472" s="38" t="s">
        <v>832</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827</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826</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828</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774</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 customHeight="1" x14ac:dyDescent="0.25">
      <c r="A14" s="38">
        <v>28</v>
      </c>
      <c r="B14" s="38" t="s">
        <v>35</v>
      </c>
      <c r="C14" s="38" t="s">
        <v>6</v>
      </c>
      <c r="D14" s="38" t="s">
        <v>774</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 customHeight="1" x14ac:dyDescent="0.25">
      <c r="A15" s="38">
        <v>70</v>
      </c>
      <c r="B15" s="38" t="s">
        <v>35</v>
      </c>
      <c r="C15" s="38" t="s">
        <v>6</v>
      </c>
      <c r="D15" s="38" t="s">
        <v>811</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773</v>
      </c>
      <c r="W15" s="38">
        <v>1</v>
      </c>
    </row>
    <row r="16" spans="1:23" ht="13.2" customHeight="1" x14ac:dyDescent="0.25">
      <c r="A16" s="38">
        <v>71</v>
      </c>
      <c r="B16" s="38" t="s">
        <v>35</v>
      </c>
      <c r="C16" s="38" t="s">
        <v>6</v>
      </c>
      <c r="D16" s="38" t="s">
        <v>811</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2018-05-13T17:15:02Z</dcterms:modified>
</cp:coreProperties>
</file>