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Data!$A$1:$T$376</definedName>
  </definedNames>
  <calcPr calcId="162913" calcMode="manual"/>
</workbook>
</file>

<file path=xl/calcChain.xml><?xml version="1.0" encoding="utf-8"?>
<calcChain xmlns="http://schemas.openxmlformats.org/spreadsheetml/2006/main">
  <c r="H384" i="4" l="1"/>
  <c r="G384" i="4"/>
  <c r="H383" i="4"/>
  <c r="G383" i="4"/>
  <c r="H382" i="4"/>
  <c r="G382" i="4"/>
  <c r="H381" i="4"/>
  <c r="G381" i="4"/>
  <c r="H380" i="4"/>
  <c r="G380" i="4"/>
  <c r="H379" i="4"/>
  <c r="G379" i="4"/>
  <c r="H378" i="4"/>
  <c r="G378" i="4"/>
  <c r="H377" i="4"/>
  <c r="G377" i="4"/>
  <c r="H376" i="4" l="1"/>
  <c r="G376" i="4"/>
  <c r="H375" i="4"/>
  <c r="G375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60" i="4"/>
  <c r="G360" i="4"/>
  <c r="H359" i="4"/>
  <c r="G359" i="4"/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C55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7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I7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K7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3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5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5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6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7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7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7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8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8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0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0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0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3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3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59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</commentList>
</comments>
</file>

<file path=xl/sharedStrings.xml><?xml version="1.0" encoding="utf-8"?>
<sst xmlns="http://schemas.openxmlformats.org/spreadsheetml/2006/main" count="2437" uniqueCount="594">
  <si>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</si>
  <si>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</si>
  <si>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</si>
  <si>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</si>
  <si>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</si>
  <si>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</si>
  <si>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</si>
  <si>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</si>
  <si>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</si>
  <si>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</si>
  <si>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</si>
  <si>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</si>
  <si>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</si>
  <si>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</si>
  <si>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</si>
  <si>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</si>
  <si>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</si>
  <si>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</si>
  <si>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</si>
  <si>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</si>
  <si>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</si>
  <si>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</si>
  <si>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</si>
  <si>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</si>
  <si>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</si>
  <si>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</si>
  <si>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</si>
  <si>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</si>
  <si>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</si>
  <si>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</si>
  <si>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</si>
  <si>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</si>
  <si>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</si>
  <si>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</si>
  <si>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</si>
  <si>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</si>
  <si>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</si>
  <si>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</si>
  <si>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</si>
  <si>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</si>
  <si>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</si>
  <si>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</si>
  <si>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</si>
  <si>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</si>
  <si>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</si>
  <si>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</si>
  <si>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</si>
  <si>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</si>
  <si>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</si>
  <si>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</si>
  <si>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</si>
  <si>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</si>
  <si>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</si>
  <si>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</si>
  <si>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</si>
  <si>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</si>
  <si>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</si>
  <si>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</si>
  <si>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</si>
  <si>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</si>
  <si>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</si>
  <si>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</si>
  <si>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</si>
  <si>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</si>
  <si>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</si>
  <si>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</si>
  <si>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</si>
  <si>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</si>
  <si>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</si>
  <si>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</si>
  <si>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</si>
  <si>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</si>
  <si>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</si>
  <si>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</si>
  <si>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</si>
  <si>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</si>
  <si>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</si>
  <si>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</si>
  <si>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</si>
  <si>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</si>
  <si>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</si>
  <si>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</si>
  <si>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</si>
  <si>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</si>
  <si>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</si>
  <si>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</si>
  <si>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</si>
  <si>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</si>
  <si>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</si>
  <si>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</si>
  <si>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</si>
  <si>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</si>
  <si>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</si>
  <si>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</si>
  <si>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</si>
  <si>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</si>
  <si>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</si>
  <si>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</si>
  <si>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</si>
  <si>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</si>
  <si>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</si>
  <si>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</si>
  <si>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</si>
  <si>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</si>
  <si>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</si>
  <si>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</si>
  <si>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</si>
  <si>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</si>
  <si>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</si>
  <si>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</si>
  <si>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</si>
  <si>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</si>
  <si>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</si>
  <si>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</si>
  <si>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</si>
  <si>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</si>
  <si>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</si>
  <si>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</si>
  <si>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</si>
  <si>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</si>
  <si>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</si>
  <si>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</si>
  <si>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</si>
  <si>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</si>
  <si>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</si>
  <si>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</si>
  <si>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</si>
  <si>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</si>
  <si>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</si>
  <si>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</si>
  <si>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</si>
  <si>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</si>
  <si>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</si>
  <si>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</si>
  <si>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</si>
  <si>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</si>
  <si>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</si>
  <si>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</si>
  <si>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</si>
  <si>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</si>
  <si>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</si>
  <si>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</si>
  <si>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</si>
  <si>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</si>
  <si>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</si>
  <si>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</si>
  <si>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</si>
  <si>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</si>
  <si>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</si>
  <si>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</si>
  <si>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</si>
  <si>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</si>
  <si>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</si>
  <si>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</si>
  <si>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</si>
  <si>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</si>
  <si>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</si>
  <si>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</si>
  <si>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</si>
  <si>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</si>
  <si>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</si>
  <si>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</si>
  <si>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</si>
  <si>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</si>
  <si>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</si>
  <si>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</si>
  <si>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</si>
  <si>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</si>
  <si>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</si>
  <si>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</si>
  <si>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</si>
  <si>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</si>
  <si>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</si>
  <si>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</si>
  <si>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</si>
  <si>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</si>
  <si>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</si>
  <si>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</si>
  <si>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</si>
  <si>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</si>
  <si>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</si>
  <si>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</si>
  <si>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</si>
  <si>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</si>
  <si>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</si>
  <si>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</si>
  <si>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</si>
  <si>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</si>
  <si>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</si>
  <si>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</si>
  <si>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</si>
  <si>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</si>
  <si>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</si>
  <si>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</si>
  <si>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</si>
  <si>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</si>
  <si>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</si>
  <si>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</si>
  <si>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</si>
  <si>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</si>
  <si>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</si>
  <si>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</si>
  <si>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</si>
  <si>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</si>
  <si>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</si>
  <si>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</si>
  <si>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</si>
  <si>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</si>
  <si>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</si>
  <si>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</si>
  <si>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</si>
  <si>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</si>
  <si>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</si>
  <si>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</si>
  <si>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</si>
  <si>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</si>
  <si>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</si>
  <si>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</si>
  <si>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</si>
  <si>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</si>
  <si>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</si>
  <si>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</si>
  <si>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</si>
  <si>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</si>
  <si>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</si>
  <si>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</si>
  <si>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</si>
  <si>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</si>
  <si>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</si>
  <si>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</si>
  <si>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</si>
  <si>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</si>
  <si>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</si>
  <si>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</si>
  <si>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</si>
  <si>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</si>
  <si>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</si>
  <si>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</si>
  <si>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</si>
  <si>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</si>
  <si>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</si>
  <si>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</si>
  <si>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</si>
  <si>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</si>
  <si>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</si>
  <si>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</si>
  <si>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</si>
  <si>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</si>
  <si>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</si>
  <si>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</si>
  <si>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</si>
  <si>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</si>
  <si>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</si>
  <si>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</si>
  <si>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</si>
  <si>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</si>
  <si>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</si>
  <si>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</si>
  <si>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</si>
  <si>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</si>
  <si>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</si>
  <si>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</si>
  <si>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</si>
  <si>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</si>
  <si>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</si>
  <si>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</si>
  <si>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</si>
  <si>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</si>
  <si>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</si>
  <si>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</si>
  <si>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</si>
  <si>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</si>
  <si>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</si>
  <si>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</si>
  <si>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</si>
  <si>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</si>
  <si>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</si>
  <si>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</si>
  <si>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</si>
  <si>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</si>
  <si>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</si>
  <si>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</si>
  <si>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</si>
  <si>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</si>
  <si>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</si>
  <si>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</si>
  <si>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</si>
  <si>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</si>
  <si>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</si>
  <si>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</si>
  <si>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</si>
  <si>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</si>
  <si>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</si>
  <si>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</si>
  <si>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</si>
  <si>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</si>
  <si>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</si>
  <si>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</si>
  <si>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</si>
  <si>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</si>
  <si>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</si>
  <si>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</si>
  <si>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</si>
  <si>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</si>
  <si>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</si>
  <si>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</si>
  <si>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</si>
  <si>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</si>
  <si>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</si>
  <si>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</si>
  <si>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</si>
  <si>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</si>
  <si>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</si>
  <si>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</si>
  <si>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</si>
  <si>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</si>
  <si>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</si>
  <si>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</si>
  <si>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</si>
  <si>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</si>
  <si>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</si>
  <si>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</si>
  <si>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</si>
  <si>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</si>
  <si>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</si>
  <si>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</si>
  <si>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</si>
  <si>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</si>
  <si>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</si>
  <si>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</si>
  <si>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</si>
  <si>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</si>
  <si>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</si>
  <si>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</si>
  <si>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</si>
  <si>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</si>
  <si>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</si>
  <si>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</si>
  <si>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</si>
  <si>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</si>
  <si>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</si>
  <si>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</si>
  <si>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</si>
  <si>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</si>
  <si>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</si>
  <si>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</si>
  <si>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</si>
  <si>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</si>
  <si>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</si>
  <si>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</si>
  <si>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</si>
  <si>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</si>
  <si>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</si>
  <si>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</si>
  <si>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</si>
  <si>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</si>
  <si>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</si>
  <si>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</si>
  <si>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</si>
  <si>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</si>
  <si>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</si>
  <si>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</si>
  <si>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</si>
  <si>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</si>
  <si>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</si>
  <si>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</si>
  <si>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</si>
  <si>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</si>
  <si>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</si>
  <si>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</si>
  <si>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</si>
  <si>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</si>
  <si>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</si>
  <si>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</si>
  <si>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</si>
  <si>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</si>
  <si>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</si>
  <si>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</si>
  <si>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</si>
  <si>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</si>
  <si>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</si>
  <si>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</si>
  <si>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</si>
  <si>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</si>
  <si>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</si>
  <si>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</si>
  <si>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</si>
  <si>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</si>
  <si>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</si>
  <si>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</si>
  <si>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</si>
  <si>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</si>
  <si>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</si>
  <si>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</si>
  <si>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</si>
  <si>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</si>
  <si>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</si>
  <si>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</si>
  <si>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</si>
  <si>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</si>
  <si>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</si>
  <si>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</si>
  <si>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</si>
  <si>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</si>
  <si>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</si>
  <si>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</si>
  <si>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</si>
  <si>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</si>
  <si>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</si>
  <si>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</si>
  <si>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</si>
  <si>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</si>
  <si>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</si>
  <si>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</si>
  <si>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</si>
  <si>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</si>
  <si>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</si>
  <si>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</si>
  <si>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</si>
  <si>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</si>
  <si>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</si>
  <si>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</si>
  <si>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</si>
  <si>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</si>
  <si>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</si>
  <si>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</si>
  <si>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</si>
  <si>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</si>
  <si>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</si>
  <si>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</si>
  <si>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</si>
  <si>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</si>
  <si>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</si>
  <si>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</si>
  <si>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</si>
  <si>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</si>
  <si>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</si>
  <si>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</si>
  <si>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</si>
  <si>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</si>
  <si>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</si>
  <si>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</si>
  <si>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</si>
  <si>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</si>
  <si>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</si>
  <si>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</si>
  <si>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</si>
  <si>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</si>
  <si>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</si>
  <si>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</si>
  <si>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</si>
  <si>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</si>
  <si>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</si>
  <si>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</si>
  <si>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</si>
  <si>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</si>
  <si>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</si>
  <si>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</si>
  <si>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</si>
  <si>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</si>
  <si>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</si>
  <si>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</si>
  <si>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</si>
  <si>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</si>
  <si>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</si>
  <si>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</si>
  <si>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</si>
  <si>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</si>
  <si>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</si>
  <si>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</si>
  <si>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</si>
  <si>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</si>
  <si>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</si>
  <si>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</si>
  <si>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</si>
  <si>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</si>
  <si>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</si>
  <si>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</si>
  <si>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</si>
  <si>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</si>
  <si>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</si>
  <si>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</si>
  <si>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</si>
  <si>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</si>
  <si>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</si>
  <si>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</si>
  <si>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</si>
  <si>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</si>
  <si>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</si>
  <si>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</si>
  <si>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</si>
  <si>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</si>
  <si>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</si>
  <si>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</si>
  <si>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</si>
  <si>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</si>
  <si>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</si>
  <si>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</si>
  <si>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</si>
  <si>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</si>
  <si>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</si>
  <si>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</si>
  <si>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</si>
  <si>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</si>
  <si>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</si>
  <si>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</si>
  <si>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</si>
  <si>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</si>
  <si>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</si>
  <si>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</si>
  <si>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</si>
  <si>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</si>
  <si>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</si>
  <si>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</si>
  <si>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</si>
  <si>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</si>
  <si>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</si>
  <si>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</si>
  <si>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</si>
  <si>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</si>
  <si>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</si>
  <si>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</si>
  <si>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</si>
  <si>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</si>
  <si>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</si>
  <si>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</si>
  <si>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</si>
  <si>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</si>
  <si>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</si>
  <si>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</si>
  <si>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</si>
  <si>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</si>
  <si>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</si>
  <si>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</si>
  <si>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</si>
  <si>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</si>
  <si>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</si>
  <si>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</si>
  <si>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</si>
  <si>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</si>
  <si>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</si>
  <si>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</si>
  <si>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</si>
  <si>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</si>
  <si>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</si>
  <si>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</si>
  <si>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</si>
  <si>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</si>
  <si>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</si>
  <si>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</si>
  <si>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</si>
  <si>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</si>
  <si>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</si>
  <si>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</si>
  <si>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</si>
  <si>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</si>
  <si>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</si>
  <si>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</si>
  <si>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</si>
  <si>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</si>
  <si>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</si>
  <si>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</si>
  <si>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</si>
  <si>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</si>
  <si>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</si>
  <si>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</si>
  <si>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</si>
  <si>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</si>
  <si>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</si>
  <si>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</si>
  <si>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</si>
  <si>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</si>
  <si>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</si>
  <si>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</si>
  <si>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</si>
  <si>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</si>
  <si>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</si>
  <si>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</si>
  <si>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Leading tone harmonic octave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</si>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</sst>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5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2" fillId="20" borderId="1" xfId="0" applyNumberFormat="1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3"/>
  <sheetViews>
    <sheetView zoomScale="85" zoomScaleNormal="85" workbookViewId="0">
      <pane ySplit="1" topLeftCell="A39" activePane="bottomLeft" state="frozen"/>
      <selection activeCell="C37" sqref="C37"/>
      <selection pane="bottomLeft" activeCell="G58" sqref="G58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3" t="s">
        <v>63</v>
      </c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4" t="s">
        <v>40</v>
      </c>
      <c r="E2" s="115"/>
      <c r="F2" s="115"/>
      <c r="G2" s="115"/>
      <c r="H2" s="115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2" t="s">
        <v>39</v>
      </c>
      <c r="B3" s="113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2"/>
      <c r="B4" s="113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2"/>
      <c r="B5" s="113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2"/>
      <c r="B6" s="113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437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2"/>
      <c r="B7" s="113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2"/>
      <c r="B8" s="113"/>
      <c r="C8" s="30" t="s">
        <v>395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438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2"/>
      <c r="B9" s="113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2"/>
      <c r="B10" s="113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2"/>
      <c r="B11" s="113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2"/>
      <c r="B12" s="113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2"/>
      <c r="B13" s="113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2"/>
      <c r="B14" s="113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2"/>
      <c r="B15" s="113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2"/>
      <c r="B16" s="113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2"/>
      <c r="B17" s="113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2"/>
      <c r="B18" s="113"/>
      <c r="C18" s="34" t="s">
        <v>257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2"/>
      <c r="B19" s="113"/>
      <c r="C19" s="34" t="s">
        <v>277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278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2"/>
      <c r="B20" s="113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2"/>
      <c r="B21" s="113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2"/>
      <c r="B22" s="113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2"/>
      <c r="B23" s="113"/>
      <c r="C23" s="30" t="s">
        <v>167</v>
      </c>
      <c r="D23" s="68" t="s">
        <v>409</v>
      </c>
      <c r="E23" s="68" t="s">
        <v>411</v>
      </c>
      <c r="F23" s="69" t="s">
        <v>394</v>
      </c>
      <c r="G23" s="69" t="s">
        <v>367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2"/>
      <c r="B24" s="113"/>
      <c r="C24" s="30" t="s">
        <v>168</v>
      </c>
      <c r="D24" s="68" t="s">
        <v>410</v>
      </c>
      <c r="E24" s="68" t="s">
        <v>412</v>
      </c>
      <c r="F24" s="69" t="s">
        <v>366</v>
      </c>
      <c r="G24" s="69" t="s">
        <v>368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2"/>
      <c r="B25" s="113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2"/>
      <c r="B26" s="113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2"/>
      <c r="B27" s="113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2"/>
      <c r="B28" s="118" t="s">
        <v>14</v>
      </c>
      <c r="C28" s="34" t="s">
        <v>384</v>
      </c>
      <c r="D28" s="121" t="s">
        <v>139</v>
      </c>
      <c r="E28" s="122"/>
      <c r="F28" s="121" t="s">
        <v>172</v>
      </c>
      <c r="G28" s="122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2"/>
      <c r="B29" s="120"/>
      <c r="C29" s="34" t="s">
        <v>407</v>
      </c>
      <c r="D29" s="116" t="s">
        <v>385</v>
      </c>
      <c r="E29" s="117"/>
      <c r="F29" s="116" t="s">
        <v>389</v>
      </c>
      <c r="G29" s="117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2"/>
      <c r="B30" s="113" t="s">
        <v>15</v>
      </c>
      <c r="C30" s="34" t="s">
        <v>427</v>
      </c>
      <c r="D30" s="4" t="s">
        <v>429</v>
      </c>
      <c r="E30" s="78" t="s">
        <v>428</v>
      </c>
      <c r="F30" s="75" t="s">
        <v>430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2"/>
      <c r="B31" s="113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391</v>
      </c>
      <c r="I31" s="83" t="s">
        <v>390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2"/>
      <c r="B32" s="113"/>
      <c r="C32" s="3" t="s">
        <v>24</v>
      </c>
      <c r="D32" s="71" t="s">
        <v>379</v>
      </c>
      <c r="E32" s="68" t="s">
        <v>380</v>
      </c>
      <c r="F32" s="68" t="s">
        <v>381</v>
      </c>
      <c r="G32" s="68" t="s">
        <v>382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2"/>
      <c r="B33" s="113"/>
      <c r="C33" s="3" t="s">
        <v>146</v>
      </c>
      <c r="D33" s="71" t="s">
        <v>371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2"/>
      <c r="B34" s="113"/>
      <c r="C34" s="36" t="s">
        <v>166</v>
      </c>
      <c r="D34" s="19" t="s">
        <v>375</v>
      </c>
      <c r="E34" s="68" t="s">
        <v>374</v>
      </c>
      <c r="F34" s="71" t="s">
        <v>512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2"/>
      <c r="B35" s="113"/>
      <c r="C35" s="30" t="s">
        <v>501</v>
      </c>
      <c r="D35" s="69" t="s">
        <v>502</v>
      </c>
      <c r="E35" s="99" t="s">
        <v>503</v>
      </c>
      <c r="F35" s="69" t="s">
        <v>504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2"/>
      <c r="B36" s="118" t="s">
        <v>567</v>
      </c>
      <c r="C36" s="34" t="s">
        <v>566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563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2"/>
      <c r="B37" s="119"/>
      <c r="C37" s="34" t="s">
        <v>498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560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2"/>
      <c r="B38" s="118" t="s">
        <v>568</v>
      </c>
      <c r="C38" s="34" t="s">
        <v>566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563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2"/>
      <c r="B39" s="119"/>
      <c r="C39" s="34" t="s">
        <v>561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563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2"/>
      <c r="B40" s="119"/>
      <c r="C40" s="34" t="s">
        <v>562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564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2"/>
      <c r="B41" s="119"/>
      <c r="C41" s="34" t="s">
        <v>498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560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2"/>
      <c r="B42" s="120"/>
      <c r="C42" s="34" t="s">
        <v>499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565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2"/>
      <c r="B43" s="113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2"/>
      <c r="B44" s="113"/>
      <c r="C44" s="34" t="s">
        <v>17</v>
      </c>
      <c r="D44" s="72" t="s">
        <v>151</v>
      </c>
      <c r="E44" s="73" t="s">
        <v>388</v>
      </c>
      <c r="F44" s="73" t="s">
        <v>386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2"/>
      <c r="B45" s="113"/>
      <c r="C45" s="3" t="s">
        <v>520</v>
      </c>
      <c r="D45" s="69" t="s">
        <v>376</v>
      </c>
      <c r="E45" s="99" t="s">
        <v>473</v>
      </c>
      <c r="F45" s="69" t="s">
        <v>521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2"/>
      <c r="B46" s="113"/>
      <c r="C46" s="34" t="s">
        <v>156</v>
      </c>
      <c r="D46" s="69" t="s">
        <v>376</v>
      </c>
      <c r="E46" s="99" t="s">
        <v>509</v>
      </c>
      <c r="F46" s="69" t="s">
        <v>387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2"/>
      <c r="B47" s="113"/>
      <c r="C47" s="34" t="s">
        <v>362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2" t="s">
        <v>41</v>
      </c>
      <c r="B48" s="113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2"/>
      <c r="B49" s="113"/>
      <c r="C49" s="34" t="s">
        <v>20</v>
      </c>
      <c r="D49" s="74" t="s">
        <v>419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2"/>
      <c r="B50" s="113"/>
      <c r="C50" s="3" t="s">
        <v>447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401</v>
      </c>
      <c r="O50" s="2">
        <v>194</v>
      </c>
      <c r="P50" s="2">
        <v>195</v>
      </c>
      <c r="Q50" s="2"/>
    </row>
    <row r="51" spans="1:21" x14ac:dyDescent="0.25">
      <c r="A51" s="112"/>
      <c r="B51" s="113"/>
      <c r="C51" s="34" t="s">
        <v>400</v>
      </c>
      <c r="D51" s="4" t="s">
        <v>547</v>
      </c>
      <c r="E51" s="7" t="s">
        <v>465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2"/>
      <c r="B52" s="113"/>
      <c r="C52" s="3" t="s">
        <v>405</v>
      </c>
      <c r="D52" s="71" t="s">
        <v>444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2"/>
      <c r="B53" s="113"/>
      <c r="C53" s="3" t="s">
        <v>402</v>
      </c>
      <c r="D53" s="102" t="s">
        <v>529</v>
      </c>
      <c r="E53" s="103" t="s">
        <v>466</v>
      </c>
      <c r="F53" s="103" t="s">
        <v>467</v>
      </c>
      <c r="G53" s="80" t="s">
        <v>579</v>
      </c>
      <c r="H53" s="80" t="s">
        <v>105</v>
      </c>
      <c r="I53" s="80" t="s">
        <v>106</v>
      </c>
      <c r="J53" s="80" t="s">
        <v>593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2"/>
      <c r="B54" s="113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433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2"/>
      <c r="B55" s="113" t="s">
        <v>571</v>
      </c>
      <c r="C55" s="34" t="s">
        <v>531</v>
      </c>
      <c r="D55" s="4" t="s">
        <v>530</v>
      </c>
      <c r="E55" s="75" t="s">
        <v>533</v>
      </c>
      <c r="F55" s="77" t="s">
        <v>295</v>
      </c>
      <c r="G55" s="3"/>
      <c r="H55" s="3"/>
      <c r="I55" s="3"/>
      <c r="J55" s="3"/>
      <c r="K55" s="3"/>
      <c r="L55" s="11"/>
      <c r="M55" s="22" t="s">
        <v>555</v>
      </c>
      <c r="O55" s="2">
        <v>49</v>
      </c>
      <c r="P55" s="2">
        <v>90</v>
      </c>
      <c r="Q55" s="2">
        <v>33</v>
      </c>
    </row>
    <row r="56" spans="1:21" x14ac:dyDescent="0.25">
      <c r="A56" s="112"/>
      <c r="B56" s="113"/>
      <c r="C56" s="34" t="s">
        <v>73</v>
      </c>
      <c r="D56" s="19" t="s">
        <v>536</v>
      </c>
      <c r="E56" s="19" t="s">
        <v>537</v>
      </c>
      <c r="F56" s="3"/>
      <c r="G56" s="3"/>
      <c r="H56" s="3"/>
      <c r="I56" s="3"/>
      <c r="J56" s="3"/>
      <c r="K56" s="3"/>
      <c r="L56" s="4"/>
      <c r="M56" s="22" t="s">
        <v>555</v>
      </c>
      <c r="O56" s="2">
        <v>14</v>
      </c>
      <c r="P56" s="2">
        <v>34</v>
      </c>
    </row>
    <row r="57" spans="1:21" x14ac:dyDescent="0.25">
      <c r="A57" s="112"/>
      <c r="B57" s="113"/>
      <c r="C57" s="34" t="s">
        <v>74</v>
      </c>
      <c r="D57" s="21" t="s">
        <v>535</v>
      </c>
      <c r="E57" s="80" t="s">
        <v>534</v>
      </c>
      <c r="F57" s="3"/>
      <c r="G57" s="3"/>
      <c r="H57" s="3"/>
      <c r="I57" s="3"/>
      <c r="J57" s="3"/>
      <c r="K57" s="3"/>
      <c r="L57" s="58"/>
      <c r="M57" s="22" t="s">
        <v>555</v>
      </c>
      <c r="O57" s="2">
        <v>51</v>
      </c>
      <c r="P57" s="2">
        <v>13</v>
      </c>
    </row>
    <row r="58" spans="1:21" x14ac:dyDescent="0.25">
      <c r="A58" s="112"/>
      <c r="B58" s="113"/>
      <c r="C58" s="3" t="s">
        <v>570</v>
      </c>
      <c r="D58" s="78" t="s">
        <v>577</v>
      </c>
      <c r="E58" s="78" t="s">
        <v>576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2"/>
      <c r="B59" s="113"/>
      <c r="C59" s="34" t="s">
        <v>75</v>
      </c>
      <c r="D59" s="77" t="s">
        <v>532</v>
      </c>
      <c r="E59" s="3"/>
      <c r="F59" s="3"/>
      <c r="G59" s="3"/>
      <c r="H59" s="3"/>
      <c r="I59" s="3"/>
      <c r="J59" s="3"/>
      <c r="K59" s="3"/>
      <c r="L59" s="14"/>
      <c r="M59" s="22" t="s">
        <v>555</v>
      </c>
      <c r="O59" s="26">
        <v>50</v>
      </c>
      <c r="P59" s="2"/>
      <c r="Q59" s="26"/>
    </row>
    <row r="60" spans="1:21" x14ac:dyDescent="0.25">
      <c r="A60" s="27"/>
      <c r="B60" s="113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3"/>
      <c r="C61" s="3" t="s">
        <v>515</v>
      </c>
      <c r="D61" s="68" t="s">
        <v>517</v>
      </c>
      <c r="E61" s="68" t="s">
        <v>516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3"/>
      <c r="C62" s="34" t="s">
        <v>159</v>
      </c>
      <c r="D62" s="68" t="s">
        <v>514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3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3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3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3"/>
      <c r="C66" s="34" t="s">
        <v>584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3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3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454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3"/>
      <c r="C69" s="3" t="s">
        <v>587</v>
      </c>
      <c r="D69" s="78" t="s">
        <v>456</v>
      </c>
      <c r="E69" s="78" t="s">
        <v>455</v>
      </c>
      <c r="F69" s="3"/>
      <c r="G69" s="3"/>
      <c r="H69" s="3"/>
      <c r="I69" s="3"/>
      <c r="J69" s="3"/>
      <c r="K69" s="3"/>
      <c r="L69" s="58"/>
      <c r="M69" s="57" t="s">
        <v>590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3"/>
      <c r="C70" s="34" t="s">
        <v>212</v>
      </c>
      <c r="D70" s="4" t="s">
        <v>458</v>
      </c>
      <c r="E70" s="75" t="s">
        <v>69</v>
      </c>
      <c r="F70" s="75" t="s">
        <v>446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3"/>
      <c r="C71" s="36" t="s">
        <v>214</v>
      </c>
      <c r="D71" s="4" t="s">
        <v>211</v>
      </c>
      <c r="E71" s="4" t="s">
        <v>583</v>
      </c>
      <c r="F71" s="80" t="s">
        <v>507</v>
      </c>
      <c r="G71" s="4" t="s">
        <v>574</v>
      </c>
      <c r="H71" s="75" t="s">
        <v>421</v>
      </c>
      <c r="I71" s="75" t="s">
        <v>65</v>
      </c>
      <c r="J71" s="4" t="s">
        <v>130</v>
      </c>
      <c r="K71" s="75" t="s">
        <v>213</v>
      </c>
      <c r="L71" s="14"/>
      <c r="M71" s="22" t="s">
        <v>453</v>
      </c>
      <c r="O71" s="2">
        <v>248</v>
      </c>
      <c r="P71" s="2">
        <v>376</v>
      </c>
      <c r="Q71" s="26">
        <v>347</v>
      </c>
      <c r="R71" s="2">
        <v>374</v>
      </c>
      <c r="S71" s="2">
        <v>315</v>
      </c>
      <c r="T71" s="2">
        <v>316</v>
      </c>
      <c r="U71" s="2">
        <v>249</v>
      </c>
      <c r="V71" s="2">
        <v>250</v>
      </c>
    </row>
    <row r="72" spans="1:22" x14ac:dyDescent="0.25">
      <c r="A72" s="111"/>
      <c r="B72" s="113"/>
      <c r="C72" s="3" t="s">
        <v>591</v>
      </c>
      <c r="D72" s="78" t="s">
        <v>197</v>
      </c>
      <c r="E72" s="78" t="s">
        <v>199</v>
      </c>
      <c r="F72" s="78" t="s">
        <v>592</v>
      </c>
      <c r="G72" s="78" t="s">
        <v>210</v>
      </c>
      <c r="H72" s="3"/>
      <c r="I72" s="3"/>
      <c r="J72" s="3"/>
      <c r="K72" s="3"/>
      <c r="L72" s="14"/>
      <c r="M72" s="22"/>
      <c r="O72" s="2">
        <v>379</v>
      </c>
      <c r="P72" s="2">
        <v>380</v>
      </c>
      <c r="Q72" s="2">
        <v>381</v>
      </c>
      <c r="R72" s="2">
        <v>382</v>
      </c>
      <c r="S72" s="2"/>
      <c r="T72" s="2"/>
      <c r="U72" s="2"/>
      <c r="V72" s="2"/>
    </row>
    <row r="73" spans="1:22" x14ac:dyDescent="0.25">
      <c r="A73" s="38"/>
      <c r="B73" s="113"/>
      <c r="C73" s="34" t="s">
        <v>173</v>
      </c>
      <c r="D73" s="4" t="s">
        <v>175</v>
      </c>
      <c r="E73" s="8" t="s">
        <v>176</v>
      </c>
      <c r="F73" s="76">
        <v>5</v>
      </c>
      <c r="G73" s="10">
        <v>8</v>
      </c>
      <c r="H73" s="3"/>
      <c r="I73" s="3"/>
      <c r="J73" s="3"/>
      <c r="K73" s="3"/>
      <c r="L73" s="4"/>
      <c r="M73" s="22" t="s">
        <v>177</v>
      </c>
      <c r="O73" s="2">
        <v>208</v>
      </c>
      <c r="P73" s="2">
        <v>209</v>
      </c>
      <c r="Q73" s="2">
        <v>210</v>
      </c>
      <c r="R73" s="2">
        <v>211</v>
      </c>
      <c r="S73" s="2"/>
      <c r="T73" s="2"/>
      <c r="U73" s="2"/>
    </row>
    <row r="74" spans="1:22" x14ac:dyDescent="0.25">
      <c r="A74" s="38"/>
      <c r="B74" s="113"/>
      <c r="C74" s="34" t="s">
        <v>174</v>
      </c>
      <c r="D74" s="78" t="s">
        <v>175</v>
      </c>
      <c r="E74" s="76" t="s">
        <v>176</v>
      </c>
      <c r="F74" s="76">
        <v>5</v>
      </c>
      <c r="G74" s="75">
        <v>8</v>
      </c>
      <c r="H74" s="3"/>
      <c r="I74" s="3"/>
      <c r="J74" s="3"/>
      <c r="K74" s="3"/>
      <c r="L74" s="58"/>
      <c r="M74" s="22" t="s">
        <v>178</v>
      </c>
      <c r="O74" s="2">
        <v>212</v>
      </c>
      <c r="P74" s="2">
        <v>213</v>
      </c>
      <c r="Q74" s="2">
        <v>214</v>
      </c>
      <c r="R74" s="2">
        <v>215</v>
      </c>
      <c r="S74" s="2"/>
      <c r="T74" s="2"/>
      <c r="U74" s="2"/>
    </row>
    <row r="75" spans="1:22" x14ac:dyDescent="0.25">
      <c r="A75" s="100"/>
      <c r="B75" s="113"/>
      <c r="C75" s="34" t="s">
        <v>179</v>
      </c>
      <c r="D75" s="75" t="s">
        <v>184</v>
      </c>
      <c r="E75" s="78" t="s">
        <v>183</v>
      </c>
      <c r="F75" s="75" t="s">
        <v>182</v>
      </c>
      <c r="G75" s="3"/>
      <c r="H75" s="3"/>
      <c r="I75" s="3"/>
      <c r="J75" s="3"/>
      <c r="K75" s="3"/>
      <c r="L75" s="11"/>
      <c r="M75" s="22"/>
      <c r="O75" s="2">
        <v>216</v>
      </c>
      <c r="P75" s="2">
        <v>217</v>
      </c>
      <c r="Q75" s="2">
        <v>218</v>
      </c>
      <c r="T75" s="2"/>
      <c r="U75" s="2"/>
      <c r="V75" s="2"/>
    </row>
    <row r="76" spans="1:22" x14ac:dyDescent="0.25">
      <c r="A76" s="39"/>
      <c r="B76" s="113"/>
      <c r="C76" s="34" t="s">
        <v>179</v>
      </c>
      <c r="D76" s="40" t="s">
        <v>185</v>
      </c>
      <c r="E76" s="75" t="s">
        <v>181</v>
      </c>
      <c r="F76" s="77" t="s">
        <v>50</v>
      </c>
      <c r="G76" s="77" t="s">
        <v>180</v>
      </c>
      <c r="H76" s="77" t="s">
        <v>337</v>
      </c>
      <c r="I76" s="75" t="s">
        <v>335</v>
      </c>
      <c r="J76" s="3"/>
      <c r="L76" s="11"/>
      <c r="M76" s="22"/>
      <c r="O76" s="2">
        <v>222</v>
      </c>
      <c r="P76" s="2">
        <v>219</v>
      </c>
      <c r="Q76" s="2">
        <v>220</v>
      </c>
      <c r="R76" s="2">
        <v>221</v>
      </c>
      <c r="S76" s="2">
        <v>291</v>
      </c>
      <c r="T76" s="2">
        <v>286</v>
      </c>
    </row>
    <row r="77" spans="1:22" x14ac:dyDescent="0.25">
      <c r="A77" s="55"/>
      <c r="B77" s="113"/>
      <c r="C77" s="34" t="s">
        <v>332</v>
      </c>
      <c r="D77" s="40" t="s">
        <v>527</v>
      </c>
      <c r="E77" s="40" t="s">
        <v>528</v>
      </c>
      <c r="F77" s="40" t="s">
        <v>350</v>
      </c>
      <c r="G77" s="40" t="s">
        <v>351</v>
      </c>
      <c r="H77" s="75" t="s">
        <v>349</v>
      </c>
      <c r="I77" s="77" t="s">
        <v>348</v>
      </c>
      <c r="J77" s="3"/>
      <c r="K77" s="3"/>
      <c r="L77" s="14"/>
      <c r="M77" s="22"/>
      <c r="O77" s="2">
        <v>296</v>
      </c>
      <c r="P77" s="2">
        <v>136</v>
      </c>
      <c r="Q77" s="2">
        <v>137</v>
      </c>
      <c r="R77" s="2">
        <v>138</v>
      </c>
      <c r="S77" s="2">
        <v>292</v>
      </c>
      <c r="T77" s="2">
        <v>295</v>
      </c>
    </row>
    <row r="78" spans="1:22" x14ac:dyDescent="0.25">
      <c r="A78" s="29"/>
      <c r="B78" s="113"/>
      <c r="C78" s="34" t="s">
        <v>68</v>
      </c>
      <c r="D78" s="77" t="s">
        <v>556</v>
      </c>
      <c r="E78" s="77" t="s">
        <v>65</v>
      </c>
      <c r="F78" s="75" t="s">
        <v>471</v>
      </c>
      <c r="G78" s="77" t="s">
        <v>339</v>
      </c>
      <c r="H78" s="40" t="s">
        <v>461</v>
      </c>
      <c r="I78" s="3"/>
      <c r="J78" s="3"/>
      <c r="K78" s="3"/>
      <c r="L78" s="4"/>
      <c r="M78" s="22"/>
      <c r="O78" s="2">
        <v>359</v>
      </c>
      <c r="P78" s="2">
        <v>83</v>
      </c>
      <c r="Q78" s="2">
        <v>223</v>
      </c>
      <c r="R78" s="2">
        <v>224</v>
      </c>
      <c r="S78" s="2">
        <v>331</v>
      </c>
    </row>
    <row r="79" spans="1:22" x14ac:dyDescent="0.25">
      <c r="A79" s="27"/>
      <c r="B79" s="113"/>
      <c r="C79" s="34" t="s">
        <v>129</v>
      </c>
      <c r="D79" s="19" t="s">
        <v>130</v>
      </c>
      <c r="E79" s="75" t="s">
        <v>180</v>
      </c>
      <c r="F79" s="75" t="s">
        <v>299</v>
      </c>
      <c r="H79" s="3"/>
      <c r="I79" s="3"/>
      <c r="J79" s="3"/>
      <c r="K79" s="3"/>
      <c r="L79" s="58"/>
      <c r="M79" s="22"/>
      <c r="O79" s="2">
        <v>169</v>
      </c>
      <c r="P79" s="2">
        <v>187</v>
      </c>
      <c r="Q79" s="2">
        <v>276</v>
      </c>
    </row>
    <row r="80" spans="1:22" x14ac:dyDescent="0.25">
      <c r="A80" s="27"/>
      <c r="B80" s="113"/>
      <c r="C80" s="3" t="s">
        <v>79</v>
      </c>
      <c r="D80" s="92">
        <v>3</v>
      </c>
      <c r="E80" s="69" t="s">
        <v>53</v>
      </c>
      <c r="F80" s="3"/>
      <c r="G80" s="3"/>
      <c r="H80" s="3"/>
      <c r="I80" s="3"/>
      <c r="J80" s="3"/>
      <c r="K80" s="3"/>
      <c r="L80" s="11"/>
      <c r="M80" s="22" t="s">
        <v>80</v>
      </c>
      <c r="O80" s="2">
        <v>89</v>
      </c>
      <c r="P80" s="2">
        <v>96</v>
      </c>
    </row>
    <row r="81" spans="1:22" x14ac:dyDescent="0.25">
      <c r="A81" s="27"/>
      <c r="B81" s="113"/>
      <c r="C81" s="34" t="s">
        <v>523</v>
      </c>
      <c r="D81" s="19" t="s">
        <v>538</v>
      </c>
      <c r="E81" s="19" t="s">
        <v>539</v>
      </c>
      <c r="F81" s="80" t="s">
        <v>540</v>
      </c>
      <c r="G81" s="76" t="s">
        <v>541</v>
      </c>
      <c r="H81" s="77" t="s">
        <v>295</v>
      </c>
      <c r="I81" s="3"/>
      <c r="J81" s="3"/>
      <c r="K81" s="3"/>
      <c r="L81" s="14"/>
      <c r="M81" s="22"/>
      <c r="O81" s="2">
        <v>268</v>
      </c>
      <c r="P81" s="2">
        <v>269</v>
      </c>
      <c r="Q81" s="2">
        <v>270</v>
      </c>
      <c r="R81" s="25">
        <v>271</v>
      </c>
      <c r="S81" s="25">
        <v>272</v>
      </c>
      <c r="T81" s="25"/>
      <c r="U81" s="25"/>
    </row>
    <row r="82" spans="1:22" x14ac:dyDescent="0.25">
      <c r="A82" s="104"/>
      <c r="B82" s="113"/>
      <c r="C82" s="34" t="s">
        <v>524</v>
      </c>
      <c r="D82" s="19" t="s">
        <v>538</v>
      </c>
      <c r="E82" s="19" t="s">
        <v>539</v>
      </c>
      <c r="F82" s="7" t="s">
        <v>540</v>
      </c>
      <c r="G82" s="76" t="s">
        <v>541</v>
      </c>
      <c r="H82" s="77" t="s">
        <v>295</v>
      </c>
      <c r="I82" s="3"/>
      <c r="J82" s="3"/>
      <c r="K82" s="3"/>
      <c r="L82" s="14"/>
      <c r="M82" s="22"/>
      <c r="O82" s="2">
        <v>354</v>
      </c>
      <c r="P82" s="2">
        <v>355</v>
      </c>
      <c r="Q82" s="2">
        <v>356</v>
      </c>
      <c r="R82" s="25">
        <v>357</v>
      </c>
      <c r="S82" s="25">
        <v>358</v>
      </c>
      <c r="T82" s="25"/>
      <c r="U82" s="25"/>
    </row>
    <row r="83" spans="1:22" x14ac:dyDescent="0.25">
      <c r="A83" s="46"/>
      <c r="B83" s="113"/>
      <c r="C83" s="34" t="s">
        <v>296</v>
      </c>
      <c r="D83" s="78" t="s">
        <v>298</v>
      </c>
      <c r="E83" s="3"/>
      <c r="F83" s="3"/>
      <c r="G83" s="3"/>
      <c r="H83" s="3"/>
      <c r="I83" s="3"/>
      <c r="J83" s="3"/>
      <c r="K83" s="3"/>
      <c r="L83" s="4"/>
      <c r="M83" s="22"/>
      <c r="O83" s="2">
        <v>273</v>
      </c>
      <c r="P83" s="2"/>
      <c r="Q83" s="2"/>
      <c r="R83" s="25"/>
      <c r="S83" s="25"/>
      <c r="T83" s="25"/>
      <c r="U83" s="25"/>
    </row>
    <row r="84" spans="1:22" x14ac:dyDescent="0.25">
      <c r="A84" s="27"/>
      <c r="B84" s="113"/>
      <c r="C84" s="34" t="s">
        <v>76</v>
      </c>
      <c r="D84" s="75" t="s">
        <v>305</v>
      </c>
      <c r="E84" s="75" t="s">
        <v>303</v>
      </c>
      <c r="F84" s="75" t="s">
        <v>304</v>
      </c>
      <c r="G84" s="3"/>
      <c r="H84" s="3"/>
      <c r="I84" s="3"/>
      <c r="J84" s="3"/>
      <c r="K84" s="3"/>
      <c r="L84" s="58"/>
      <c r="M84" s="22"/>
      <c r="O84" s="2">
        <v>91</v>
      </c>
      <c r="P84" s="2">
        <v>275</v>
      </c>
      <c r="Q84" s="2">
        <v>277</v>
      </c>
    </row>
    <row r="85" spans="1:22" x14ac:dyDescent="0.25">
      <c r="A85" s="27"/>
      <c r="B85" s="113"/>
      <c r="C85" s="34" t="s">
        <v>426</v>
      </c>
      <c r="D85" s="80" t="s">
        <v>543</v>
      </c>
      <c r="E85" s="80" t="s">
        <v>542</v>
      </c>
      <c r="F85" s="80" t="s">
        <v>425</v>
      </c>
      <c r="G85" s="80" t="s">
        <v>522</v>
      </c>
      <c r="H85" s="80" t="s">
        <v>448</v>
      </c>
      <c r="I85" s="80" t="s">
        <v>481</v>
      </c>
      <c r="J85" s="3"/>
      <c r="K85" s="3"/>
      <c r="L85" s="11"/>
      <c r="M85" s="22"/>
      <c r="O85" s="2">
        <v>47</v>
      </c>
      <c r="P85" s="2">
        <v>75</v>
      </c>
      <c r="Q85" s="2">
        <v>317</v>
      </c>
      <c r="R85" s="25">
        <v>318</v>
      </c>
      <c r="S85" s="25">
        <v>322</v>
      </c>
      <c r="T85" s="25">
        <v>335</v>
      </c>
    </row>
    <row r="86" spans="1:22" x14ac:dyDescent="0.25">
      <c r="A86" s="27"/>
      <c r="B86" s="113"/>
      <c r="C86" s="3" t="s">
        <v>137</v>
      </c>
      <c r="D86" s="59" t="s">
        <v>186</v>
      </c>
      <c r="E86" s="77" t="s">
        <v>115</v>
      </c>
      <c r="F86" s="3"/>
      <c r="H86" s="3"/>
      <c r="I86" s="3"/>
      <c r="J86" s="3"/>
      <c r="K86" s="3"/>
      <c r="L86" s="14"/>
      <c r="M86" s="22"/>
      <c r="O86" s="2">
        <v>225</v>
      </c>
      <c r="P86" s="2">
        <v>30</v>
      </c>
      <c r="Q86" s="2"/>
    </row>
    <row r="87" spans="1:22" x14ac:dyDescent="0.25">
      <c r="A87" s="29"/>
      <c r="B87" s="113"/>
      <c r="C87" s="30" t="s">
        <v>162</v>
      </c>
      <c r="D87" s="78">
        <v>1</v>
      </c>
      <c r="E87" s="76">
        <v>2</v>
      </c>
      <c r="F87" s="75" t="s">
        <v>52</v>
      </c>
      <c r="G87" s="3"/>
      <c r="H87" s="3"/>
      <c r="I87" s="3"/>
      <c r="J87" s="3"/>
      <c r="K87" s="3"/>
      <c r="L87" s="4"/>
      <c r="M87" s="22" t="s">
        <v>135</v>
      </c>
      <c r="O87" s="2">
        <v>93</v>
      </c>
      <c r="P87" s="2">
        <v>94</v>
      </c>
      <c r="Q87" s="2">
        <v>95</v>
      </c>
      <c r="T87" s="2"/>
    </row>
    <row r="88" spans="1:22" x14ac:dyDescent="0.25">
      <c r="A88" s="29"/>
      <c r="B88" s="113"/>
      <c r="C88" s="30" t="s">
        <v>138</v>
      </c>
      <c r="D88" s="59">
        <v>1</v>
      </c>
      <c r="E88" s="8">
        <v>2</v>
      </c>
      <c r="F88" s="75" t="s">
        <v>52</v>
      </c>
      <c r="G88" s="3"/>
      <c r="H88" s="3"/>
      <c r="I88" s="3"/>
      <c r="J88" s="3"/>
      <c r="K88" s="3"/>
      <c r="L88" s="58"/>
      <c r="M88" s="22" t="s">
        <v>136</v>
      </c>
      <c r="O88" s="2">
        <v>188</v>
      </c>
      <c r="P88" s="2">
        <v>189</v>
      </c>
      <c r="Q88" s="2">
        <v>190</v>
      </c>
      <c r="R88" s="2"/>
      <c r="S88" s="2"/>
      <c r="T88" s="2"/>
    </row>
    <row r="89" spans="1:22" x14ac:dyDescent="0.25">
      <c r="A89" s="27"/>
      <c r="B89" s="113"/>
      <c r="C89" s="34" t="s">
        <v>92</v>
      </c>
      <c r="D89" s="75" t="s">
        <v>93</v>
      </c>
      <c r="E89" s="3"/>
      <c r="F89" s="3"/>
      <c r="G89" s="3"/>
      <c r="H89" s="3"/>
      <c r="I89" s="3"/>
      <c r="J89" s="3"/>
      <c r="K89" s="3"/>
      <c r="L89" s="11"/>
      <c r="M89" s="22"/>
      <c r="O89" s="2">
        <v>24</v>
      </c>
    </row>
    <row r="90" spans="1:22" x14ac:dyDescent="0.25">
      <c r="A90" s="27"/>
      <c r="B90" s="113"/>
      <c r="C90" s="3" t="s">
        <v>95</v>
      </c>
      <c r="D90" s="64" t="s">
        <v>134</v>
      </c>
      <c r="E90" s="66" t="s">
        <v>133</v>
      </c>
      <c r="F90" s="28"/>
      <c r="G90" s="28"/>
      <c r="H90" s="28"/>
      <c r="I90" s="3"/>
      <c r="J90" s="3"/>
      <c r="K90" s="3"/>
      <c r="L90" s="14"/>
      <c r="M90" s="22"/>
      <c r="O90" s="2">
        <v>35</v>
      </c>
      <c r="P90" s="2">
        <v>46</v>
      </c>
    </row>
    <row r="91" spans="1:22" x14ac:dyDescent="0.25">
      <c r="A91" s="43"/>
      <c r="B91" s="118" t="s">
        <v>249</v>
      </c>
      <c r="C91" s="3" t="s">
        <v>250</v>
      </c>
      <c r="D91" s="4" t="s">
        <v>319</v>
      </c>
      <c r="E91" s="10" t="s">
        <v>251</v>
      </c>
      <c r="F91" s="75" t="s">
        <v>457</v>
      </c>
      <c r="G91" s="75" t="s">
        <v>252</v>
      </c>
      <c r="H91" s="8" t="s">
        <v>253</v>
      </c>
      <c r="I91" s="3"/>
      <c r="J91" s="3"/>
      <c r="K91" s="3"/>
      <c r="L91" s="4"/>
      <c r="M91" s="22"/>
      <c r="O91" s="2">
        <v>256</v>
      </c>
      <c r="P91" s="2">
        <v>257</v>
      </c>
      <c r="Q91" s="25">
        <v>327</v>
      </c>
      <c r="R91" s="25">
        <v>259</v>
      </c>
      <c r="S91" s="25">
        <v>261</v>
      </c>
      <c r="T91" s="25"/>
    </row>
    <row r="92" spans="1:22" x14ac:dyDescent="0.25">
      <c r="A92" s="55"/>
      <c r="B92" s="119"/>
      <c r="C92" s="3" t="s">
        <v>250</v>
      </c>
      <c r="D92" s="8" t="s">
        <v>439</v>
      </c>
      <c r="E92" s="75" t="s">
        <v>254</v>
      </c>
      <c r="F92" s="10" t="s">
        <v>255</v>
      </c>
      <c r="G92" s="8" t="s">
        <v>256</v>
      </c>
      <c r="H92" s="8" t="s">
        <v>314</v>
      </c>
      <c r="I92" s="8" t="s">
        <v>313</v>
      </c>
      <c r="J92" s="3"/>
      <c r="K92" s="3"/>
      <c r="L92" s="58"/>
      <c r="M92" s="22"/>
      <c r="O92" s="2">
        <v>323</v>
      </c>
      <c r="P92" s="2">
        <v>263</v>
      </c>
      <c r="Q92" s="2">
        <v>264</v>
      </c>
      <c r="R92" s="25">
        <v>265</v>
      </c>
      <c r="S92" s="25">
        <v>266</v>
      </c>
      <c r="T92" s="25">
        <v>279</v>
      </c>
    </row>
    <row r="93" spans="1:22" x14ac:dyDescent="0.25">
      <c r="A93" s="55"/>
      <c r="B93" s="119"/>
      <c r="C93" s="3" t="s">
        <v>317</v>
      </c>
      <c r="D93" s="4" t="s">
        <v>319</v>
      </c>
      <c r="E93" s="10" t="s">
        <v>251</v>
      </c>
      <c r="F93" s="75" t="s">
        <v>457</v>
      </c>
      <c r="G93" s="75" t="s">
        <v>252</v>
      </c>
      <c r="H93" s="68" t="s">
        <v>321</v>
      </c>
      <c r="I93" s="76" t="s">
        <v>496</v>
      </c>
      <c r="J93" s="3"/>
      <c r="K93" s="3"/>
      <c r="L93" s="11"/>
      <c r="M93" s="22"/>
      <c r="O93" s="2">
        <v>258</v>
      </c>
      <c r="P93" s="2">
        <v>280</v>
      </c>
      <c r="Q93" s="2">
        <v>328</v>
      </c>
      <c r="R93" s="2">
        <v>281</v>
      </c>
      <c r="S93" s="25">
        <v>260</v>
      </c>
      <c r="T93" s="25">
        <v>97</v>
      </c>
    </row>
    <row r="94" spans="1:22" x14ac:dyDescent="0.25">
      <c r="A94" s="55"/>
      <c r="B94" s="119"/>
      <c r="C94" s="3" t="s">
        <v>330</v>
      </c>
      <c r="D94" s="4" t="s">
        <v>331</v>
      </c>
      <c r="E94" s="76" t="s">
        <v>353</v>
      </c>
      <c r="F94" s="76" t="s">
        <v>69</v>
      </c>
      <c r="G94" s="3"/>
      <c r="H94" s="3"/>
      <c r="I94" s="3"/>
      <c r="J94" s="3"/>
      <c r="K94" s="3"/>
      <c r="L94" s="14"/>
      <c r="M94" s="22" t="s">
        <v>369</v>
      </c>
      <c r="O94" s="2">
        <v>282</v>
      </c>
      <c r="P94" s="2">
        <v>297</v>
      </c>
      <c r="Q94" s="2">
        <v>298</v>
      </c>
      <c r="R94" s="25"/>
      <c r="S94" s="25"/>
    </row>
    <row r="95" spans="1:22" x14ac:dyDescent="0.25">
      <c r="A95" s="55"/>
      <c r="B95" s="119"/>
      <c r="C95" s="34" t="s">
        <v>338</v>
      </c>
      <c r="D95" s="4" t="s">
        <v>319</v>
      </c>
      <c r="E95" s="76" t="s">
        <v>347</v>
      </c>
      <c r="F95" s="8" t="s">
        <v>345</v>
      </c>
      <c r="G95" s="76" t="s">
        <v>346</v>
      </c>
      <c r="H95" s="75" t="s">
        <v>77</v>
      </c>
      <c r="I95" s="75" t="s">
        <v>474</v>
      </c>
      <c r="J95" s="75" t="s">
        <v>477</v>
      </c>
      <c r="K95" s="8" t="s">
        <v>180</v>
      </c>
      <c r="L95" s="4"/>
      <c r="M95" s="15"/>
      <c r="O95" s="2">
        <v>287</v>
      </c>
      <c r="P95" s="2">
        <v>294</v>
      </c>
      <c r="Q95" s="2">
        <v>293</v>
      </c>
      <c r="R95" s="2">
        <v>288</v>
      </c>
      <c r="S95" s="25">
        <v>290</v>
      </c>
      <c r="T95" s="25">
        <v>333</v>
      </c>
      <c r="U95" s="25">
        <v>334</v>
      </c>
      <c r="V95" s="2">
        <v>289</v>
      </c>
    </row>
    <row r="96" spans="1:22" x14ac:dyDescent="0.25">
      <c r="A96" s="43"/>
      <c r="B96" s="120"/>
      <c r="C96" s="44" t="s">
        <v>322</v>
      </c>
      <c r="D96" s="88" t="s">
        <v>319</v>
      </c>
      <c r="E96" s="89" t="s">
        <v>130</v>
      </c>
      <c r="F96" s="89" t="s">
        <v>324</v>
      </c>
      <c r="G96" s="89" t="s">
        <v>323</v>
      </c>
      <c r="H96" s="3"/>
      <c r="I96" s="3"/>
      <c r="J96" s="3"/>
      <c r="K96" s="3"/>
      <c r="L96" s="58"/>
      <c r="M96" s="15"/>
      <c r="O96" s="2">
        <v>262</v>
      </c>
      <c r="P96" s="2">
        <v>283</v>
      </c>
      <c r="Q96" s="2">
        <v>284</v>
      </c>
      <c r="R96" s="25">
        <v>285</v>
      </c>
      <c r="S96" s="25"/>
      <c r="T96" s="25"/>
      <c r="U96" s="25"/>
    </row>
    <row r="97" spans="1:22" x14ac:dyDescent="0.25">
      <c r="A97" s="41"/>
      <c r="B97" s="113" t="s">
        <v>206</v>
      </c>
      <c r="C97" s="34" t="s">
        <v>206</v>
      </c>
      <c r="D97" s="4" t="s">
        <v>216</v>
      </c>
      <c r="E97" s="75" t="s">
        <v>215</v>
      </c>
      <c r="F97" s="75" t="s">
        <v>207</v>
      </c>
      <c r="G97" s="75" t="s">
        <v>205</v>
      </c>
      <c r="H97" s="75" t="s">
        <v>219</v>
      </c>
      <c r="I97" s="75" t="s">
        <v>223</v>
      </c>
      <c r="J97" s="75" t="s">
        <v>222</v>
      </c>
      <c r="K97" s="75" t="s">
        <v>210</v>
      </c>
      <c r="L97" s="11"/>
      <c r="M97" s="15"/>
      <c r="O97" s="2">
        <v>233</v>
      </c>
      <c r="P97" s="2">
        <v>234</v>
      </c>
      <c r="Q97" s="2">
        <v>235</v>
      </c>
      <c r="R97" s="25">
        <v>236</v>
      </c>
      <c r="S97" s="25">
        <v>237</v>
      </c>
      <c r="T97" s="25">
        <v>254</v>
      </c>
      <c r="U97" s="25">
        <v>197</v>
      </c>
      <c r="V97" s="25">
        <v>247</v>
      </c>
    </row>
    <row r="98" spans="1:22" x14ac:dyDescent="0.25">
      <c r="A98" s="41"/>
      <c r="B98" s="113"/>
      <c r="C98" s="34" t="s">
        <v>195</v>
      </c>
      <c r="D98" s="75" t="s">
        <v>197</v>
      </c>
      <c r="E98" s="4" t="s">
        <v>198</v>
      </c>
      <c r="F98" s="75" t="s">
        <v>199</v>
      </c>
      <c r="G98" s="4" t="s">
        <v>200</v>
      </c>
      <c r="H98" s="75" t="s">
        <v>208</v>
      </c>
      <c r="I98" s="75" t="s">
        <v>191</v>
      </c>
      <c r="J98" s="75" t="s">
        <v>209</v>
      </c>
      <c r="K98" s="75" t="s">
        <v>180</v>
      </c>
      <c r="L98" s="14"/>
      <c r="M98" s="15"/>
      <c r="O98" s="2">
        <v>226</v>
      </c>
      <c r="P98" s="2">
        <v>227</v>
      </c>
      <c r="Q98" s="2">
        <v>228</v>
      </c>
      <c r="R98" s="25">
        <v>229</v>
      </c>
      <c r="S98" s="25">
        <v>230</v>
      </c>
      <c r="T98" s="25">
        <v>231</v>
      </c>
      <c r="U98" s="25">
        <v>232</v>
      </c>
      <c r="V98" s="25">
        <v>88</v>
      </c>
    </row>
    <row r="99" spans="1:22" x14ac:dyDescent="0.25">
      <c r="A99" s="41"/>
      <c r="B99" s="113"/>
      <c r="C99" s="34" t="s">
        <v>217</v>
      </c>
      <c r="D99" s="4" t="s">
        <v>204</v>
      </c>
      <c r="E99" s="4" t="s">
        <v>307</v>
      </c>
      <c r="F99" s="4" t="s">
        <v>308</v>
      </c>
      <c r="G99" s="75" t="s">
        <v>77</v>
      </c>
      <c r="H99" s="44"/>
      <c r="I99" s="44"/>
      <c r="J99" s="44"/>
      <c r="K99" s="44"/>
      <c r="L99" s="4"/>
      <c r="M99" s="15"/>
      <c r="O99" s="2">
        <v>238</v>
      </c>
      <c r="P99" s="2">
        <v>239</v>
      </c>
      <c r="Q99" s="2">
        <v>278</v>
      </c>
      <c r="R99" s="2">
        <v>240</v>
      </c>
    </row>
    <row r="100" spans="1:22" x14ac:dyDescent="0.25">
      <c r="A100" s="100"/>
      <c r="B100" s="113"/>
      <c r="C100" s="3" t="s">
        <v>483</v>
      </c>
      <c r="D100" s="68" t="s">
        <v>486</v>
      </c>
      <c r="E100" s="68" t="s">
        <v>484</v>
      </c>
      <c r="F100" s="68" t="s">
        <v>546</v>
      </c>
      <c r="G100" s="68" t="s">
        <v>485</v>
      </c>
      <c r="H100" s="68" t="s">
        <v>487</v>
      </c>
      <c r="I100" s="3"/>
      <c r="J100" s="3"/>
      <c r="K100" s="3"/>
      <c r="L100" s="14"/>
      <c r="M100" s="22" t="s">
        <v>488</v>
      </c>
      <c r="O100" s="2">
        <v>336</v>
      </c>
      <c r="P100" s="2">
        <v>337</v>
      </c>
      <c r="Q100" s="2">
        <v>338</v>
      </c>
      <c r="R100" s="25">
        <v>339</v>
      </c>
      <c r="S100" s="25">
        <v>340</v>
      </c>
    </row>
    <row r="101" spans="1:22" x14ac:dyDescent="0.25">
      <c r="A101" s="104"/>
      <c r="B101" s="113"/>
      <c r="C101" s="3" t="s">
        <v>549</v>
      </c>
      <c r="D101" s="75" t="s">
        <v>52</v>
      </c>
      <c r="E101" s="3"/>
      <c r="F101" s="3"/>
      <c r="G101" s="3"/>
      <c r="H101" s="3"/>
      <c r="I101" s="3"/>
      <c r="J101" s="3"/>
      <c r="K101" s="3"/>
      <c r="L101" s="14"/>
      <c r="M101" s="22"/>
      <c r="O101" s="2">
        <v>41</v>
      </c>
      <c r="P101" s="2"/>
      <c r="Q101" s="2"/>
      <c r="R101" s="25"/>
      <c r="S101" s="25"/>
    </row>
    <row r="102" spans="1:22" x14ac:dyDescent="0.25">
      <c r="A102" s="104"/>
      <c r="B102" s="113"/>
      <c r="C102" s="34" t="s">
        <v>75</v>
      </c>
      <c r="D102" s="78" t="s">
        <v>294</v>
      </c>
      <c r="E102" s="75" t="s">
        <v>220</v>
      </c>
      <c r="F102" s="75" t="s">
        <v>221</v>
      </c>
      <c r="G102" s="44"/>
      <c r="H102" s="44"/>
      <c r="I102" s="44"/>
      <c r="J102" s="44"/>
      <c r="K102" s="44"/>
      <c r="L102" s="58"/>
      <c r="M102" s="15"/>
      <c r="O102" s="2">
        <v>267</v>
      </c>
      <c r="P102" s="2">
        <v>252</v>
      </c>
      <c r="Q102" s="2">
        <v>253</v>
      </c>
    </row>
    <row r="103" spans="1:22" x14ac:dyDescent="0.25">
      <c r="A103" s="41"/>
      <c r="B103" s="113"/>
      <c r="C103" s="34" t="s">
        <v>372</v>
      </c>
      <c r="D103" s="4" t="s">
        <v>196</v>
      </c>
      <c r="E103" s="4" t="s">
        <v>201</v>
      </c>
      <c r="F103" s="75" t="s">
        <v>218</v>
      </c>
      <c r="G103" s="10" t="s">
        <v>203</v>
      </c>
      <c r="H103" s="75" t="s">
        <v>202</v>
      </c>
      <c r="I103" s="75" t="s">
        <v>474</v>
      </c>
      <c r="J103" s="75" t="s">
        <v>478</v>
      </c>
      <c r="K103" s="44"/>
      <c r="L103" s="11"/>
      <c r="M103" s="15"/>
      <c r="O103" s="2">
        <v>241</v>
      </c>
      <c r="P103" s="2">
        <v>242</v>
      </c>
      <c r="Q103" s="2">
        <v>251</v>
      </c>
      <c r="R103" s="2">
        <v>243</v>
      </c>
      <c r="S103" s="25">
        <v>244</v>
      </c>
      <c r="T103" s="25">
        <v>274</v>
      </c>
      <c r="U103" s="25">
        <v>332</v>
      </c>
    </row>
    <row r="104" spans="1:22" x14ac:dyDescent="0.25">
      <c r="A104" s="55"/>
      <c r="B104" s="113"/>
      <c r="C104" s="3" t="s">
        <v>194</v>
      </c>
      <c r="D104" s="69" t="s">
        <v>363</v>
      </c>
      <c r="E104" s="78" t="s">
        <v>373</v>
      </c>
      <c r="F104" s="69" t="s">
        <v>494</v>
      </c>
      <c r="G104" s="44"/>
      <c r="H104" s="44"/>
      <c r="I104" s="44"/>
      <c r="J104" s="44"/>
      <c r="K104" s="44"/>
      <c r="L104" s="14"/>
      <c r="M104" s="15"/>
      <c r="O104" s="25">
        <v>139</v>
      </c>
      <c r="P104" s="2">
        <v>299</v>
      </c>
      <c r="Q104" s="2">
        <v>341</v>
      </c>
      <c r="R104" s="2"/>
      <c r="S104" s="25"/>
      <c r="T104" s="25"/>
      <c r="U104" s="25"/>
    </row>
    <row r="105" spans="1:22" x14ac:dyDescent="0.25">
      <c r="A105" s="41"/>
      <c r="B105" s="113"/>
      <c r="C105" s="34" t="s">
        <v>193</v>
      </c>
      <c r="D105" s="4" t="s">
        <v>377</v>
      </c>
      <c r="E105" s="78">
        <v>5</v>
      </c>
      <c r="F105" s="75" t="s">
        <v>192</v>
      </c>
      <c r="G105" s="75" t="s">
        <v>225</v>
      </c>
      <c r="H105" s="44"/>
      <c r="I105" s="44"/>
      <c r="J105" s="44"/>
      <c r="K105" s="44"/>
      <c r="L105" s="4"/>
      <c r="M105" s="15"/>
      <c r="O105" s="2">
        <v>301</v>
      </c>
      <c r="P105" s="2">
        <v>245</v>
      </c>
      <c r="Q105" s="2">
        <v>246</v>
      </c>
      <c r="R105" s="2">
        <v>255</v>
      </c>
    </row>
    <row r="107" spans="1:22" x14ac:dyDescent="0.25">
      <c r="B107" s="1" t="s">
        <v>29</v>
      </c>
    </row>
    <row r="108" spans="1:22" x14ac:dyDescent="0.25">
      <c r="B108" s="1"/>
    </row>
    <row r="109" spans="1:22" x14ac:dyDescent="0.25">
      <c r="B109" s="1" t="s">
        <v>30</v>
      </c>
      <c r="C109" s="2" t="s">
        <v>37</v>
      </c>
    </row>
    <row r="110" spans="1:22" x14ac:dyDescent="0.25">
      <c r="B110" s="98" t="s">
        <v>131</v>
      </c>
      <c r="C110" s="2" t="s">
        <v>132</v>
      </c>
    </row>
    <row r="111" spans="1:22" x14ac:dyDescent="0.25">
      <c r="B111" s="35" t="s">
        <v>160</v>
      </c>
      <c r="C111" s="2" t="s">
        <v>161</v>
      </c>
    </row>
    <row r="112" spans="1:22" x14ac:dyDescent="0.25">
      <c r="B112" s="97" t="s">
        <v>34</v>
      </c>
      <c r="C112" s="2" t="s">
        <v>32</v>
      </c>
    </row>
    <row r="113" spans="2:3" ht="15" x14ac:dyDescent="0.25">
      <c r="B113" s="90" t="s">
        <v>36</v>
      </c>
      <c r="C113" s="2" t="s">
        <v>35</v>
      </c>
    </row>
    <row r="114" spans="2:3" x14ac:dyDescent="0.25">
      <c r="B114" s="16" t="s">
        <v>31</v>
      </c>
      <c r="C114" s="2" t="s">
        <v>33</v>
      </c>
    </row>
    <row r="115" spans="2:3" x14ac:dyDescent="0.25">
      <c r="B115" s="8" t="s">
        <v>38</v>
      </c>
      <c r="C115" s="2" t="s">
        <v>472</v>
      </c>
    </row>
    <row r="116" spans="2:3" x14ac:dyDescent="0.25">
      <c r="B116" s="18">
        <v>63</v>
      </c>
      <c r="C116" s="2" t="s">
        <v>61</v>
      </c>
    </row>
    <row r="118" spans="2:3" x14ac:dyDescent="0.25">
      <c r="B118" s="91" t="s">
        <v>42</v>
      </c>
    </row>
    <row r="120" spans="2:3" x14ac:dyDescent="0.25">
      <c r="B120" t="s">
        <v>43</v>
      </c>
      <c r="C120" t="s">
        <v>44</v>
      </c>
    </row>
    <row r="121" spans="2:3" x14ac:dyDescent="0.25">
      <c r="B121" t="s">
        <v>45</v>
      </c>
      <c r="C121" t="s">
        <v>46</v>
      </c>
    </row>
    <row r="123" spans="2:3" x14ac:dyDescent="0.25">
      <c r="B123" s="2" t="s">
        <v>47</v>
      </c>
    </row>
    <row r="125" spans="2:3" x14ac:dyDescent="0.25">
      <c r="B125" t="s">
        <v>57</v>
      </c>
    </row>
    <row r="126" spans="2:3" x14ac:dyDescent="0.25">
      <c r="B126" s="2" t="s">
        <v>48</v>
      </c>
    </row>
    <row r="127" spans="2:3" x14ac:dyDescent="0.25">
      <c r="B127" s="2" t="s">
        <v>62</v>
      </c>
    </row>
    <row r="129" spans="2:3" x14ac:dyDescent="0.25">
      <c r="B129" s="2" t="s">
        <v>152</v>
      </c>
    </row>
    <row r="130" spans="2:3" x14ac:dyDescent="0.25">
      <c r="B130" s="2" t="s">
        <v>60</v>
      </c>
      <c r="C130" s="2" t="s">
        <v>163</v>
      </c>
    </row>
    <row r="131" spans="2:3" x14ac:dyDescent="0.25">
      <c r="B131" s="2" t="s">
        <v>153</v>
      </c>
      <c r="C131" s="2" t="s">
        <v>165</v>
      </c>
    </row>
    <row r="132" spans="2:3" x14ac:dyDescent="0.25">
      <c r="B132" s="2" t="s">
        <v>154</v>
      </c>
      <c r="C132" s="2" t="s">
        <v>164</v>
      </c>
    </row>
    <row r="133" spans="2:3" x14ac:dyDescent="0.25">
      <c r="B133" s="2" t="s">
        <v>16</v>
      </c>
      <c r="C133" s="2" t="s">
        <v>155</v>
      </c>
    </row>
  </sheetData>
  <mergeCells count="23">
    <mergeCell ref="B97:B105"/>
    <mergeCell ref="B60:B67"/>
    <mergeCell ref="B55:B59"/>
    <mergeCell ref="B68:B90"/>
    <mergeCell ref="B1:M1"/>
    <mergeCell ref="B91:B96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84"/>
  <sheetViews>
    <sheetView tabSelected="1" zoomScale="130" zoomScaleNormal="130" workbookViewId="0">
      <pane ySplit="1" topLeftCell="A365" activePane="bottomLeft" state="frozen"/>
      <selection pane="bottomLeft" activeCell="F379" sqref="F379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449</v>
      </c>
      <c r="G1" s="47" t="s">
        <v>554</v>
      </c>
      <c r="H1" s="47" t="s">
        <v>555</v>
      </c>
      <c r="I1" s="47" t="s">
        <v>288</v>
      </c>
      <c r="J1" s="47" t="s">
        <v>287</v>
      </c>
      <c r="K1" s="47" t="s">
        <v>289</v>
      </c>
      <c r="L1" s="47" t="s">
        <v>290</v>
      </c>
      <c r="M1" s="47" t="s">
        <v>269</v>
      </c>
      <c r="N1" s="47" t="s">
        <v>291</v>
      </c>
      <c r="O1" s="47" t="s">
        <v>292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50"/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567</v>
      </c>
      <c r="D3" s="52" t="s">
        <v>566</v>
      </c>
      <c r="E3" s="56" t="s">
        <v>49</v>
      </c>
      <c r="F3" s="50"/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563</v>
      </c>
      <c r="S3" s="52" t="s">
        <v>435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409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417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384</v>
      </c>
      <c r="E5" s="56" t="s">
        <v>139</v>
      </c>
      <c r="F5" s="50"/>
      <c r="G5" s="106">
        <f>VLOOKUP($A5, Stat!$A$1:$C$501, 2,0)</f>
        <v>19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463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384</v>
      </c>
      <c r="E6" s="56" t="s">
        <v>172</v>
      </c>
      <c r="F6" s="50"/>
      <c r="G6" s="106">
        <f>VLOOKUP($A6, Stat!$A$1:$C$501, 2,0)</f>
        <v>34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464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86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472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427</v>
      </c>
      <c r="E10" s="56" t="s">
        <v>430</v>
      </c>
      <c r="F10" s="50"/>
      <c r="G10" s="106">
        <f>VLOOKUP($A10, Stat!$A$1:$C$501, 2,0)</f>
        <v>130</v>
      </c>
      <c r="H10" s="106">
        <f>VLOOKUP($A10, Stat!$A$1:$C$501, 3,0)</f>
        <v>45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432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375</v>
      </c>
      <c r="F11" s="50"/>
      <c r="G11" s="106">
        <f>VLOOKUP($A11, Stat!$A$1:$C$501, 2,0)</f>
        <v>38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443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124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231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390</v>
      </c>
      <c r="F13" s="50"/>
      <c r="G13" s="106">
        <f>VLOOKUP($A13, Stat!$A$1:$C$501, 2,0)</f>
        <v>105</v>
      </c>
      <c r="H13" s="106">
        <f>VLOOKUP($A13, Stat!$A$1:$C$501, 3,0)</f>
        <v>41</v>
      </c>
      <c r="I13" s="48">
        <v>1</v>
      </c>
      <c r="M13" s="49" t="s">
        <v>271</v>
      </c>
      <c r="N13" s="50"/>
      <c r="O13" s="50"/>
      <c r="P13" s="52">
        <v>100</v>
      </c>
      <c r="Q13" s="52">
        <v>0</v>
      </c>
      <c r="S13" s="52" t="s">
        <v>392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571</v>
      </c>
      <c r="D14" s="52" t="s">
        <v>74</v>
      </c>
      <c r="E14" s="56" t="s">
        <v>534</v>
      </c>
      <c r="F14" s="50"/>
      <c r="G14" s="106">
        <f>VLOOKUP($A14, Stat!$A$1:$C$501, 2,0)</f>
        <v>57</v>
      </c>
      <c r="H14" s="106">
        <f>VLOOKUP($A14, Stat!$A$1:$C$501, 3,0)</f>
        <v>9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555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571</v>
      </c>
      <c r="D15" s="52" t="s">
        <v>73</v>
      </c>
      <c r="E15" s="56" t="s">
        <v>536</v>
      </c>
      <c r="F15" s="50"/>
      <c r="G15" s="106">
        <f>VLOOKUP($A15, Stat!$A$1:$C$501, 2,0)</f>
        <v>176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555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362</v>
      </c>
      <c r="E16" s="56" t="s">
        <v>158</v>
      </c>
      <c r="F16" s="49"/>
      <c r="G16" s="106">
        <f>VLOOKUP($A16, Stat!$A$1:$C$501, 2,0)</f>
        <v>97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505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362</v>
      </c>
      <c r="E17" s="56" t="s">
        <v>157</v>
      </c>
      <c r="F17" s="49"/>
      <c r="G17" s="106">
        <f>VLOOKUP($A17, Stat!$A$1:$C$501, 2,0)</f>
        <v>45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505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270</v>
      </c>
      <c r="G18" s="106">
        <f>VLOOKUP($A18, Stat!$A$1:$C$501, 2,0)</f>
        <v>40</v>
      </c>
      <c r="H18" s="106">
        <f>VLOOKUP($A18, Stat!$A$1:$C$501, 3,0)</f>
        <v>1</v>
      </c>
      <c r="J18" s="48">
        <v>1</v>
      </c>
      <c r="M18" s="49"/>
      <c r="N18" s="50"/>
      <c r="O18" s="49" t="s">
        <v>268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568</v>
      </c>
      <c r="D19" s="52" t="s">
        <v>498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560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568</v>
      </c>
      <c r="D20" s="52" t="s">
        <v>498</v>
      </c>
      <c r="E20" s="56" t="s">
        <v>50</v>
      </c>
      <c r="F20" s="50"/>
      <c r="G20" s="106">
        <f>VLOOKUP($A20, Stat!$A$1:$C$501, 2,0)</f>
        <v>24</v>
      </c>
      <c r="H20" s="106">
        <f>VLOOKUP($A20, Stat!$A$1:$C$501, 3,0)</f>
        <v>16</v>
      </c>
      <c r="I20" s="48">
        <v>1</v>
      </c>
      <c r="M20" s="49" t="s">
        <v>436</v>
      </c>
      <c r="N20" s="50"/>
      <c r="O20" s="50"/>
      <c r="P20" s="52">
        <v>60</v>
      </c>
      <c r="Q20" s="52">
        <v>0</v>
      </c>
      <c r="R20" s="52" t="s">
        <v>560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419</v>
      </c>
      <c r="F21" s="49" t="s">
        <v>270</v>
      </c>
      <c r="G21" s="106">
        <f>VLOOKUP($A21, Stat!$A$1:$C$501, 2,0)</f>
        <v>115</v>
      </c>
      <c r="H21" s="106">
        <f>VLOOKUP($A21, Stat!$A$1:$C$501, 3,0)</f>
        <v>1</v>
      </c>
      <c r="J21" s="48">
        <v>1</v>
      </c>
      <c r="M21" s="49"/>
      <c r="N21" s="50"/>
      <c r="O21" s="49" t="s">
        <v>268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193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383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24</v>
      </c>
      <c r="H23" s="106">
        <f>VLOOKUP($A23, Stat!$A$1:$C$501, 3,0)</f>
        <v>12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270</v>
      </c>
      <c r="G24" s="106">
        <f>VLOOKUP($A24, Stat!$A$1:$C$501, 2,0)</f>
        <v>19</v>
      </c>
      <c r="H24" s="106">
        <f>VLOOKUP($A24, Stat!$A$1:$C$501, 3,0)</f>
        <v>1</v>
      </c>
      <c r="I24" s="108"/>
      <c r="M24" s="49"/>
      <c r="N24" s="50"/>
      <c r="O24" s="49" t="s">
        <v>268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48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411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418</v>
      </c>
      <c r="N26" s="50"/>
      <c r="O26" s="50"/>
      <c r="P26" s="52">
        <v>60</v>
      </c>
      <c r="Q26" s="52">
        <v>0</v>
      </c>
      <c r="S26" s="52" t="s">
        <v>227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30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228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61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12</v>
      </c>
      <c r="H29" s="106">
        <f>VLOOKUP($A29, Stat!$A$1:$C$501, 3,0)</f>
        <v>3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584</v>
      </c>
      <c r="E30" s="56" t="s">
        <v>16</v>
      </c>
      <c r="F30" s="50"/>
      <c r="G30" s="106">
        <f>VLOOKUP($A30, Stat!$A$1:$C$501, 2,0)</f>
        <v>321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567</v>
      </c>
      <c r="D32" s="52" t="s">
        <v>566</v>
      </c>
      <c r="E32" s="56" t="s">
        <v>50</v>
      </c>
      <c r="F32" s="50"/>
      <c r="G32" s="106">
        <f>VLOOKUP($A32, Stat!$A$1:$C$501, 2,0)</f>
        <v>29</v>
      </c>
      <c r="H32" s="106">
        <f>VLOOKUP($A32, Stat!$A$1:$C$501, 3,0)</f>
        <v>3</v>
      </c>
      <c r="I32" s="107"/>
      <c r="M32" s="49" t="s">
        <v>312</v>
      </c>
      <c r="N32" s="50"/>
      <c r="O32" s="50"/>
      <c r="P32" s="52">
        <v>60</v>
      </c>
      <c r="Q32" s="52">
        <v>0</v>
      </c>
      <c r="R32" s="52" t="s">
        <v>563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567</v>
      </c>
      <c r="D33" s="52" t="s">
        <v>566</v>
      </c>
      <c r="E33" s="56" t="s">
        <v>23</v>
      </c>
      <c r="F33" s="50"/>
      <c r="G33" s="106">
        <f>VLOOKUP($A33, Stat!$A$1:$C$501, 2,0)</f>
        <v>17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563</v>
      </c>
      <c r="S33" s="52" t="s">
        <v>569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571</v>
      </c>
      <c r="D34" s="52" t="s">
        <v>531</v>
      </c>
      <c r="E34" s="56" t="s">
        <v>295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555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571</v>
      </c>
      <c r="D35" s="52" t="s">
        <v>73</v>
      </c>
      <c r="E35" s="56" t="s">
        <v>537</v>
      </c>
      <c r="F35" s="50"/>
      <c r="G35" s="106">
        <f>VLOOKUP($A35, Stat!$A$1:$C$501, 2,0)</f>
        <v>40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555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163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380</v>
      </c>
      <c r="F37" s="50"/>
      <c r="G37" s="106">
        <f>VLOOKUP($A37, Stat!$A$1:$C$501, 2,0)</f>
        <v>46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229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386</v>
      </c>
      <c r="F38" s="50"/>
      <c r="G38" s="106">
        <f>VLOOKUP($A38, Stat!$A$1:$C$501, 2,0)</f>
        <v>27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162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420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374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400</v>
      </c>
      <c r="E41" s="52" t="s">
        <v>52</v>
      </c>
      <c r="F41" s="48">
        <v>1</v>
      </c>
      <c r="G41" s="106">
        <f>VLOOKUP($A41, Stat!$A$1:$C$501, 2,0)</f>
        <v>36</v>
      </c>
      <c r="H41" s="106">
        <f>VLOOKUP($A41, Stat!$A$1:$C$501, 3,0)</f>
        <v>2</v>
      </c>
      <c r="P41" s="52">
        <v>70</v>
      </c>
      <c r="Q41" s="52">
        <v>0</v>
      </c>
      <c r="S41" s="52" t="s">
        <v>548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549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550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191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76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558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66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426</v>
      </c>
      <c r="E48" s="56" t="s">
        <v>543</v>
      </c>
      <c r="F48" s="50"/>
      <c r="G48" s="106">
        <f>VLOOKUP($A48, Stat!$A$1:$C$501, 2,0)</f>
        <v>98</v>
      </c>
      <c r="H48" s="106">
        <f>VLOOKUP($A48, Stat!$A$1:$C$501, 3,0)</f>
        <v>5</v>
      </c>
      <c r="M48" s="50"/>
      <c r="N48" s="50"/>
      <c r="O48" s="50"/>
      <c r="P48" s="52">
        <v>30</v>
      </c>
      <c r="Q48" s="52">
        <v>0</v>
      </c>
      <c r="S48" s="52" t="s">
        <v>424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402</v>
      </c>
      <c r="E49" s="56" t="s">
        <v>529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268</v>
      </c>
      <c r="P49" s="52">
        <v>30</v>
      </c>
      <c r="Q49" s="52">
        <v>0</v>
      </c>
      <c r="S49" s="52" t="s">
        <v>544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571</v>
      </c>
      <c r="D50" s="52" t="s">
        <v>531</v>
      </c>
      <c r="E50" s="56" t="s">
        <v>530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555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571</v>
      </c>
      <c r="D51" s="52" t="s">
        <v>75</v>
      </c>
      <c r="E51" s="56" t="s">
        <v>532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555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571</v>
      </c>
      <c r="D52" s="52" t="s">
        <v>74</v>
      </c>
      <c r="E52" s="56" t="s">
        <v>535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555</v>
      </c>
      <c r="T52" s="52">
        <v>1</v>
      </c>
    </row>
    <row r="53" spans="1:20" ht="13.2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42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26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42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24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312</v>
      </c>
      <c r="F57" s="49" t="s">
        <v>270</v>
      </c>
      <c r="G57" s="106">
        <f>VLOOKUP($A57, Stat!$A$1:$C$501, 2,0)</f>
        <v>512</v>
      </c>
      <c r="H57" s="106">
        <f>VLOOKUP($A57, Stat!$A$1:$C$501, 3,0)</f>
        <v>1</v>
      </c>
      <c r="I57" s="109"/>
      <c r="M57" s="49"/>
      <c r="N57" s="50"/>
      <c r="O57" s="49" t="s">
        <v>268</v>
      </c>
      <c r="P57" s="52">
        <v>0</v>
      </c>
      <c r="Q57" s="52">
        <v>-1</v>
      </c>
      <c r="T57" s="52">
        <v>1</v>
      </c>
    </row>
    <row r="58" spans="1:20" ht="13.2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166</v>
      </c>
      <c r="H58" s="106">
        <f>VLOOKUP($A58, Stat!$A$1:$C$501, 3,0)</f>
        <v>32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59</v>
      </c>
      <c r="B59" s="52" t="s">
        <v>39</v>
      </c>
      <c r="C59" s="52" t="s">
        <v>83</v>
      </c>
      <c r="D59" s="52" t="s">
        <v>126</v>
      </c>
      <c r="E59" s="56" t="s">
        <v>3</v>
      </c>
      <c r="F59" s="50"/>
      <c r="G59" s="106">
        <f>VLOOKUP($A59, Stat!$A$1:$C$501, 2,0)</f>
        <v>195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customHeight="1" x14ac:dyDescent="0.25">
      <c r="A60" s="52">
        <v>60</v>
      </c>
      <c r="B60" s="52" t="s">
        <v>39</v>
      </c>
      <c r="C60" s="52" t="s">
        <v>83</v>
      </c>
      <c r="D60" s="52" t="s">
        <v>126</v>
      </c>
      <c r="E60" s="56" t="s">
        <v>4</v>
      </c>
      <c r="F60" s="50"/>
      <c r="G60" s="106">
        <f>VLOOKUP($A60, Stat!$A$1:$C$501, 2,0)</f>
        <v>57</v>
      </c>
      <c r="H60" s="106">
        <f>VLOOKUP($A60, Stat!$A$1:$C$501, 3,0)</f>
        <v>6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61</v>
      </c>
      <c r="B61" s="52" t="s">
        <v>39</v>
      </c>
      <c r="C61" s="52" t="s">
        <v>83</v>
      </c>
      <c r="D61" s="52" t="s">
        <v>126</v>
      </c>
      <c r="E61" s="56" t="s">
        <v>5</v>
      </c>
      <c r="F61" s="50"/>
      <c r="G61" s="106">
        <f>VLOOKUP($A61, Stat!$A$1:$C$501, 2,0)</f>
        <v>47</v>
      </c>
      <c r="H61" s="106">
        <f>VLOOKUP($A61, Stat!$A$1:$C$501, 3,0)</f>
        <v>5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customHeight="1" x14ac:dyDescent="0.25">
      <c r="A62" s="52">
        <v>62</v>
      </c>
      <c r="B62" s="52" t="s">
        <v>39</v>
      </c>
      <c r="C62" s="52" t="s">
        <v>83</v>
      </c>
      <c r="D62" s="52" t="s">
        <v>126</v>
      </c>
      <c r="E62" s="56" t="s">
        <v>51</v>
      </c>
      <c r="F62" s="50"/>
      <c r="G62" s="106">
        <f>VLOOKUP($A62, Stat!$A$1:$C$501, 2,0)</f>
        <v>30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customHeight="1" x14ac:dyDescent="0.25">
      <c r="A63" s="52">
        <v>63</v>
      </c>
      <c r="B63" s="52" t="s">
        <v>39</v>
      </c>
      <c r="C63" s="52" t="s">
        <v>83</v>
      </c>
      <c r="D63" s="52" t="s">
        <v>257</v>
      </c>
      <c r="E63" s="56" t="s">
        <v>3</v>
      </c>
      <c r="F63" s="50"/>
      <c r="G63" s="106">
        <f>VLOOKUP($A63, Stat!$A$1:$C$501, 2,0)</f>
        <v>25</v>
      </c>
      <c r="H63" s="106">
        <f>VLOOKUP($A63, Stat!$A$1:$C$501, 3,0)</f>
        <v>8</v>
      </c>
      <c r="I63" s="48">
        <v>1</v>
      </c>
      <c r="M63" s="49" t="s">
        <v>279</v>
      </c>
      <c r="N63" s="50"/>
      <c r="O63" s="50"/>
      <c r="P63" s="52">
        <v>0</v>
      </c>
      <c r="Q63" s="52">
        <v>0</v>
      </c>
      <c r="T63" s="52">
        <v>1</v>
      </c>
    </row>
    <row r="64" spans="1:20" ht="13.2" customHeight="1" x14ac:dyDescent="0.25">
      <c r="A64" s="52">
        <v>64</v>
      </c>
      <c r="B64" s="52" t="s">
        <v>39</v>
      </c>
      <c r="C64" s="52" t="s">
        <v>83</v>
      </c>
      <c r="D64" s="52" t="s">
        <v>257</v>
      </c>
      <c r="E64" s="56" t="s">
        <v>4</v>
      </c>
      <c r="F64" s="50"/>
      <c r="G64" s="106">
        <f>VLOOKUP($A64, Stat!$A$1:$C$501, 2,0)</f>
        <v>6</v>
      </c>
      <c r="H64" s="106">
        <f>VLOOKUP($A64, Stat!$A$1:$C$501, 3,0)</f>
        <v>2</v>
      </c>
      <c r="I64" s="48">
        <v>1</v>
      </c>
      <c r="M64" s="49" t="s">
        <v>280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65</v>
      </c>
      <c r="B65" s="52" t="s">
        <v>39</v>
      </c>
      <c r="C65" s="52" t="s">
        <v>83</v>
      </c>
      <c r="D65" s="52" t="s">
        <v>257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281</v>
      </c>
      <c r="N65" s="50"/>
      <c r="O65" s="50"/>
      <c r="P65" s="52">
        <v>60</v>
      </c>
      <c r="Q65" s="52">
        <v>0</v>
      </c>
      <c r="T65" s="52">
        <v>1</v>
      </c>
    </row>
    <row r="66" spans="1:20" ht="13.2" customHeight="1" x14ac:dyDescent="0.25">
      <c r="A66" s="52">
        <v>66</v>
      </c>
      <c r="B66" s="52" t="s">
        <v>39</v>
      </c>
      <c r="C66" s="52" t="s">
        <v>83</v>
      </c>
      <c r="D66" s="52" t="s">
        <v>257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282</v>
      </c>
      <c r="N66" s="50"/>
      <c r="O66" s="50"/>
      <c r="P66" s="52">
        <v>100</v>
      </c>
      <c r="Q66" s="52">
        <v>0</v>
      </c>
      <c r="T66" s="52">
        <v>1</v>
      </c>
    </row>
    <row r="67" spans="1:20" ht="13.2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270</v>
      </c>
      <c r="F67" s="50"/>
      <c r="G67" s="106">
        <f>VLOOKUP($A67, Stat!$A$1:$C$501, 2,0)</f>
        <v>171</v>
      </c>
      <c r="H67" s="106">
        <f>VLOOKUP($A67, Stat!$A$1:$C$501, 3,0)</f>
        <v>43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20</v>
      </c>
      <c r="H68" s="106">
        <f>VLOOKUP($A68, Stat!$A$1:$C$501, 3,0)</f>
        <v>10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70</v>
      </c>
      <c r="H69" s="106">
        <f>VLOOKUP($A69, Stat!$A$1:$C$501, 3,0)</f>
        <v>24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customHeight="1" x14ac:dyDescent="0.25">
      <c r="A70" s="52">
        <v>70</v>
      </c>
      <c r="B70" s="52" t="s">
        <v>39</v>
      </c>
      <c r="C70" s="52" t="s">
        <v>7</v>
      </c>
      <c r="D70" s="52" t="s">
        <v>224</v>
      </c>
      <c r="E70" s="56" t="s">
        <v>309</v>
      </c>
      <c r="F70" s="50"/>
      <c r="G70" s="106">
        <f>VLOOKUP($A70, Stat!$A$1:$C$501, 2,0)</f>
        <v>38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customHeight="1" x14ac:dyDescent="0.25">
      <c r="A71" s="52">
        <v>71</v>
      </c>
      <c r="B71" s="52" t="s">
        <v>39</v>
      </c>
      <c r="C71" s="52" t="s">
        <v>7</v>
      </c>
      <c r="D71" s="52" t="s">
        <v>224</v>
      </c>
      <c r="E71" s="56" t="s">
        <v>53</v>
      </c>
      <c r="F71" s="50"/>
      <c r="G71" s="106">
        <f>VLOOKUP($A71, Stat!$A$1:$C$501, 2,0)</f>
        <v>10</v>
      </c>
      <c r="H71" s="106">
        <f>VLOOKUP($A71, Stat!$A$1:$C$501, 3,0)</f>
        <v>1</v>
      </c>
      <c r="I71" s="109"/>
      <c r="L71" s="48">
        <v>1</v>
      </c>
      <c r="M71" s="49" t="s">
        <v>266</v>
      </c>
      <c r="N71" s="50"/>
      <c r="O71" s="50"/>
      <c r="P71" s="52">
        <v>100</v>
      </c>
      <c r="Q71" s="52">
        <v>0</v>
      </c>
      <c r="T71" s="52">
        <v>1</v>
      </c>
    </row>
    <row r="72" spans="1:20" ht="13.2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381</v>
      </c>
      <c r="F72" s="50"/>
      <c r="G72" s="106">
        <f>VLOOKUP($A72, Stat!$A$1:$C$501, 2,0)</f>
        <v>22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230</v>
      </c>
      <c r="T72" s="52">
        <v>1</v>
      </c>
    </row>
    <row r="73" spans="1:20" ht="13.2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382</v>
      </c>
      <c r="F73" s="50"/>
      <c r="G73" s="106">
        <f>VLOOKUP($A73, Stat!$A$1:$C$501, 2,0)</f>
        <v>22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230</v>
      </c>
      <c r="T73" s="52">
        <v>1</v>
      </c>
    </row>
    <row r="74" spans="1:20" ht="13.2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23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233</v>
      </c>
      <c r="T74" s="52">
        <v>1</v>
      </c>
    </row>
    <row r="75" spans="1:20" ht="13.2" customHeight="1" x14ac:dyDescent="0.25">
      <c r="A75" s="52">
        <v>75</v>
      </c>
      <c r="B75" s="52" t="s">
        <v>41</v>
      </c>
      <c r="C75" s="52" t="s">
        <v>64</v>
      </c>
      <c r="D75" s="52" t="s">
        <v>426</v>
      </c>
      <c r="E75" s="56" t="s">
        <v>542</v>
      </c>
      <c r="F75" s="50"/>
      <c r="G75" s="106">
        <f>VLOOKUP($A75, Stat!$A$1:$C$501, 2,0)</f>
        <v>33</v>
      </c>
      <c r="H75" s="106">
        <f>VLOOKUP($A75, Stat!$A$1:$C$501, 3,0)</f>
        <v>19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545</v>
      </c>
      <c r="T75" s="52">
        <v>1</v>
      </c>
    </row>
    <row r="76" spans="1:20" ht="13.2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379</v>
      </c>
      <c r="F76" s="50"/>
      <c r="G76" s="106">
        <f>VLOOKUP($A76, Stat!$A$1:$C$501, 2,0)</f>
        <v>46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229</v>
      </c>
      <c r="T76" s="52">
        <v>1</v>
      </c>
    </row>
    <row r="77" spans="1:20" ht="13.2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270</v>
      </c>
      <c r="F77" s="49" t="s">
        <v>270</v>
      </c>
      <c r="G77" s="106">
        <f>VLOOKUP($A77, Stat!$A$1:$C$501, 2,0)</f>
        <v>572</v>
      </c>
      <c r="H77" s="106">
        <f>VLOOKUP($A77, Stat!$A$1:$C$501, 3,0)</f>
        <v>0</v>
      </c>
      <c r="I77" s="109"/>
      <c r="M77" s="49"/>
      <c r="N77" s="50"/>
      <c r="O77" s="49" t="s">
        <v>268</v>
      </c>
      <c r="P77" s="52">
        <v>0</v>
      </c>
      <c r="Q77" s="52">
        <v>-1</v>
      </c>
      <c r="T77" s="52">
        <v>1</v>
      </c>
    </row>
    <row r="78" spans="1:20" ht="13.2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142</v>
      </c>
      <c r="F78" s="50"/>
      <c r="G78" s="106">
        <f>VLOOKUP($A78, Stat!$A$1:$C$501, 2,0)</f>
        <v>67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383</v>
      </c>
      <c r="T78" s="52">
        <v>1</v>
      </c>
    </row>
    <row r="79" spans="1:20" ht="13.2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144</v>
      </c>
      <c r="F79" s="50"/>
      <c r="G79" s="106">
        <f>VLOOKUP($A79, Stat!$A$1:$C$501, 2,0)</f>
        <v>89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383</v>
      </c>
      <c r="T79" s="52">
        <v>1</v>
      </c>
    </row>
    <row r="80" spans="1:20" ht="13.2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323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62</v>
      </c>
      <c r="H81" s="106">
        <f>VLOOKUP($A81, Stat!$A$1:$C$501, 3,0)</f>
        <v>2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48</v>
      </c>
      <c r="H82" s="106">
        <f>VLOOKUP($A82, Stat!$A$1:$C$501, 3,0)</f>
        <v>11</v>
      </c>
      <c r="I82" s="48">
        <v>1</v>
      </c>
      <c r="M82" s="49" t="s">
        <v>267</v>
      </c>
      <c r="N82" s="50"/>
      <c r="O82" s="50"/>
      <c r="P82" s="52">
        <v>60</v>
      </c>
      <c r="Q82" s="52">
        <v>-1</v>
      </c>
      <c r="T82" s="52">
        <v>1</v>
      </c>
    </row>
    <row r="83" spans="1:20" ht="13.2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188</v>
      </c>
      <c r="H83" s="106">
        <f>VLOOKUP($A83, Stat!$A$1:$C$501, 3,0)</f>
        <v>5</v>
      </c>
      <c r="I83" s="109"/>
      <c r="M83" s="49" t="s">
        <v>334</v>
      </c>
      <c r="N83" s="50"/>
      <c r="O83" s="50"/>
      <c r="P83" s="52">
        <v>100</v>
      </c>
      <c r="Q83" s="52">
        <v>0</v>
      </c>
      <c r="T83" s="52">
        <v>1</v>
      </c>
    </row>
    <row r="84" spans="1:20" ht="13.2" customHeight="1" x14ac:dyDescent="0.25">
      <c r="A84" s="52">
        <v>84</v>
      </c>
      <c r="B84" s="52" t="s">
        <v>41</v>
      </c>
      <c r="C84" s="52" t="s">
        <v>64</v>
      </c>
      <c r="D84" s="52" t="s">
        <v>212</v>
      </c>
      <c r="E84" s="56" t="s">
        <v>69</v>
      </c>
      <c r="F84" s="50"/>
      <c r="G84" s="106">
        <f>VLOOKUP($A84, Stat!$A$1:$C$501, 2,0)</f>
        <v>104</v>
      </c>
      <c r="H84" s="106">
        <f>VLOOKUP($A84, Stat!$A$1:$C$501, 3,0)</f>
        <v>5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customHeight="1" x14ac:dyDescent="0.25">
      <c r="A85" s="52">
        <v>85</v>
      </c>
      <c r="B85" s="52" t="s">
        <v>41</v>
      </c>
      <c r="C85" s="52" t="s">
        <v>64</v>
      </c>
      <c r="D85" s="52" t="s">
        <v>212</v>
      </c>
      <c r="E85" s="56" t="s">
        <v>446</v>
      </c>
      <c r="F85" s="50"/>
      <c r="G85" s="106">
        <f>VLOOKUP($A85, Stat!$A$1:$C$501, 2,0)</f>
        <v>11</v>
      </c>
      <c r="H85" s="106">
        <f>VLOOKUP($A85, Stat!$A$1:$C$501, 3,0)</f>
        <v>4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450</v>
      </c>
      <c r="T85" s="52">
        <v>1</v>
      </c>
    </row>
    <row r="86" spans="1:20" ht="13.2" customHeight="1" x14ac:dyDescent="0.25">
      <c r="A86" s="52">
        <v>86</v>
      </c>
      <c r="B86" s="52" t="s">
        <v>41</v>
      </c>
      <c r="C86" s="52" t="s">
        <v>64</v>
      </c>
      <c r="D86" s="52" t="s">
        <v>212</v>
      </c>
      <c r="E86" s="56" t="s">
        <v>71</v>
      </c>
      <c r="F86" s="50"/>
      <c r="G86" s="106">
        <f>VLOOKUP($A86, Stat!$A$1:$C$501, 2,0)</f>
        <v>158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customHeight="1" x14ac:dyDescent="0.25">
      <c r="A87" s="52">
        <v>88</v>
      </c>
      <c r="B87" s="52" t="s">
        <v>41</v>
      </c>
      <c r="C87" s="52" t="s">
        <v>206</v>
      </c>
      <c r="D87" s="52" t="s">
        <v>195</v>
      </c>
      <c r="E87" s="56" t="s">
        <v>180</v>
      </c>
      <c r="F87" s="50"/>
      <c r="G87" s="106">
        <f>VLOOKUP($A87, Stat!$A$1:$C$501, 2,0)</f>
        <v>32</v>
      </c>
      <c r="H87" s="106">
        <f>VLOOKUP($A87, Stat!$A$1:$C$501, 3,0)</f>
        <v>15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247</v>
      </c>
      <c r="T87" s="52">
        <v>1</v>
      </c>
    </row>
    <row r="88" spans="1:20" ht="13.2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309</v>
      </c>
      <c r="F88" s="50"/>
      <c r="G88" s="106">
        <f>VLOOKUP($A88, Stat!$A$1:$C$501, 2,0)</f>
        <v>44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customHeight="1" x14ac:dyDescent="0.25">
      <c r="A89" s="52">
        <v>90</v>
      </c>
      <c r="B89" s="52" t="s">
        <v>41</v>
      </c>
      <c r="C89" s="52" t="s">
        <v>571</v>
      </c>
      <c r="D89" s="52" t="s">
        <v>531</v>
      </c>
      <c r="E89" s="56" t="s">
        <v>533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R89" s="52" t="s">
        <v>555</v>
      </c>
      <c r="T89" s="52">
        <v>1</v>
      </c>
    </row>
    <row r="90" spans="1:20" ht="13.2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305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306</v>
      </c>
      <c r="T90" s="52">
        <v>1</v>
      </c>
    </row>
    <row r="91" spans="1:20" ht="13.2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270</v>
      </c>
      <c r="G91" s="106">
        <f>VLOOKUP($A91, Stat!$A$1:$C$501, 2,0)</f>
        <v>101</v>
      </c>
      <c r="H91" s="106">
        <f>VLOOKUP($A91, Stat!$A$1:$C$501, 3,0)</f>
        <v>1</v>
      </c>
      <c r="M91" s="49"/>
      <c r="N91" s="50"/>
      <c r="O91" s="49" t="s">
        <v>268</v>
      </c>
      <c r="P91" s="52">
        <v>0</v>
      </c>
      <c r="Q91" s="52">
        <v>-1</v>
      </c>
      <c r="T91" s="52">
        <v>1</v>
      </c>
    </row>
    <row r="92" spans="1:20" ht="13.2" customHeight="1" x14ac:dyDescent="0.25">
      <c r="A92" s="52">
        <v>93</v>
      </c>
      <c r="B92" s="52" t="s">
        <v>41</v>
      </c>
      <c r="C92" s="52" t="s">
        <v>64</v>
      </c>
      <c r="D92" s="52" t="s">
        <v>162</v>
      </c>
      <c r="E92" s="56" t="s">
        <v>270</v>
      </c>
      <c r="F92" s="50"/>
      <c r="G92" s="106">
        <f>VLOOKUP($A92, Stat!$A$1:$C$501, 2,0)</f>
        <v>37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135</v>
      </c>
      <c r="T92" s="52">
        <v>1</v>
      </c>
    </row>
    <row r="93" spans="1:20" ht="13.2" customHeight="1" x14ac:dyDescent="0.25">
      <c r="A93" s="52">
        <v>94</v>
      </c>
      <c r="B93" s="52" t="s">
        <v>41</v>
      </c>
      <c r="C93" s="52" t="s">
        <v>64</v>
      </c>
      <c r="D93" s="52" t="s">
        <v>162</v>
      </c>
      <c r="E93" s="56" t="s">
        <v>312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276</v>
      </c>
      <c r="N93" s="50"/>
      <c r="O93" s="50"/>
      <c r="P93" s="52">
        <v>40</v>
      </c>
      <c r="Q93" s="52">
        <v>0</v>
      </c>
      <c r="R93" s="52" t="s">
        <v>135</v>
      </c>
      <c r="T93" s="52">
        <v>1</v>
      </c>
    </row>
    <row r="94" spans="1:20" ht="13.2" customHeight="1" x14ac:dyDescent="0.25">
      <c r="A94" s="52">
        <v>95</v>
      </c>
      <c r="B94" s="52" t="s">
        <v>41</v>
      </c>
      <c r="C94" s="52" t="s">
        <v>64</v>
      </c>
      <c r="D94" s="52" t="s">
        <v>162</v>
      </c>
      <c r="E94" s="56" t="s">
        <v>52</v>
      </c>
      <c r="F94" s="50"/>
      <c r="G94" s="106">
        <f>VLOOKUP($A94, Stat!$A$1:$C$501, 2,0)</f>
        <v>22</v>
      </c>
      <c r="H94" s="106">
        <f>VLOOKUP($A94, Stat!$A$1:$C$501, 3,0)</f>
        <v>0</v>
      </c>
      <c r="I94" s="109"/>
      <c r="L94" s="48">
        <v>1</v>
      </c>
      <c r="M94" s="49" t="s">
        <v>275</v>
      </c>
      <c r="N94" s="50"/>
      <c r="O94" s="50"/>
      <c r="P94" s="52">
        <v>60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customHeight="1" x14ac:dyDescent="0.25">
      <c r="A96" s="52">
        <v>97</v>
      </c>
      <c r="B96" s="52" t="s">
        <v>41</v>
      </c>
      <c r="C96" s="52" t="s">
        <v>249</v>
      </c>
      <c r="D96" s="52" t="s">
        <v>317</v>
      </c>
      <c r="E96" s="52" t="s">
        <v>496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497</v>
      </c>
      <c r="T96" s="52">
        <v>1</v>
      </c>
    </row>
    <row r="97" spans="1:20" ht="13.2" customHeight="1" x14ac:dyDescent="0.25">
      <c r="A97" s="52">
        <v>98</v>
      </c>
      <c r="B97" s="52" t="s">
        <v>39</v>
      </c>
      <c r="C97" s="52" t="s">
        <v>17</v>
      </c>
      <c r="D97" s="52" t="s">
        <v>156</v>
      </c>
      <c r="E97" s="56" t="s">
        <v>509</v>
      </c>
      <c r="F97" s="50"/>
      <c r="G97" s="106">
        <f>VLOOKUP($A97, Stat!$A$1:$C$501, 2,0)</f>
        <v>21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232</v>
      </c>
      <c r="T97" s="52">
        <v>1</v>
      </c>
    </row>
    <row r="98" spans="1:20" ht="13.2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210</v>
      </c>
      <c r="F98" s="49" t="s">
        <v>270</v>
      </c>
      <c r="G98" s="106">
        <f>VLOOKUP($A98, Stat!$A$1:$C$501, 2,0)</f>
        <v>149</v>
      </c>
      <c r="H98" s="106">
        <f>VLOOKUP($A98, Stat!$A$1:$C$501, 3,0)</f>
        <v>4</v>
      </c>
      <c r="I98" s="109"/>
      <c r="M98" s="49"/>
      <c r="N98" s="50"/>
      <c r="O98" s="49" t="s">
        <v>268</v>
      </c>
      <c r="P98" s="52">
        <v>30</v>
      </c>
      <c r="Q98" s="52">
        <v>0</v>
      </c>
      <c r="T98" s="52">
        <v>1</v>
      </c>
    </row>
    <row r="99" spans="1:20" ht="13.2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437</v>
      </c>
      <c r="T99" s="52">
        <v>1</v>
      </c>
    </row>
    <row r="100" spans="1:20" ht="13.2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81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437</v>
      </c>
      <c r="T100" s="52">
        <v>1</v>
      </c>
    </row>
    <row r="101" spans="1:20" ht="13.2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67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437</v>
      </c>
      <c r="T101" s="52">
        <v>1</v>
      </c>
    </row>
    <row r="102" spans="1:20" ht="13.2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38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437</v>
      </c>
      <c r="T102" s="52">
        <v>1</v>
      </c>
    </row>
    <row r="103" spans="1:20" ht="13.2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0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customHeight="1" x14ac:dyDescent="0.25">
      <c r="A107" s="52">
        <v>108</v>
      </c>
      <c r="B107" s="52" t="s">
        <v>39</v>
      </c>
      <c r="C107" s="52" t="s">
        <v>83</v>
      </c>
      <c r="D107" s="52" t="s">
        <v>124</v>
      </c>
      <c r="E107" s="56" t="s">
        <v>3</v>
      </c>
      <c r="F107" s="50"/>
      <c r="G107" s="106">
        <f>VLOOKUP($A107, Stat!$A$1:$C$501, 2,0)</f>
        <v>69</v>
      </c>
      <c r="H107" s="106">
        <f>VLOOKUP($A107, Stat!$A$1:$C$501, 3,0)</f>
        <v>0</v>
      </c>
      <c r="I107" s="109"/>
      <c r="M107" s="49" t="s">
        <v>262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customHeight="1" x14ac:dyDescent="0.25">
      <c r="A108" s="52">
        <v>109</v>
      </c>
      <c r="B108" s="52" t="s">
        <v>39</v>
      </c>
      <c r="C108" s="52" t="s">
        <v>83</v>
      </c>
      <c r="D108" s="52" t="s">
        <v>124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5</v>
      </c>
      <c r="I108" s="48">
        <v>1</v>
      </c>
      <c r="M108" s="49" t="s">
        <v>263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customHeight="1" x14ac:dyDescent="0.25">
      <c r="A109" s="52">
        <v>110</v>
      </c>
      <c r="B109" s="52" t="s">
        <v>39</v>
      </c>
      <c r="C109" s="52" t="s">
        <v>83</v>
      </c>
      <c r="D109" s="52" t="s">
        <v>124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264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customHeight="1" x14ac:dyDescent="0.25">
      <c r="A110" s="52">
        <v>111</v>
      </c>
      <c r="B110" s="52" t="s">
        <v>39</v>
      </c>
      <c r="C110" s="52" t="s">
        <v>83</v>
      </c>
      <c r="D110" s="52" t="s">
        <v>124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265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143</v>
      </c>
      <c r="H111" s="106">
        <f>VLOOKUP($A111, Stat!$A$1:$C$501, 3,0)</f>
        <v>0</v>
      </c>
      <c r="I111" s="109"/>
      <c r="M111" s="49" t="s">
        <v>396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22</v>
      </c>
      <c r="H112" s="106">
        <f>VLOOKUP($A112, Stat!$A$1:$C$501, 3,0)</f>
        <v>0</v>
      </c>
      <c r="I112" s="108"/>
      <c r="M112" s="49" t="s">
        <v>397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16</v>
      </c>
      <c r="H113" s="106">
        <f>VLOOKUP($A113, Stat!$A$1:$C$501, 3,0)</f>
        <v>0</v>
      </c>
      <c r="I113" s="108"/>
      <c r="M113" s="49" t="s">
        <v>398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20</v>
      </c>
      <c r="H114" s="106">
        <f>VLOOKUP($A114, Stat!$A$1:$C$501, 3,0)</f>
        <v>0</v>
      </c>
      <c r="I114" s="108"/>
      <c r="M114" s="49" t="s">
        <v>399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customHeight="1" x14ac:dyDescent="0.25">
      <c r="A115" s="52">
        <v>116</v>
      </c>
      <c r="B115" s="52" t="s">
        <v>39</v>
      </c>
      <c r="C115" s="52" t="s">
        <v>86</v>
      </c>
      <c r="D115" s="52" t="s">
        <v>169</v>
      </c>
      <c r="E115" s="56" t="s">
        <v>3</v>
      </c>
      <c r="F115" s="50"/>
      <c r="G115" s="106">
        <f>VLOOKUP($A115, Stat!$A$1:$C$501, 2,0)</f>
        <v>44</v>
      </c>
      <c r="H115" s="106">
        <f>VLOOKUP($A115, Stat!$A$1:$C$501, 3,0)</f>
        <v>0</v>
      </c>
      <c r="I115" s="108"/>
      <c r="M115" s="49" t="s">
        <v>396</v>
      </c>
      <c r="N115" s="50"/>
      <c r="O115" s="50"/>
      <c r="P115" s="52">
        <v>0</v>
      </c>
      <c r="Q115" s="52">
        <v>-1</v>
      </c>
      <c r="R115" s="52" t="s">
        <v>170</v>
      </c>
      <c r="T115" s="52">
        <v>1</v>
      </c>
    </row>
    <row r="116" spans="1:20" ht="13.2" customHeight="1" x14ac:dyDescent="0.25">
      <c r="A116" s="52">
        <v>117</v>
      </c>
      <c r="B116" s="52" t="s">
        <v>39</v>
      </c>
      <c r="C116" s="52" t="s">
        <v>86</v>
      </c>
      <c r="D116" s="52" t="s">
        <v>169</v>
      </c>
      <c r="E116" s="56" t="s">
        <v>4</v>
      </c>
      <c r="F116" s="50"/>
      <c r="G116" s="106">
        <f>VLOOKUP($A116, Stat!$A$1:$C$501, 2,0)</f>
        <v>56</v>
      </c>
      <c r="H116" s="106">
        <f>VLOOKUP($A116, Stat!$A$1:$C$501, 3,0)</f>
        <v>0</v>
      </c>
      <c r="I116" s="108"/>
      <c r="M116" s="49" t="s">
        <v>397</v>
      </c>
      <c r="N116" s="50"/>
      <c r="O116" s="50"/>
      <c r="P116" s="52">
        <v>0</v>
      </c>
      <c r="Q116" s="52">
        <v>-1</v>
      </c>
      <c r="R116" s="52" t="s">
        <v>170</v>
      </c>
      <c r="T116" s="52">
        <v>1</v>
      </c>
    </row>
    <row r="117" spans="1:20" ht="13.2" customHeight="1" x14ac:dyDescent="0.25">
      <c r="A117" s="52">
        <v>118</v>
      </c>
      <c r="B117" s="52" t="s">
        <v>39</v>
      </c>
      <c r="C117" s="52" t="s">
        <v>86</v>
      </c>
      <c r="D117" s="52" t="s">
        <v>169</v>
      </c>
      <c r="E117" s="56" t="s">
        <v>5</v>
      </c>
      <c r="F117" s="50"/>
      <c r="G117" s="106">
        <f>VLOOKUP($A117, Stat!$A$1:$C$501, 2,0)</f>
        <v>31</v>
      </c>
      <c r="H117" s="106">
        <f>VLOOKUP($A117, Stat!$A$1:$C$501, 3,0)</f>
        <v>0</v>
      </c>
      <c r="I117" s="108"/>
      <c r="M117" s="49" t="s">
        <v>398</v>
      </c>
      <c r="N117" s="50"/>
      <c r="O117" s="50"/>
      <c r="P117" s="52">
        <v>60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119</v>
      </c>
      <c r="B118" s="52" t="s">
        <v>39</v>
      </c>
      <c r="C118" s="52" t="s">
        <v>86</v>
      </c>
      <c r="D118" s="52" t="s">
        <v>169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399</v>
      </c>
      <c r="N118" s="50"/>
      <c r="O118" s="50"/>
      <c r="P118" s="52">
        <v>100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85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52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12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559</v>
      </c>
      <c r="T122" s="52">
        <v>1</v>
      </c>
    </row>
    <row r="123" spans="1:20" ht="13.2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33</v>
      </c>
      <c r="H123" s="106">
        <f>VLOOKUP($A123, Stat!$A$1:$C$501, 3,0)</f>
        <v>1</v>
      </c>
      <c r="M123" s="49" t="s">
        <v>396</v>
      </c>
      <c r="N123" s="50"/>
      <c r="O123" s="50"/>
      <c r="P123" s="52">
        <v>0</v>
      </c>
      <c r="Q123" s="52">
        <v>-1</v>
      </c>
      <c r="R123" s="52" t="s">
        <v>171</v>
      </c>
      <c r="T123" s="52">
        <v>1</v>
      </c>
    </row>
    <row r="124" spans="1:20" ht="13.2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53</v>
      </c>
      <c r="H124" s="106">
        <f>VLOOKUP($A124, Stat!$A$1:$C$501, 3,0)</f>
        <v>1</v>
      </c>
      <c r="M124" s="49" t="s">
        <v>397</v>
      </c>
      <c r="N124" s="50"/>
      <c r="O124" s="50"/>
      <c r="P124" s="52">
        <v>0</v>
      </c>
      <c r="Q124" s="52">
        <v>0</v>
      </c>
      <c r="R124" s="52" t="s">
        <v>171</v>
      </c>
      <c r="S124" s="52" t="s">
        <v>442</v>
      </c>
      <c r="T124" s="52">
        <v>1</v>
      </c>
    </row>
    <row r="125" spans="1:20" ht="13.2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96</v>
      </c>
      <c r="H125" s="106">
        <f>VLOOKUP($A125, Stat!$A$1:$C$501, 3,0)</f>
        <v>1</v>
      </c>
      <c r="M125" s="49" t="s">
        <v>398</v>
      </c>
      <c r="N125" s="50"/>
      <c r="O125" s="50"/>
      <c r="P125" s="52">
        <v>60</v>
      </c>
      <c r="Q125" s="52">
        <v>0</v>
      </c>
      <c r="R125" s="52" t="s">
        <v>171</v>
      </c>
      <c r="T125" s="52">
        <v>1</v>
      </c>
    </row>
    <row r="126" spans="1:20" ht="13.2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106</v>
      </c>
      <c r="H126" s="106">
        <f>VLOOKUP($A126, Stat!$A$1:$C$501, 3,0)</f>
        <v>1</v>
      </c>
      <c r="M126" s="49" t="s">
        <v>399</v>
      </c>
      <c r="N126" s="50"/>
      <c r="O126" s="50"/>
      <c r="P126" s="52">
        <v>100</v>
      </c>
      <c r="Q126" s="52">
        <v>0</v>
      </c>
      <c r="R126" s="52" t="s">
        <v>171</v>
      </c>
      <c r="T126" s="52">
        <v>1</v>
      </c>
    </row>
    <row r="127" spans="1:20" ht="13.2" customHeight="1" x14ac:dyDescent="0.25">
      <c r="A127" s="52">
        <v>128</v>
      </c>
      <c r="B127" s="52" t="s">
        <v>39</v>
      </c>
      <c r="C127" s="52" t="s">
        <v>83</v>
      </c>
      <c r="D127" s="52" t="s">
        <v>122</v>
      </c>
      <c r="E127" s="56" t="s">
        <v>3</v>
      </c>
      <c r="F127" s="50"/>
      <c r="G127" s="106">
        <f>VLOOKUP($A127, Stat!$A$1:$C$501, 2,0)</f>
        <v>144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customHeight="1" x14ac:dyDescent="0.25">
      <c r="A128" s="52">
        <v>129</v>
      </c>
      <c r="B128" s="52" t="s">
        <v>39</v>
      </c>
      <c r="C128" s="52" t="s">
        <v>83</v>
      </c>
      <c r="D128" s="52" t="s">
        <v>122</v>
      </c>
      <c r="E128" s="56" t="s">
        <v>4</v>
      </c>
      <c r="F128" s="50"/>
      <c r="G128" s="106">
        <f>VLOOKUP($A128, Stat!$A$1:$C$501, 2,0)</f>
        <v>64</v>
      </c>
      <c r="H128" s="106">
        <f>VLOOKUP($A128, Stat!$A$1:$C$501, 3,0)</f>
        <v>9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customHeight="1" x14ac:dyDescent="0.25">
      <c r="A129" s="52">
        <v>130</v>
      </c>
      <c r="B129" s="52" t="s">
        <v>39</v>
      </c>
      <c r="C129" s="52" t="s">
        <v>83</v>
      </c>
      <c r="D129" s="52" t="s">
        <v>122</v>
      </c>
      <c r="E129" s="56" t="s">
        <v>5</v>
      </c>
      <c r="F129" s="50"/>
      <c r="G129" s="106">
        <f>VLOOKUP($A129, Stat!$A$1:$C$501, 2,0)</f>
        <v>43</v>
      </c>
      <c r="H129" s="106">
        <f>VLOOKUP($A129, Stat!$A$1:$C$501, 3,0)</f>
        <v>5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customHeight="1" x14ac:dyDescent="0.25">
      <c r="A130" s="52">
        <v>131</v>
      </c>
      <c r="B130" s="52" t="s">
        <v>39</v>
      </c>
      <c r="C130" s="52" t="s">
        <v>83</v>
      </c>
      <c r="D130" s="52" t="s">
        <v>122</v>
      </c>
      <c r="E130" s="56" t="s">
        <v>51</v>
      </c>
      <c r="F130" s="50"/>
      <c r="G130" s="106">
        <f>VLOOKUP($A130, Stat!$A$1:$C$501, 2,0)</f>
        <v>29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customHeight="1" x14ac:dyDescent="0.25">
      <c r="A131" s="52">
        <v>132</v>
      </c>
      <c r="B131" s="52" t="s">
        <v>39</v>
      </c>
      <c r="C131" s="52" t="s">
        <v>83</v>
      </c>
      <c r="D131" s="52" t="s">
        <v>125</v>
      </c>
      <c r="E131" s="56" t="s">
        <v>3</v>
      </c>
      <c r="F131" s="50"/>
      <c r="G131" s="106">
        <f>VLOOKUP($A131, Stat!$A$1:$C$501, 2,0)</f>
        <v>172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customHeight="1" x14ac:dyDescent="0.25">
      <c r="A132" s="52">
        <v>133</v>
      </c>
      <c r="B132" s="52" t="s">
        <v>39</v>
      </c>
      <c r="C132" s="52" t="s">
        <v>83</v>
      </c>
      <c r="D132" s="52" t="s">
        <v>125</v>
      </c>
      <c r="E132" s="56" t="s">
        <v>4</v>
      </c>
      <c r="F132" s="50"/>
      <c r="G132" s="106">
        <f>VLOOKUP($A132, Stat!$A$1:$C$501, 2,0)</f>
        <v>63</v>
      </c>
      <c r="H132" s="106">
        <f>VLOOKUP($A132, Stat!$A$1:$C$501, 3,0)</f>
        <v>7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customHeight="1" x14ac:dyDescent="0.25">
      <c r="A133" s="52">
        <v>134</v>
      </c>
      <c r="B133" s="52" t="s">
        <v>39</v>
      </c>
      <c r="C133" s="52" t="s">
        <v>83</v>
      </c>
      <c r="D133" s="52" t="s">
        <v>125</v>
      </c>
      <c r="E133" s="56" t="s">
        <v>5</v>
      </c>
      <c r="F133" s="50"/>
      <c r="G133" s="106">
        <f>VLOOKUP($A133, Stat!$A$1:$C$501, 2,0)</f>
        <v>36</v>
      </c>
      <c r="H133" s="106">
        <f>VLOOKUP($A133, Stat!$A$1:$C$501, 3,0)</f>
        <v>6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customHeight="1" x14ac:dyDescent="0.25">
      <c r="A134" s="52">
        <v>135</v>
      </c>
      <c r="B134" s="52" t="s">
        <v>39</v>
      </c>
      <c r="C134" s="52" t="s">
        <v>83</v>
      </c>
      <c r="D134" s="52" t="s">
        <v>125</v>
      </c>
      <c r="E134" s="56" t="s">
        <v>51</v>
      </c>
      <c r="F134" s="50"/>
      <c r="G134" s="106">
        <f>VLOOKUP($A134, Stat!$A$1:$C$501, 2,0)</f>
        <v>13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customHeight="1" x14ac:dyDescent="0.25">
      <c r="A135" s="52">
        <v>136</v>
      </c>
      <c r="B135" s="52" t="s">
        <v>41</v>
      </c>
      <c r="C135" s="52" t="s">
        <v>64</v>
      </c>
      <c r="D135" s="52" t="s">
        <v>332</v>
      </c>
      <c r="E135" s="52" t="s">
        <v>528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526</v>
      </c>
      <c r="T135" s="52">
        <v>1</v>
      </c>
    </row>
    <row r="136" spans="1:20" ht="13.2" customHeight="1" x14ac:dyDescent="0.25">
      <c r="A136" s="52">
        <v>137</v>
      </c>
      <c r="B136" s="52" t="s">
        <v>41</v>
      </c>
      <c r="C136" s="52" t="s">
        <v>64</v>
      </c>
      <c r="D136" s="52" t="s">
        <v>332</v>
      </c>
      <c r="E136" s="52" t="s">
        <v>350</v>
      </c>
      <c r="G136" s="106">
        <f>VLOOKUP($A136, Stat!$A$1:$C$501, 2,0)</f>
        <v>13</v>
      </c>
      <c r="H136" s="106">
        <f>VLOOKUP($A136, Stat!$A$1:$C$501, 3,0)</f>
        <v>3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customHeight="1" x14ac:dyDescent="0.25">
      <c r="A137" s="52">
        <v>138</v>
      </c>
      <c r="B137" s="52" t="s">
        <v>41</v>
      </c>
      <c r="C137" s="52" t="s">
        <v>64</v>
      </c>
      <c r="D137" s="52" t="s">
        <v>332</v>
      </c>
      <c r="E137" s="52" t="s">
        <v>351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customHeight="1" x14ac:dyDescent="0.25">
      <c r="A138" s="52">
        <v>139</v>
      </c>
      <c r="B138" s="52" t="s">
        <v>41</v>
      </c>
      <c r="C138" s="52" t="s">
        <v>206</v>
      </c>
      <c r="D138" s="52" t="s">
        <v>194</v>
      </c>
      <c r="E138" s="52" t="s">
        <v>363</v>
      </c>
      <c r="G138" s="106">
        <f>VLOOKUP($A138, Stat!$A$1:$C$501, 2,0)</f>
        <v>10</v>
      </c>
      <c r="H138" s="106">
        <f>VLOOKUP($A138, Stat!$A$1:$C$501, 3,0)</f>
        <v>8</v>
      </c>
      <c r="I138" s="48">
        <v>1</v>
      </c>
      <c r="P138" s="52">
        <v>0</v>
      </c>
      <c r="Q138" s="52">
        <v>0</v>
      </c>
      <c r="S138" s="52" t="s">
        <v>470</v>
      </c>
      <c r="T138" s="52">
        <v>1</v>
      </c>
    </row>
    <row r="139" spans="1:20" ht="13.2" customHeight="1" x14ac:dyDescent="0.25">
      <c r="A139" s="52">
        <v>140</v>
      </c>
      <c r="B139" s="52" t="s">
        <v>39</v>
      </c>
      <c r="C139" s="52" t="s">
        <v>83</v>
      </c>
      <c r="D139" s="52" t="s">
        <v>123</v>
      </c>
      <c r="E139" s="56" t="s">
        <v>3</v>
      </c>
      <c r="F139" s="50"/>
      <c r="G139" s="106">
        <f>VLOOKUP($A139, Stat!$A$1:$C$501, 2,0)</f>
        <v>69</v>
      </c>
      <c r="H139" s="106">
        <f>VLOOKUP($A139, Stat!$A$1:$C$501, 3,0)</f>
        <v>1</v>
      </c>
      <c r="I139" s="109"/>
      <c r="M139" s="49" t="s">
        <v>258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customHeight="1" x14ac:dyDescent="0.25">
      <c r="A140" s="52">
        <v>141</v>
      </c>
      <c r="B140" s="52" t="s">
        <v>39</v>
      </c>
      <c r="C140" s="52" t="s">
        <v>83</v>
      </c>
      <c r="D140" s="52" t="s">
        <v>123</v>
      </c>
      <c r="E140" s="56" t="s">
        <v>4</v>
      </c>
      <c r="F140" s="50"/>
      <c r="G140" s="106">
        <f>VLOOKUP($A140, Stat!$A$1:$C$501, 2,0)</f>
        <v>28</v>
      </c>
      <c r="H140" s="106">
        <f>VLOOKUP($A140, Stat!$A$1:$C$501, 3,0)</f>
        <v>1</v>
      </c>
      <c r="I140" s="109"/>
      <c r="M140" s="49" t="s">
        <v>259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customHeight="1" x14ac:dyDescent="0.25">
      <c r="A141" s="52">
        <v>142</v>
      </c>
      <c r="B141" s="52" t="s">
        <v>39</v>
      </c>
      <c r="C141" s="52" t="s">
        <v>83</v>
      </c>
      <c r="D141" s="52" t="s">
        <v>123</v>
      </c>
      <c r="E141" s="56" t="s">
        <v>5</v>
      </c>
      <c r="F141" s="50"/>
      <c r="G141" s="106">
        <f>VLOOKUP($A141, Stat!$A$1:$C$501, 2,0)</f>
        <v>13</v>
      </c>
      <c r="H141" s="106">
        <f>VLOOKUP($A141, Stat!$A$1:$C$501, 3,0)</f>
        <v>3</v>
      </c>
      <c r="I141" s="48">
        <v>1</v>
      </c>
      <c r="M141" s="49" t="s">
        <v>260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customHeight="1" x14ac:dyDescent="0.25">
      <c r="A142" s="52">
        <v>143</v>
      </c>
      <c r="B142" s="52" t="s">
        <v>39</v>
      </c>
      <c r="C142" s="52" t="s">
        <v>83</v>
      </c>
      <c r="D142" s="52" t="s">
        <v>123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261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customHeight="1" x14ac:dyDescent="0.25">
      <c r="A143" s="52">
        <v>144</v>
      </c>
      <c r="B143" s="52" t="s">
        <v>39</v>
      </c>
      <c r="C143" s="52" t="s">
        <v>87</v>
      </c>
      <c r="D143" s="52" t="s">
        <v>395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438</v>
      </c>
      <c r="T143" s="52">
        <v>1</v>
      </c>
    </row>
    <row r="144" spans="1:20" ht="13.2" customHeight="1" x14ac:dyDescent="0.25">
      <c r="A144" s="52">
        <v>145</v>
      </c>
      <c r="B144" s="52" t="s">
        <v>39</v>
      </c>
      <c r="C144" s="52" t="s">
        <v>87</v>
      </c>
      <c r="D144" s="52" t="s">
        <v>395</v>
      </c>
      <c r="E144" s="56" t="s">
        <v>4</v>
      </c>
      <c r="F144" s="50"/>
      <c r="G144" s="106">
        <f>VLOOKUP($A144, Stat!$A$1:$C$501, 2,0)</f>
        <v>48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438</v>
      </c>
      <c r="T144" s="52">
        <v>1</v>
      </c>
    </row>
    <row r="145" spans="1:20" ht="13.2" customHeight="1" x14ac:dyDescent="0.25">
      <c r="A145" s="52">
        <v>146</v>
      </c>
      <c r="B145" s="52" t="s">
        <v>39</v>
      </c>
      <c r="C145" s="52" t="s">
        <v>87</v>
      </c>
      <c r="D145" s="52" t="s">
        <v>395</v>
      </c>
      <c r="E145" s="56" t="s">
        <v>5</v>
      </c>
      <c r="F145" s="50"/>
      <c r="G145" s="106">
        <f>VLOOKUP($A145, Stat!$A$1:$C$501, 2,0)</f>
        <v>33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438</v>
      </c>
      <c r="T145" s="52">
        <v>1</v>
      </c>
    </row>
    <row r="146" spans="1:20" ht="13.2" customHeight="1" x14ac:dyDescent="0.25">
      <c r="A146" s="52">
        <v>147</v>
      </c>
      <c r="B146" s="52" t="s">
        <v>39</v>
      </c>
      <c r="C146" s="52" t="s">
        <v>87</v>
      </c>
      <c r="D146" s="52" t="s">
        <v>395</v>
      </c>
      <c r="E146" s="56" t="s">
        <v>51</v>
      </c>
      <c r="F146" s="50"/>
      <c r="G146" s="106">
        <f>VLOOKUP($A146, Stat!$A$1:$C$501, 2,0)</f>
        <v>11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438</v>
      </c>
      <c r="T146" s="52">
        <v>1</v>
      </c>
    </row>
    <row r="147" spans="1:20" ht="13.2" customHeight="1" x14ac:dyDescent="0.25">
      <c r="A147" s="52">
        <v>148</v>
      </c>
      <c r="B147" s="52" t="s">
        <v>39</v>
      </c>
      <c r="C147" s="52" t="s">
        <v>83</v>
      </c>
      <c r="D147" s="52" t="s">
        <v>277</v>
      </c>
      <c r="E147" s="56" t="s">
        <v>3</v>
      </c>
      <c r="F147" s="50"/>
      <c r="G147" s="106">
        <f>VLOOKUP($A147, Stat!$A$1:$C$501, 2,0)</f>
        <v>46</v>
      </c>
      <c r="H147" s="106">
        <f>VLOOKUP($A147, Stat!$A$1:$C$501, 3,0)</f>
        <v>4</v>
      </c>
      <c r="I147" s="109"/>
      <c r="M147" s="49" t="s">
        <v>283</v>
      </c>
      <c r="N147" s="50"/>
      <c r="O147" s="50"/>
      <c r="P147" s="52">
        <v>0</v>
      </c>
      <c r="Q147" s="52">
        <v>0</v>
      </c>
      <c r="R147" s="52" t="s">
        <v>278</v>
      </c>
      <c r="T147" s="52">
        <v>1</v>
      </c>
    </row>
    <row r="148" spans="1:20" ht="13.2" customHeight="1" x14ac:dyDescent="0.25">
      <c r="A148" s="52">
        <v>149</v>
      </c>
      <c r="B148" s="52" t="s">
        <v>39</v>
      </c>
      <c r="C148" s="52" t="s">
        <v>83</v>
      </c>
      <c r="D148" s="52" t="s">
        <v>277</v>
      </c>
      <c r="E148" s="56" t="s">
        <v>4</v>
      </c>
      <c r="F148" s="50"/>
      <c r="G148" s="106">
        <f>VLOOKUP($A148, Stat!$A$1:$C$501, 2,0)</f>
        <v>7</v>
      </c>
      <c r="H148" s="106">
        <f>VLOOKUP($A148, Stat!$A$1:$C$501, 3,0)</f>
        <v>3</v>
      </c>
      <c r="I148" s="48">
        <v>1</v>
      </c>
      <c r="M148" s="49" t="s">
        <v>284</v>
      </c>
      <c r="N148" s="50"/>
      <c r="O148" s="50"/>
      <c r="P148" s="52">
        <v>0</v>
      </c>
      <c r="Q148" s="52">
        <v>0</v>
      </c>
      <c r="R148" s="52" t="s">
        <v>278</v>
      </c>
      <c r="T148" s="52">
        <v>1</v>
      </c>
    </row>
    <row r="149" spans="1:20" ht="13.2" customHeight="1" x14ac:dyDescent="0.25">
      <c r="A149" s="52">
        <v>150</v>
      </c>
      <c r="B149" s="52" t="s">
        <v>39</v>
      </c>
      <c r="C149" s="52" t="s">
        <v>83</v>
      </c>
      <c r="D149" s="52" t="s">
        <v>277</v>
      </c>
      <c r="E149" s="56" t="s">
        <v>5</v>
      </c>
      <c r="F149" s="50"/>
      <c r="G149" s="106">
        <f>VLOOKUP($A149, Stat!$A$1:$C$501, 2,0)</f>
        <v>13</v>
      </c>
      <c r="H149" s="106">
        <f>VLOOKUP($A149, Stat!$A$1:$C$501, 3,0)</f>
        <v>7</v>
      </c>
      <c r="I149" s="48">
        <v>1</v>
      </c>
      <c r="M149" s="49" t="s">
        <v>285</v>
      </c>
      <c r="N149" s="50"/>
      <c r="O149" s="50"/>
      <c r="P149" s="52">
        <v>60</v>
      </c>
      <c r="Q149" s="52">
        <v>0</v>
      </c>
      <c r="R149" s="52" t="s">
        <v>278</v>
      </c>
      <c r="T149" s="52">
        <v>1</v>
      </c>
    </row>
    <row r="150" spans="1:20" ht="13.2" customHeight="1" x14ac:dyDescent="0.25">
      <c r="A150" s="52">
        <v>151</v>
      </c>
      <c r="B150" s="52" t="s">
        <v>39</v>
      </c>
      <c r="C150" s="52" t="s">
        <v>83</v>
      </c>
      <c r="D150" s="52" t="s">
        <v>277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286</v>
      </c>
      <c r="N150" s="50"/>
      <c r="O150" s="50"/>
      <c r="P150" s="52">
        <v>100</v>
      </c>
      <c r="Q150" s="52">
        <v>0</v>
      </c>
      <c r="R150" s="52" t="s">
        <v>278</v>
      </c>
      <c r="T150" s="52">
        <v>1</v>
      </c>
    </row>
    <row r="151" spans="1:20" ht="13.2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235</v>
      </c>
      <c r="T151" s="52">
        <v>1</v>
      </c>
    </row>
    <row r="152" spans="1:20" ht="13.2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235</v>
      </c>
      <c r="T152" s="52">
        <v>1</v>
      </c>
    </row>
    <row r="153" spans="1:20" ht="13.2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11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236</v>
      </c>
      <c r="T153" s="52">
        <v>1</v>
      </c>
    </row>
    <row r="154" spans="1:20" ht="13.2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236</v>
      </c>
      <c r="T154" s="52">
        <v>1</v>
      </c>
    </row>
    <row r="155" spans="1:20" ht="13.2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4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236</v>
      </c>
      <c r="T155" s="52">
        <v>1</v>
      </c>
    </row>
    <row r="156" spans="1:20" ht="13.2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1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236</v>
      </c>
      <c r="T156" s="52">
        <v>1</v>
      </c>
    </row>
    <row r="157" spans="1:20" ht="13.2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18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9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18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164</v>
      </c>
      <c r="B163" s="52" t="s">
        <v>41</v>
      </c>
      <c r="C163" s="52" t="s">
        <v>60</v>
      </c>
      <c r="D163" s="52" t="s">
        <v>584</v>
      </c>
      <c r="E163" s="56" t="s">
        <v>105</v>
      </c>
      <c r="F163" s="50"/>
      <c r="G163" s="106">
        <f>VLOOKUP($A163, Stat!$A$1:$C$501, 2,0)</f>
        <v>9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customHeight="1" x14ac:dyDescent="0.25">
      <c r="A164" s="52">
        <v>165</v>
      </c>
      <c r="B164" s="52" t="s">
        <v>41</v>
      </c>
      <c r="C164" s="52" t="s">
        <v>60</v>
      </c>
      <c r="D164" s="52" t="s">
        <v>584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customHeight="1" x14ac:dyDescent="0.25">
      <c r="A165" s="52">
        <v>166</v>
      </c>
      <c r="B165" s="52" t="s">
        <v>41</v>
      </c>
      <c r="C165" s="52" t="s">
        <v>60</v>
      </c>
      <c r="D165" s="52" t="s">
        <v>584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customHeight="1" x14ac:dyDescent="0.25">
      <c r="A166" s="52">
        <v>167</v>
      </c>
      <c r="B166" s="52" t="s">
        <v>41</v>
      </c>
      <c r="C166" s="52" t="s">
        <v>60</v>
      </c>
      <c r="D166" s="52" t="s">
        <v>584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customHeight="1" x14ac:dyDescent="0.25">
      <c r="A167" s="52">
        <v>168</v>
      </c>
      <c r="B167" s="52" t="s">
        <v>41</v>
      </c>
      <c r="C167" s="52" t="s">
        <v>60</v>
      </c>
      <c r="D167" s="52" t="s">
        <v>584</v>
      </c>
      <c r="E167" s="56" t="s">
        <v>113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169</v>
      </c>
      <c r="B168" s="52" t="s">
        <v>41</v>
      </c>
      <c r="C168" s="52" t="s">
        <v>64</v>
      </c>
      <c r="D168" s="52" t="s">
        <v>129</v>
      </c>
      <c r="E168" s="56" t="s">
        <v>130</v>
      </c>
      <c r="F168" s="50"/>
      <c r="G168" s="106">
        <f>VLOOKUP($A168, Stat!$A$1:$C$501, 2,0)</f>
        <v>749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112</v>
      </c>
      <c r="T169" s="52">
        <v>1</v>
      </c>
    </row>
    <row r="170" spans="1:20" ht="13.2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112</v>
      </c>
      <c r="T170" s="52">
        <v>1</v>
      </c>
    </row>
    <row r="171" spans="1:20" ht="13.2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113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175</v>
      </c>
      <c r="B174" s="52" t="s">
        <v>39</v>
      </c>
      <c r="C174" s="52" t="s">
        <v>7</v>
      </c>
      <c r="D174" s="52" t="s">
        <v>116</v>
      </c>
      <c r="E174" s="56" t="s">
        <v>118</v>
      </c>
      <c r="F174" s="50"/>
      <c r="G174" s="106">
        <f>VLOOKUP($A174, Stat!$A$1:$C$501, 2,0)</f>
        <v>61</v>
      </c>
      <c r="H174" s="106">
        <f>VLOOKUP($A174, Stat!$A$1:$C$501, 3,0)</f>
        <v>7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customHeight="1" x14ac:dyDescent="0.25">
      <c r="A175" s="52">
        <v>176</v>
      </c>
      <c r="B175" s="52" t="s">
        <v>39</v>
      </c>
      <c r="C175" s="52" t="s">
        <v>7</v>
      </c>
      <c r="D175" s="52" t="s">
        <v>116</v>
      </c>
      <c r="E175" s="56" t="s">
        <v>119</v>
      </c>
      <c r="F175" s="50"/>
      <c r="G175" s="106">
        <f>VLOOKUP($A175, Stat!$A$1:$C$501, 2,0)</f>
        <v>68</v>
      </c>
      <c r="H175" s="106">
        <f>VLOOKUP($A175, Stat!$A$1:$C$501, 3,0)</f>
        <v>4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customHeight="1" x14ac:dyDescent="0.25">
      <c r="A176" s="52">
        <v>177</v>
      </c>
      <c r="B176" s="52" t="s">
        <v>39</v>
      </c>
      <c r="C176" s="52" t="s">
        <v>7</v>
      </c>
      <c r="D176" s="52" t="s">
        <v>116</v>
      </c>
      <c r="E176" s="56" t="s">
        <v>8</v>
      </c>
      <c r="F176" s="50"/>
      <c r="G176" s="106">
        <f>VLOOKUP($A176, Stat!$A$1:$C$501, 2,0)</f>
        <v>7</v>
      </c>
      <c r="H176" s="106">
        <f>VLOOKUP($A176, Stat!$A$1:$C$501, 3,0)</f>
        <v>4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customHeight="1" x14ac:dyDescent="0.25">
      <c r="A177" s="52">
        <v>178</v>
      </c>
      <c r="B177" s="52" t="s">
        <v>39</v>
      </c>
      <c r="C177" s="52" t="s">
        <v>7</v>
      </c>
      <c r="D177" s="52" t="s">
        <v>116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customHeight="1" x14ac:dyDescent="0.25">
      <c r="A178" s="52">
        <v>179</v>
      </c>
      <c r="B178" s="52" t="s">
        <v>39</v>
      </c>
      <c r="C178" s="52" t="s">
        <v>7</v>
      </c>
      <c r="D178" s="52" t="s">
        <v>116</v>
      </c>
      <c r="E178" s="56" t="s">
        <v>121</v>
      </c>
      <c r="F178" s="50"/>
      <c r="G178" s="106">
        <f>VLOOKUP($A178, Stat!$A$1:$C$501, 2,0)</f>
        <v>33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customHeight="1" x14ac:dyDescent="0.25">
      <c r="A179" s="52">
        <v>180</v>
      </c>
      <c r="B179" s="52" t="s">
        <v>39</v>
      </c>
      <c r="C179" s="52" t="s">
        <v>7</v>
      </c>
      <c r="D179" s="52" t="s">
        <v>116</v>
      </c>
      <c r="E179" s="56" t="s">
        <v>120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181</v>
      </c>
      <c r="B180" s="52" t="s">
        <v>39</v>
      </c>
      <c r="C180" s="52" t="s">
        <v>7</v>
      </c>
      <c r="D180" s="52" t="s">
        <v>117</v>
      </c>
      <c r="E180" s="56" t="s">
        <v>118</v>
      </c>
      <c r="F180" s="50"/>
      <c r="G180" s="106">
        <f>VLOOKUP($A180, Stat!$A$1:$C$501, 2,0)</f>
        <v>51</v>
      </c>
      <c r="H180" s="106">
        <f>VLOOKUP($A180, Stat!$A$1:$C$501, 3,0)</f>
        <v>8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182</v>
      </c>
      <c r="B181" s="52" t="s">
        <v>39</v>
      </c>
      <c r="C181" s="52" t="s">
        <v>7</v>
      </c>
      <c r="D181" s="52" t="s">
        <v>117</v>
      </c>
      <c r="E181" s="56" t="s">
        <v>119</v>
      </c>
      <c r="F181" s="50"/>
      <c r="G181" s="106">
        <f>VLOOKUP($A181, Stat!$A$1:$C$501, 2,0)</f>
        <v>33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customHeight="1" x14ac:dyDescent="0.25">
      <c r="A182" s="52">
        <v>183</v>
      </c>
      <c r="B182" s="52" t="s">
        <v>39</v>
      </c>
      <c r="C182" s="52" t="s">
        <v>7</v>
      </c>
      <c r="D182" s="52" t="s">
        <v>117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customHeight="1" x14ac:dyDescent="0.25">
      <c r="A183" s="52">
        <v>184</v>
      </c>
      <c r="B183" s="52" t="s">
        <v>39</v>
      </c>
      <c r="C183" s="52" t="s">
        <v>7</v>
      </c>
      <c r="D183" s="52" t="s">
        <v>117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customHeight="1" x14ac:dyDescent="0.25">
      <c r="A184" s="52">
        <v>185</v>
      </c>
      <c r="B184" s="52" t="s">
        <v>39</v>
      </c>
      <c r="C184" s="52" t="s">
        <v>7</v>
      </c>
      <c r="D184" s="52" t="s">
        <v>117</v>
      </c>
      <c r="E184" s="56" t="s">
        <v>121</v>
      </c>
      <c r="F184" s="50"/>
      <c r="G184" s="106">
        <f>VLOOKUP($A184, Stat!$A$1:$C$501, 2,0)</f>
        <v>32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customHeight="1" x14ac:dyDescent="0.25">
      <c r="A185" s="52">
        <v>186</v>
      </c>
      <c r="B185" s="52" t="s">
        <v>39</v>
      </c>
      <c r="C185" s="52" t="s">
        <v>7</v>
      </c>
      <c r="D185" s="52" t="s">
        <v>117</v>
      </c>
      <c r="E185" s="56" t="s">
        <v>120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187</v>
      </c>
      <c r="B186" s="52" t="s">
        <v>41</v>
      </c>
      <c r="C186" s="52" t="s">
        <v>64</v>
      </c>
      <c r="D186" s="52" t="s">
        <v>129</v>
      </c>
      <c r="E186" s="56" t="s">
        <v>180</v>
      </c>
      <c r="F186" s="50"/>
      <c r="G186" s="106">
        <f>VLOOKUP($A186, Stat!$A$1:$C$501, 2,0)</f>
        <v>132</v>
      </c>
      <c r="H186" s="106">
        <f>VLOOKUP($A186, Stat!$A$1:$C$501, 3,0)</f>
        <v>8</v>
      </c>
      <c r="I186" s="109"/>
      <c r="M186" s="49" t="s">
        <v>333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customHeight="1" x14ac:dyDescent="0.25">
      <c r="A187" s="52">
        <v>188</v>
      </c>
      <c r="B187" s="52" t="s">
        <v>41</v>
      </c>
      <c r="C187" s="52" t="s">
        <v>64</v>
      </c>
      <c r="D187" s="52" t="s">
        <v>138</v>
      </c>
      <c r="E187" s="56" t="s">
        <v>270</v>
      </c>
      <c r="F187" s="50"/>
      <c r="G187" s="106">
        <f>VLOOKUP($A187, Stat!$A$1:$C$501, 2,0)</f>
        <v>20</v>
      </c>
      <c r="H187" s="106">
        <f>VLOOKUP($A187, Stat!$A$1:$C$501, 3,0)</f>
        <v>2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136</v>
      </c>
      <c r="T187" s="52">
        <v>1</v>
      </c>
    </row>
    <row r="188" spans="1:20" ht="13.2" customHeight="1" x14ac:dyDescent="0.25">
      <c r="A188" s="52">
        <v>189</v>
      </c>
      <c r="B188" s="52" t="s">
        <v>41</v>
      </c>
      <c r="C188" s="52" t="s">
        <v>64</v>
      </c>
      <c r="D188" s="52" t="s">
        <v>138</v>
      </c>
      <c r="E188" s="56" t="s">
        <v>312</v>
      </c>
      <c r="F188" s="50"/>
      <c r="G188" s="106">
        <f>VLOOKUP($A188, Stat!$A$1:$C$501, 2,0)</f>
        <v>14</v>
      </c>
      <c r="H188" s="106">
        <f>VLOOKUP($A188, Stat!$A$1:$C$501, 3,0)</f>
        <v>0</v>
      </c>
      <c r="I188" s="109"/>
      <c r="L188" s="48">
        <v>1</v>
      </c>
      <c r="M188" s="49" t="s">
        <v>274</v>
      </c>
      <c r="N188" s="50"/>
      <c r="O188" s="50"/>
      <c r="P188" s="52">
        <v>40</v>
      </c>
      <c r="Q188" s="52">
        <v>1</v>
      </c>
      <c r="R188" s="52" t="s">
        <v>136</v>
      </c>
      <c r="T188" s="52">
        <v>1</v>
      </c>
    </row>
    <row r="189" spans="1:20" ht="13.2" customHeight="1" x14ac:dyDescent="0.25">
      <c r="A189" s="52">
        <v>190</v>
      </c>
      <c r="B189" s="52" t="s">
        <v>41</v>
      </c>
      <c r="C189" s="52" t="s">
        <v>64</v>
      </c>
      <c r="D189" s="52" t="s">
        <v>138</v>
      </c>
      <c r="E189" s="56" t="s">
        <v>52</v>
      </c>
      <c r="F189" s="50"/>
      <c r="G189" s="106">
        <f>VLOOKUP($A189, Stat!$A$1:$C$501, 2,0)</f>
        <v>3</v>
      </c>
      <c r="H189" s="106">
        <f>VLOOKUP($A189, Stat!$A$1:$C$501, 3,0)</f>
        <v>0</v>
      </c>
      <c r="I189" s="109"/>
      <c r="L189" s="48">
        <v>1</v>
      </c>
      <c r="M189" s="49" t="s">
        <v>273</v>
      </c>
      <c r="N189" s="50"/>
      <c r="O189" s="50"/>
      <c r="P189" s="52">
        <v>60</v>
      </c>
      <c r="Q189" s="52">
        <v>0</v>
      </c>
      <c r="R189" s="52" t="s">
        <v>136</v>
      </c>
      <c r="T189" s="52">
        <v>1</v>
      </c>
    </row>
    <row r="190" spans="1:20" ht="13.2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145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226</v>
      </c>
      <c r="T190" s="52">
        <v>1</v>
      </c>
    </row>
    <row r="191" spans="1:20" ht="13.2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145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226</v>
      </c>
      <c r="T191" s="52">
        <v>1</v>
      </c>
    </row>
    <row r="192" spans="1:20" ht="13.2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141</v>
      </c>
      <c r="F192" s="50"/>
      <c r="G192" s="106">
        <f>VLOOKUP($A192, Stat!$A$1:$C$501, 2,0)</f>
        <v>178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383</v>
      </c>
      <c r="T192" s="52">
        <v>1</v>
      </c>
    </row>
    <row r="193" spans="1:20" ht="13.2" customHeight="1" x14ac:dyDescent="0.25">
      <c r="A193" s="52">
        <v>194</v>
      </c>
      <c r="B193" s="52" t="s">
        <v>41</v>
      </c>
      <c r="C193" s="52" t="s">
        <v>18</v>
      </c>
      <c r="D193" s="52" t="s">
        <v>447</v>
      </c>
      <c r="E193" s="56" t="s">
        <v>149</v>
      </c>
      <c r="F193" s="49" t="s">
        <v>270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401</v>
      </c>
      <c r="T193" s="52">
        <v>1</v>
      </c>
    </row>
    <row r="194" spans="1:20" ht="13.2" customHeight="1" x14ac:dyDescent="0.25">
      <c r="A194" s="52">
        <v>195</v>
      </c>
      <c r="B194" s="52" t="s">
        <v>41</v>
      </c>
      <c r="C194" s="52" t="s">
        <v>18</v>
      </c>
      <c r="D194" s="52" t="s">
        <v>447</v>
      </c>
      <c r="E194" s="56" t="s">
        <v>66</v>
      </c>
      <c r="F194" s="49" t="s">
        <v>270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401</v>
      </c>
      <c r="T194" s="52">
        <v>1</v>
      </c>
    </row>
    <row r="195" spans="1:20" ht="13.2" customHeight="1" x14ac:dyDescent="0.25">
      <c r="A195" s="52">
        <v>196</v>
      </c>
      <c r="B195" s="52" t="s">
        <v>39</v>
      </c>
      <c r="C195" s="52" t="s">
        <v>15</v>
      </c>
      <c r="D195" s="52" t="s">
        <v>146</v>
      </c>
      <c r="E195" s="56" t="s">
        <v>371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445</v>
      </c>
      <c r="T195" s="52">
        <v>1</v>
      </c>
    </row>
    <row r="196" spans="1:20" ht="13.2" customHeight="1" x14ac:dyDescent="0.25">
      <c r="A196" s="52">
        <v>197</v>
      </c>
      <c r="B196" s="52" t="s">
        <v>41</v>
      </c>
      <c r="C196" s="52" t="s">
        <v>206</v>
      </c>
      <c r="D196" s="52" t="s">
        <v>206</v>
      </c>
      <c r="E196" s="56" t="s">
        <v>222</v>
      </c>
      <c r="F196" s="50"/>
      <c r="G196" s="106">
        <f>VLOOKUP($A196, Stat!$A$1:$C$501, 2,0)</f>
        <v>4</v>
      </c>
      <c r="H196" s="106">
        <f>VLOOKUP($A196, Stat!$A$1:$C$501, 3,0)</f>
        <v>3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244</v>
      </c>
      <c r="T196" s="52">
        <v>1</v>
      </c>
    </row>
    <row r="197" spans="1:20" ht="13.2" customHeight="1" x14ac:dyDescent="0.25">
      <c r="A197" s="52">
        <v>198</v>
      </c>
      <c r="B197" s="52" t="s">
        <v>39</v>
      </c>
      <c r="C197" s="52" t="s">
        <v>17</v>
      </c>
      <c r="D197" s="52" t="s">
        <v>156</v>
      </c>
      <c r="E197" s="56" t="s">
        <v>387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232</v>
      </c>
      <c r="T197" s="52">
        <v>1</v>
      </c>
    </row>
    <row r="198" spans="1:20" ht="13.2" customHeight="1" x14ac:dyDescent="0.25">
      <c r="A198" s="52">
        <v>199</v>
      </c>
      <c r="B198" s="52" t="s">
        <v>41</v>
      </c>
      <c r="C198" s="52" t="s">
        <v>60</v>
      </c>
      <c r="D198" s="52" t="s">
        <v>159</v>
      </c>
      <c r="E198" s="56" t="s">
        <v>514</v>
      </c>
      <c r="F198" s="50"/>
      <c r="G198" s="106">
        <f>VLOOKUP($A198, Stat!$A$1:$C$501, 2,0)</f>
        <v>44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148</v>
      </c>
      <c r="F199" s="50"/>
      <c r="G199" s="106">
        <f>VLOOKUP($A199, Stat!$A$1:$C$501, 2,0)</f>
        <v>24</v>
      </c>
      <c r="H199" s="106">
        <f>VLOOKUP($A199, Stat!$A$1:$C$501, 3,0)</f>
        <v>6</v>
      </c>
      <c r="M199" s="50"/>
      <c r="N199" s="50"/>
      <c r="O199" s="50"/>
      <c r="P199" s="52">
        <v>60</v>
      </c>
      <c r="Q199" s="52">
        <v>0</v>
      </c>
      <c r="S199" s="52" t="s">
        <v>234</v>
      </c>
      <c r="T199" s="52">
        <v>1</v>
      </c>
    </row>
    <row r="200" spans="1:20" ht="13.2" customHeight="1" x14ac:dyDescent="0.25">
      <c r="A200" s="52">
        <v>201</v>
      </c>
      <c r="B200" s="52" t="s">
        <v>41</v>
      </c>
      <c r="C200" s="52" t="s">
        <v>60</v>
      </c>
      <c r="D200" s="52" t="s">
        <v>150</v>
      </c>
      <c r="E200" s="56" t="s">
        <v>147</v>
      </c>
      <c r="F200" s="50"/>
      <c r="G200" s="106">
        <f>VLOOKUP($A200, Stat!$A$1:$C$501, 2,0)</f>
        <v>6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202</v>
      </c>
      <c r="B201" s="52" t="s">
        <v>39</v>
      </c>
      <c r="C201" s="52" t="s">
        <v>7</v>
      </c>
      <c r="D201" s="52" t="s">
        <v>168</v>
      </c>
      <c r="E201" s="56" t="s">
        <v>410</v>
      </c>
      <c r="F201" s="50"/>
      <c r="G201" s="106">
        <f>VLOOKUP($A201, Stat!$A$1:$C$501, 2,0)</f>
        <v>6</v>
      </c>
      <c r="H201" s="106">
        <f>VLOOKUP($A201, Stat!$A$1:$C$501, 3,0)</f>
        <v>0</v>
      </c>
      <c r="I201" s="109"/>
      <c r="L201" s="48">
        <v>1</v>
      </c>
      <c r="M201" s="49" t="s">
        <v>415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customHeight="1" x14ac:dyDescent="0.25">
      <c r="A202" s="52">
        <v>203</v>
      </c>
      <c r="B202" s="52" t="s">
        <v>39</v>
      </c>
      <c r="C202" s="52" t="s">
        <v>7</v>
      </c>
      <c r="D202" s="52" t="s">
        <v>168</v>
      </c>
      <c r="E202" s="56" t="s">
        <v>412</v>
      </c>
      <c r="F202" s="50"/>
      <c r="G202" s="106">
        <f>VLOOKUP($A202, Stat!$A$1:$C$501, 2,0)</f>
        <v>9</v>
      </c>
      <c r="H202" s="106">
        <f>VLOOKUP($A202, Stat!$A$1:$C$501, 3,0)</f>
        <v>0</v>
      </c>
      <c r="I202" s="109"/>
      <c r="L202" s="48">
        <v>1</v>
      </c>
      <c r="M202" s="49" t="s">
        <v>416</v>
      </c>
      <c r="N202" s="50"/>
      <c r="O202" s="50"/>
      <c r="P202" s="52">
        <v>60</v>
      </c>
      <c r="Q202" s="52">
        <v>0</v>
      </c>
      <c r="S202" s="52" t="s">
        <v>227</v>
      </c>
      <c r="T202" s="52">
        <v>1</v>
      </c>
    </row>
    <row r="203" spans="1:20" ht="13.2" customHeight="1" x14ac:dyDescent="0.25">
      <c r="A203" s="52">
        <v>204</v>
      </c>
      <c r="B203" s="52" t="s">
        <v>39</v>
      </c>
      <c r="C203" s="52" t="s">
        <v>86</v>
      </c>
      <c r="D203" s="52" t="s">
        <v>189</v>
      </c>
      <c r="E203" s="56" t="s">
        <v>3</v>
      </c>
      <c r="F203" s="50"/>
      <c r="G203" s="106">
        <f>VLOOKUP($A203, Stat!$A$1:$C$501, 2,0)</f>
        <v>71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customHeight="1" x14ac:dyDescent="0.25">
      <c r="A204" s="52">
        <v>205</v>
      </c>
      <c r="B204" s="52" t="s">
        <v>39</v>
      </c>
      <c r="C204" s="52" t="s">
        <v>86</v>
      </c>
      <c r="D204" s="52" t="s">
        <v>189</v>
      </c>
      <c r="E204" s="56" t="s">
        <v>4</v>
      </c>
      <c r="F204" s="50"/>
      <c r="G204" s="106">
        <f>VLOOKUP($A204, Stat!$A$1:$C$501, 2,0)</f>
        <v>13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customHeight="1" x14ac:dyDescent="0.25">
      <c r="A205" s="52">
        <v>206</v>
      </c>
      <c r="B205" s="52" t="s">
        <v>39</v>
      </c>
      <c r="C205" s="52" t="s">
        <v>86</v>
      </c>
      <c r="D205" s="52" t="s">
        <v>189</v>
      </c>
      <c r="E205" s="56" t="s">
        <v>5</v>
      </c>
      <c r="F205" s="50"/>
      <c r="G205" s="106">
        <f>VLOOKUP($A205, Stat!$A$1:$C$501, 2,0)</f>
        <v>33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customHeight="1" x14ac:dyDescent="0.25">
      <c r="A206" s="52">
        <v>207</v>
      </c>
      <c r="B206" s="52" t="s">
        <v>39</v>
      </c>
      <c r="C206" s="52" t="s">
        <v>86</v>
      </c>
      <c r="D206" s="52" t="s">
        <v>189</v>
      </c>
      <c r="E206" s="56" t="s">
        <v>51</v>
      </c>
      <c r="F206" s="50"/>
      <c r="G206" s="106">
        <f>VLOOKUP($A206, Stat!$A$1:$C$501, 2,0)</f>
        <v>17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customHeight="1" x14ac:dyDescent="0.25">
      <c r="A207" s="52">
        <v>208</v>
      </c>
      <c r="B207" s="52" t="s">
        <v>41</v>
      </c>
      <c r="C207" s="52" t="s">
        <v>64</v>
      </c>
      <c r="D207" s="52" t="s">
        <v>173</v>
      </c>
      <c r="E207" s="56" t="s">
        <v>175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177</v>
      </c>
      <c r="T207" s="52">
        <v>1</v>
      </c>
    </row>
    <row r="208" spans="1:20" ht="13.2" customHeight="1" x14ac:dyDescent="0.25">
      <c r="A208" s="52">
        <v>209</v>
      </c>
      <c r="B208" s="52" t="s">
        <v>41</v>
      </c>
      <c r="C208" s="52" t="s">
        <v>64</v>
      </c>
      <c r="D208" s="52" t="s">
        <v>173</v>
      </c>
      <c r="E208" s="56" t="s">
        <v>176</v>
      </c>
      <c r="F208" s="50"/>
      <c r="G208" s="106">
        <f>VLOOKUP($A208, Stat!$A$1:$C$501, 2,0)</f>
        <v>27</v>
      </c>
      <c r="H208" s="106">
        <f>VLOOKUP($A208, Stat!$A$1:$C$501, 3,0)</f>
        <v>3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177</v>
      </c>
      <c r="T208" s="52">
        <v>1</v>
      </c>
    </row>
    <row r="209" spans="1:20" ht="13.2" customHeight="1" x14ac:dyDescent="0.25">
      <c r="A209" s="52">
        <v>210</v>
      </c>
      <c r="B209" s="52" t="s">
        <v>41</v>
      </c>
      <c r="C209" s="52" t="s">
        <v>64</v>
      </c>
      <c r="D209" s="52" t="s">
        <v>173</v>
      </c>
      <c r="E209" s="56" t="s">
        <v>310</v>
      </c>
      <c r="F209" s="50"/>
      <c r="G209" s="106">
        <f>VLOOKUP($A209, Stat!$A$1:$C$501, 2,0)</f>
        <v>19</v>
      </c>
      <c r="H209" s="106">
        <f>VLOOKUP($A209, Stat!$A$1:$C$501, 3,0)</f>
        <v>9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177</v>
      </c>
      <c r="T209" s="52">
        <v>1</v>
      </c>
    </row>
    <row r="210" spans="1:20" ht="13.2" customHeight="1" x14ac:dyDescent="0.25">
      <c r="A210" s="52">
        <v>211</v>
      </c>
      <c r="B210" s="52" t="s">
        <v>41</v>
      </c>
      <c r="C210" s="52" t="s">
        <v>64</v>
      </c>
      <c r="D210" s="52" t="s">
        <v>173</v>
      </c>
      <c r="E210" s="56" t="s">
        <v>311</v>
      </c>
      <c r="F210" s="50"/>
      <c r="G210" s="106">
        <f>VLOOKUP($A210, Stat!$A$1:$C$501, 2,0)</f>
        <v>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60</v>
      </c>
      <c r="Q210" s="52">
        <v>1</v>
      </c>
      <c r="R210" s="52" t="s">
        <v>177</v>
      </c>
      <c r="T210" s="52">
        <v>1</v>
      </c>
    </row>
    <row r="211" spans="1:20" ht="13.2" customHeight="1" x14ac:dyDescent="0.25">
      <c r="A211" s="52">
        <v>212</v>
      </c>
      <c r="B211" s="52" t="s">
        <v>41</v>
      </c>
      <c r="C211" s="52" t="s">
        <v>64</v>
      </c>
      <c r="D211" s="52" t="s">
        <v>174</v>
      </c>
      <c r="E211" s="56" t="s">
        <v>175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178</v>
      </c>
      <c r="T211" s="52">
        <v>1</v>
      </c>
    </row>
    <row r="212" spans="1:20" ht="13.2" customHeight="1" x14ac:dyDescent="0.25">
      <c r="A212" s="52">
        <v>213</v>
      </c>
      <c r="B212" s="52" t="s">
        <v>41</v>
      </c>
      <c r="C212" s="52" t="s">
        <v>64</v>
      </c>
      <c r="D212" s="52" t="s">
        <v>174</v>
      </c>
      <c r="E212" s="56" t="s">
        <v>176</v>
      </c>
      <c r="F212" s="50"/>
      <c r="G212" s="106">
        <f>VLOOKUP($A212, Stat!$A$1:$C$501, 2,0)</f>
        <v>21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178</v>
      </c>
      <c r="T212" s="52">
        <v>1</v>
      </c>
    </row>
    <row r="213" spans="1:20" ht="13.2" customHeight="1" x14ac:dyDescent="0.25">
      <c r="A213" s="52">
        <v>214</v>
      </c>
      <c r="B213" s="52" t="s">
        <v>41</v>
      </c>
      <c r="C213" s="52" t="s">
        <v>64</v>
      </c>
      <c r="D213" s="52" t="s">
        <v>174</v>
      </c>
      <c r="E213" s="56" t="s">
        <v>310</v>
      </c>
      <c r="F213" s="50"/>
      <c r="G213" s="106">
        <f>VLOOKUP($A213, Stat!$A$1:$C$501, 2,0)</f>
        <v>17</v>
      </c>
      <c r="H213" s="106">
        <f>VLOOKUP($A213, Stat!$A$1:$C$501, 3,0)</f>
        <v>6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215</v>
      </c>
      <c r="B214" s="52" t="s">
        <v>41</v>
      </c>
      <c r="C214" s="52" t="s">
        <v>64</v>
      </c>
      <c r="D214" s="52" t="s">
        <v>174</v>
      </c>
      <c r="E214" s="56" t="s">
        <v>311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216</v>
      </c>
      <c r="B215" s="52" t="s">
        <v>41</v>
      </c>
      <c r="C215" s="52" t="s">
        <v>64</v>
      </c>
      <c r="D215" s="52" t="s">
        <v>179</v>
      </c>
      <c r="E215" s="56" t="s">
        <v>184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510</v>
      </c>
      <c r="T215" s="52">
        <v>1</v>
      </c>
    </row>
    <row r="216" spans="1:20" ht="13.2" customHeight="1" x14ac:dyDescent="0.25">
      <c r="A216" s="52">
        <v>217</v>
      </c>
      <c r="B216" s="52" t="s">
        <v>41</v>
      </c>
      <c r="C216" s="52" t="s">
        <v>64</v>
      </c>
      <c r="D216" s="52" t="s">
        <v>179</v>
      </c>
      <c r="E216" s="56" t="s">
        <v>183</v>
      </c>
      <c r="F216" s="50"/>
      <c r="G216" s="106">
        <f>VLOOKUP($A216, Stat!$A$1:$C$501, 2,0)</f>
        <v>5</v>
      </c>
      <c r="H216" s="106">
        <f>VLOOKUP($A216, Stat!$A$1:$C$501, 3,0)</f>
        <v>3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511</v>
      </c>
      <c r="T216" s="52">
        <v>1</v>
      </c>
    </row>
    <row r="217" spans="1:20" ht="13.2" customHeight="1" x14ac:dyDescent="0.25">
      <c r="A217" s="52">
        <v>218</v>
      </c>
      <c r="B217" s="52" t="s">
        <v>41</v>
      </c>
      <c r="C217" s="52" t="s">
        <v>64</v>
      </c>
      <c r="D217" s="52" t="s">
        <v>179</v>
      </c>
      <c r="E217" s="56" t="s">
        <v>182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239</v>
      </c>
      <c r="T217" s="52">
        <v>1</v>
      </c>
    </row>
    <row r="218" spans="1:20" ht="13.2" customHeight="1" x14ac:dyDescent="0.25">
      <c r="A218" s="52">
        <v>219</v>
      </c>
      <c r="B218" s="52" t="s">
        <v>41</v>
      </c>
      <c r="C218" s="52" t="s">
        <v>64</v>
      </c>
      <c r="D218" s="52" t="s">
        <v>179</v>
      </c>
      <c r="E218" s="56" t="s">
        <v>181</v>
      </c>
      <c r="F218" s="50"/>
      <c r="G218" s="106">
        <f>VLOOKUP($A218, Stat!$A$1:$C$501, 2,0)</f>
        <v>25</v>
      </c>
      <c r="H218" s="106">
        <f>VLOOKUP($A218, Stat!$A$1:$C$501, 3,0)</f>
        <v>5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238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179</v>
      </c>
      <c r="E219" s="56" t="s">
        <v>50</v>
      </c>
      <c r="F219" s="50"/>
      <c r="G219" s="106">
        <f>VLOOKUP($A219, Stat!$A$1:$C$501, 2,0)</f>
        <v>15</v>
      </c>
      <c r="H219" s="106">
        <f>VLOOKUP($A219, Stat!$A$1:$C$501, 3,0)</f>
        <v>11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customHeight="1" x14ac:dyDescent="0.25">
      <c r="A220" s="52">
        <v>221</v>
      </c>
      <c r="B220" s="52" t="s">
        <v>41</v>
      </c>
      <c r="C220" s="52" t="s">
        <v>64</v>
      </c>
      <c r="D220" s="52" t="s">
        <v>179</v>
      </c>
      <c r="E220" s="56" t="s">
        <v>180</v>
      </c>
      <c r="F220" s="50"/>
      <c r="G220" s="106">
        <f>VLOOKUP($A220, Stat!$A$1:$C$501, 2,0)</f>
        <v>15</v>
      </c>
      <c r="H220" s="106">
        <f>VLOOKUP($A220, Stat!$A$1:$C$501, 3,0)</f>
        <v>7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customHeight="1" x14ac:dyDescent="0.25">
      <c r="A221" s="52">
        <v>222</v>
      </c>
      <c r="B221" s="52" t="s">
        <v>41</v>
      </c>
      <c r="C221" s="52" t="s">
        <v>64</v>
      </c>
      <c r="D221" s="52" t="s">
        <v>179</v>
      </c>
      <c r="E221" s="56" t="s">
        <v>185</v>
      </c>
      <c r="F221" s="50"/>
      <c r="G221" s="106">
        <f>VLOOKUP($A221, Stat!$A$1:$C$501, 2,0)</f>
        <v>5</v>
      </c>
      <c r="H221" s="106">
        <f>VLOOKUP($A221, Stat!$A$1:$C$501, 3,0)</f>
        <v>3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300</v>
      </c>
      <c r="T221" s="52">
        <v>1</v>
      </c>
    </row>
    <row r="222" spans="1:20" ht="13.2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471</v>
      </c>
      <c r="F222" s="50"/>
      <c r="G222" s="106">
        <f>VLOOKUP($A222, Stat!$A$1:$C$501, 2,0)</f>
        <v>11</v>
      </c>
      <c r="H222" s="106">
        <f>VLOOKUP($A222, Stat!$A$1:$C$501, 3,0)</f>
        <v>4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240</v>
      </c>
      <c r="T222" s="52">
        <v>1</v>
      </c>
    </row>
    <row r="223" spans="1:20" ht="13.2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339</v>
      </c>
      <c r="F223" s="50"/>
      <c r="G223" s="106">
        <f>VLOOKUP($A223, Stat!$A$1:$C$501, 2,0)</f>
        <v>8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340</v>
      </c>
      <c r="T223" s="52">
        <v>1</v>
      </c>
    </row>
    <row r="224" spans="1:20" ht="13.2" customHeight="1" x14ac:dyDescent="0.25">
      <c r="A224" s="52">
        <v>225</v>
      </c>
      <c r="B224" s="52" t="s">
        <v>41</v>
      </c>
      <c r="C224" s="52" t="s">
        <v>64</v>
      </c>
      <c r="D224" s="52" t="s">
        <v>137</v>
      </c>
      <c r="E224" s="56" t="s">
        <v>186</v>
      </c>
      <c r="F224" s="50"/>
      <c r="G224" s="106">
        <f>VLOOKUP($A224, Stat!$A$1:$C$501, 2,0)</f>
        <v>401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customHeight="1" x14ac:dyDescent="0.25">
      <c r="A225" s="52">
        <v>226</v>
      </c>
      <c r="B225" s="52" t="s">
        <v>41</v>
      </c>
      <c r="C225" s="52" t="s">
        <v>206</v>
      </c>
      <c r="D225" s="52" t="s">
        <v>195</v>
      </c>
      <c r="E225" s="56" t="s">
        <v>197</v>
      </c>
      <c r="F225" s="50"/>
      <c r="G225" s="106">
        <f>VLOOKUP($A225, Stat!$A$1:$C$501, 2,0)</f>
        <v>11</v>
      </c>
      <c r="H225" s="106">
        <f>VLOOKUP($A225, Stat!$A$1:$C$501, 3,0)</f>
        <v>7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customHeight="1" x14ac:dyDescent="0.25">
      <c r="A226" s="52">
        <v>227</v>
      </c>
      <c r="B226" s="52" t="s">
        <v>41</v>
      </c>
      <c r="C226" s="52" t="s">
        <v>206</v>
      </c>
      <c r="D226" s="52" t="s">
        <v>195</v>
      </c>
      <c r="E226" s="56" t="s">
        <v>198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228</v>
      </c>
      <c r="B227" s="52" t="s">
        <v>41</v>
      </c>
      <c r="C227" s="52" t="s">
        <v>206</v>
      </c>
      <c r="D227" s="52" t="s">
        <v>195</v>
      </c>
      <c r="E227" s="56" t="s">
        <v>199</v>
      </c>
      <c r="F227" s="50"/>
      <c r="G227" s="106">
        <f>VLOOKUP($A227, Stat!$A$1:$C$501, 2,0)</f>
        <v>17</v>
      </c>
      <c r="H227" s="106">
        <f>VLOOKUP($A227, Stat!$A$1:$C$501, 3,0)</f>
        <v>8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229</v>
      </c>
      <c r="B228" s="52" t="s">
        <v>41</v>
      </c>
      <c r="C228" s="52" t="s">
        <v>206</v>
      </c>
      <c r="D228" s="52" t="s">
        <v>195</v>
      </c>
      <c r="E228" s="56" t="s">
        <v>200</v>
      </c>
      <c r="F228" s="50"/>
      <c r="G228" s="106">
        <f>VLOOKUP($A228, Stat!$A$1:$C$501, 2,0)</f>
        <v>44</v>
      </c>
      <c r="H228" s="106">
        <f>VLOOKUP($A228, Stat!$A$1:$C$501, 3,0)</f>
        <v>9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230</v>
      </c>
      <c r="B229" s="52" t="s">
        <v>41</v>
      </c>
      <c r="C229" s="52" t="s">
        <v>206</v>
      </c>
      <c r="D229" s="52" t="s">
        <v>195</v>
      </c>
      <c r="E229" s="56" t="s">
        <v>208</v>
      </c>
      <c r="F229" s="50"/>
      <c r="G229" s="106">
        <f>VLOOKUP($A229, Stat!$A$1:$C$501, 2,0)</f>
        <v>11</v>
      </c>
      <c r="H229" s="106">
        <f>VLOOKUP($A229, Stat!$A$1:$C$501, 3,0)</f>
        <v>3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231</v>
      </c>
      <c r="B230" s="52" t="s">
        <v>41</v>
      </c>
      <c r="C230" s="52" t="s">
        <v>206</v>
      </c>
      <c r="D230" s="52" t="s">
        <v>195</v>
      </c>
      <c r="E230" s="56" t="s">
        <v>191</v>
      </c>
      <c r="F230" s="50"/>
      <c r="G230" s="106">
        <f>VLOOKUP($A230, Stat!$A$1:$C$501, 2,0)</f>
        <v>4</v>
      </c>
      <c r="H230" s="106">
        <f>VLOOKUP($A230, Stat!$A$1:$C$501, 3,0)</f>
        <v>3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246</v>
      </c>
      <c r="T230" s="52">
        <v>1</v>
      </c>
    </row>
    <row r="231" spans="1:20" ht="13.2" customHeight="1" x14ac:dyDescent="0.25">
      <c r="A231" s="52">
        <v>232</v>
      </c>
      <c r="B231" s="52" t="s">
        <v>41</v>
      </c>
      <c r="C231" s="52" t="s">
        <v>206</v>
      </c>
      <c r="D231" s="52" t="s">
        <v>195</v>
      </c>
      <c r="E231" s="56" t="s">
        <v>209</v>
      </c>
      <c r="F231" s="50"/>
      <c r="G231" s="106">
        <f>VLOOKUP($A231, Stat!$A$1:$C$501, 2,0)</f>
        <v>3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233</v>
      </c>
      <c r="B232" s="52" t="s">
        <v>41</v>
      </c>
      <c r="C232" s="52" t="s">
        <v>206</v>
      </c>
      <c r="D232" s="52" t="s">
        <v>206</v>
      </c>
      <c r="E232" s="56" t="s">
        <v>216</v>
      </c>
      <c r="F232" s="50"/>
      <c r="G232" s="106">
        <f>VLOOKUP($A232, Stat!$A$1:$C$501, 2,0)</f>
        <v>21</v>
      </c>
      <c r="H232" s="106">
        <f>VLOOKUP($A232, Stat!$A$1:$C$501, 3,0)</f>
        <v>4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customHeight="1" x14ac:dyDescent="0.25">
      <c r="A233" s="52">
        <v>234</v>
      </c>
      <c r="B233" s="52" t="s">
        <v>41</v>
      </c>
      <c r="C233" s="52" t="s">
        <v>206</v>
      </c>
      <c r="D233" s="52" t="s">
        <v>206</v>
      </c>
      <c r="E233" s="56" t="s">
        <v>215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235</v>
      </c>
      <c r="B234" s="52" t="s">
        <v>41</v>
      </c>
      <c r="C234" s="52" t="s">
        <v>206</v>
      </c>
      <c r="D234" s="52" t="s">
        <v>206</v>
      </c>
      <c r="E234" s="56" t="s">
        <v>207</v>
      </c>
      <c r="F234" s="50"/>
      <c r="G234" s="106">
        <f>VLOOKUP($A234, Stat!$A$1:$C$501, 2,0)</f>
        <v>20</v>
      </c>
      <c r="H234" s="106">
        <f>VLOOKUP($A234, Stat!$A$1:$C$501, 3,0)</f>
        <v>17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241</v>
      </c>
      <c r="T234" s="52">
        <v>1</v>
      </c>
    </row>
    <row r="235" spans="1:20" ht="13.2" customHeight="1" x14ac:dyDescent="0.25">
      <c r="A235" s="52">
        <v>236</v>
      </c>
      <c r="B235" s="52" t="s">
        <v>41</v>
      </c>
      <c r="C235" s="52" t="s">
        <v>206</v>
      </c>
      <c r="D235" s="52" t="s">
        <v>206</v>
      </c>
      <c r="E235" s="56" t="s">
        <v>205</v>
      </c>
      <c r="F235" s="50"/>
      <c r="G235" s="106">
        <f>VLOOKUP($A235, Stat!$A$1:$C$501, 2,0)</f>
        <v>16</v>
      </c>
      <c r="H235" s="106">
        <f>VLOOKUP($A235, Stat!$A$1:$C$501, 3,0)</f>
        <v>11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237</v>
      </c>
      <c r="B236" s="52" t="s">
        <v>41</v>
      </c>
      <c r="C236" s="52" t="s">
        <v>206</v>
      </c>
      <c r="D236" s="52" t="s">
        <v>206</v>
      </c>
      <c r="E236" s="56" t="s">
        <v>219</v>
      </c>
      <c r="F236" s="50"/>
      <c r="G236" s="106">
        <f>VLOOKUP($A236, Stat!$A$1:$C$501, 2,0)</f>
        <v>21</v>
      </c>
      <c r="H236" s="106">
        <f>VLOOKUP($A236, Stat!$A$1:$C$501, 3,0)</f>
        <v>18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242</v>
      </c>
      <c r="T236" s="52">
        <v>1</v>
      </c>
    </row>
    <row r="237" spans="1:20" ht="13.2" customHeight="1" x14ac:dyDescent="0.25">
      <c r="A237" s="52">
        <v>238</v>
      </c>
      <c r="B237" s="52" t="s">
        <v>41</v>
      </c>
      <c r="C237" s="52" t="s">
        <v>206</v>
      </c>
      <c r="D237" s="52" t="s">
        <v>217</v>
      </c>
      <c r="E237" s="56" t="s">
        <v>204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248</v>
      </c>
      <c r="T237" s="52">
        <v>1</v>
      </c>
    </row>
    <row r="238" spans="1:20" ht="13.2" customHeight="1" x14ac:dyDescent="0.25">
      <c r="A238" s="52">
        <v>239</v>
      </c>
      <c r="B238" s="52" t="s">
        <v>41</v>
      </c>
      <c r="C238" s="52" t="s">
        <v>206</v>
      </c>
      <c r="D238" s="52" t="s">
        <v>217</v>
      </c>
      <c r="E238" s="56" t="s">
        <v>307</v>
      </c>
      <c r="F238" s="50"/>
      <c r="G238" s="106">
        <f>VLOOKUP($A238, Stat!$A$1:$C$501, 2,0)</f>
        <v>64</v>
      </c>
      <c r="H238" s="106">
        <f>VLOOKUP($A238, Stat!$A$1:$C$501, 3,0)</f>
        <v>17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customHeight="1" x14ac:dyDescent="0.25">
      <c r="A239" s="52">
        <v>240</v>
      </c>
      <c r="B239" s="52" t="s">
        <v>41</v>
      </c>
      <c r="C239" s="52" t="s">
        <v>206</v>
      </c>
      <c r="D239" s="52" t="s">
        <v>217</v>
      </c>
      <c r="E239" s="56" t="s">
        <v>77</v>
      </c>
      <c r="F239" s="50"/>
      <c r="G239" s="106">
        <f>VLOOKUP($A239, Stat!$A$1:$C$501, 2,0)</f>
        <v>8</v>
      </c>
      <c r="H239" s="106">
        <f>VLOOKUP($A239, Stat!$A$1:$C$501, 3,0)</f>
        <v>7</v>
      </c>
      <c r="I239" s="48">
        <v>1</v>
      </c>
      <c r="M239" s="49" t="s">
        <v>293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customHeight="1" x14ac:dyDescent="0.25">
      <c r="A240" s="52">
        <v>241</v>
      </c>
      <c r="B240" s="52" t="s">
        <v>41</v>
      </c>
      <c r="C240" s="52" t="s">
        <v>206</v>
      </c>
      <c r="D240" s="52" t="s">
        <v>372</v>
      </c>
      <c r="E240" s="56" t="s">
        <v>196</v>
      </c>
      <c r="F240" s="50"/>
      <c r="G240" s="106">
        <f>VLOOKUP($A240, Stat!$A$1:$C$501, 2,0)</f>
        <v>71</v>
      </c>
      <c r="H240" s="106">
        <f>VLOOKUP($A240, Stat!$A$1:$C$501, 3,0)</f>
        <v>16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242</v>
      </c>
      <c r="B241" s="52" t="s">
        <v>41</v>
      </c>
      <c r="C241" s="52" t="s">
        <v>206</v>
      </c>
      <c r="D241" s="52" t="s">
        <v>372</v>
      </c>
      <c r="E241" s="56" t="s">
        <v>201</v>
      </c>
      <c r="F241" s="50"/>
      <c r="G241" s="106">
        <f>VLOOKUP($A241, Stat!$A$1:$C$501, 2,0)</f>
        <v>29</v>
      </c>
      <c r="H241" s="106">
        <f>VLOOKUP($A241, Stat!$A$1:$C$501, 3,0)</f>
        <v>8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customHeight="1" x14ac:dyDescent="0.25">
      <c r="A242" s="52">
        <v>243</v>
      </c>
      <c r="B242" s="52" t="s">
        <v>41</v>
      </c>
      <c r="C242" s="52" t="s">
        <v>206</v>
      </c>
      <c r="D242" s="52" t="s">
        <v>372</v>
      </c>
      <c r="E242" s="56" t="s">
        <v>203</v>
      </c>
      <c r="F242" s="50"/>
      <c r="G242" s="106">
        <f>VLOOKUP($A242, Stat!$A$1:$C$501, 2,0)</f>
        <v>15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customHeight="1" x14ac:dyDescent="0.25">
      <c r="A243" s="52">
        <v>244</v>
      </c>
      <c r="B243" s="52" t="s">
        <v>41</v>
      </c>
      <c r="C243" s="53" t="s">
        <v>206</v>
      </c>
      <c r="D243" s="52" t="s">
        <v>372</v>
      </c>
      <c r="E243" s="56" t="s">
        <v>202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customHeight="1" x14ac:dyDescent="0.25">
      <c r="A244" s="52">
        <v>245</v>
      </c>
      <c r="B244" s="52" t="s">
        <v>41</v>
      </c>
      <c r="C244" s="53" t="s">
        <v>206</v>
      </c>
      <c r="D244" s="52" t="s">
        <v>193</v>
      </c>
      <c r="E244" s="56" t="s">
        <v>310</v>
      </c>
      <c r="F244" s="50"/>
      <c r="G244" s="106">
        <f>VLOOKUP($A244, Stat!$A$1:$C$501, 2,0)</f>
        <v>31</v>
      </c>
      <c r="H244" s="106">
        <f>VLOOKUP($A244, Stat!$A$1:$C$501, 3,0)</f>
        <v>10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customHeight="1" x14ac:dyDescent="0.25">
      <c r="A245" s="52">
        <v>246</v>
      </c>
      <c r="B245" s="52" t="s">
        <v>41</v>
      </c>
      <c r="C245" s="52" t="s">
        <v>206</v>
      </c>
      <c r="D245" s="52" t="s">
        <v>193</v>
      </c>
      <c r="E245" s="56" t="s">
        <v>192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500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247</v>
      </c>
      <c r="B246" s="52" t="s">
        <v>41</v>
      </c>
      <c r="C246" s="52" t="s">
        <v>206</v>
      </c>
      <c r="D246" s="52" t="s">
        <v>206</v>
      </c>
      <c r="E246" s="56" t="s">
        <v>210</v>
      </c>
      <c r="F246" s="50"/>
      <c r="G246" s="106">
        <f>VLOOKUP($A246, Stat!$A$1:$C$501, 2,0)</f>
        <v>36</v>
      </c>
      <c r="H246" s="106">
        <f>VLOOKUP($A246, Stat!$A$1:$C$501, 3,0)</f>
        <v>15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245</v>
      </c>
      <c r="T246" s="52">
        <v>1</v>
      </c>
    </row>
    <row r="247" spans="1:20" ht="13.2" customHeight="1" x14ac:dyDescent="0.25">
      <c r="A247" s="52">
        <v>248</v>
      </c>
      <c r="B247" s="52" t="s">
        <v>41</v>
      </c>
      <c r="C247" s="52" t="s">
        <v>64</v>
      </c>
      <c r="D247" s="52" t="s">
        <v>214</v>
      </c>
      <c r="E247" s="56" t="s">
        <v>211</v>
      </c>
      <c r="F247" s="50"/>
      <c r="G247" s="106">
        <f>VLOOKUP($A247, Stat!$A$1:$C$501, 2,0)</f>
        <v>24</v>
      </c>
      <c r="H247" s="106">
        <f>VLOOKUP($A247, Stat!$A$1:$C$501, 3,0)</f>
        <v>3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453</v>
      </c>
      <c r="T247" s="52">
        <v>1</v>
      </c>
    </row>
    <row r="248" spans="1:20" ht="13.2" customHeight="1" x14ac:dyDescent="0.25">
      <c r="A248" s="52">
        <v>249</v>
      </c>
      <c r="B248" s="52" t="s">
        <v>41</v>
      </c>
      <c r="C248" s="52" t="s">
        <v>64</v>
      </c>
      <c r="D248" s="52" t="s">
        <v>214</v>
      </c>
      <c r="E248" s="56" t="s">
        <v>130</v>
      </c>
      <c r="F248" s="50"/>
      <c r="G248" s="106">
        <f>VLOOKUP($A248, Stat!$A$1:$C$501, 2,0)</f>
        <v>131</v>
      </c>
      <c r="H248" s="106">
        <f>VLOOKUP($A248, Stat!$A$1:$C$501, 3,0)</f>
        <v>25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453</v>
      </c>
      <c r="T248" s="52">
        <v>1</v>
      </c>
    </row>
    <row r="249" spans="1:20" ht="13.2" customHeight="1" x14ac:dyDescent="0.25">
      <c r="A249" s="52">
        <v>250</v>
      </c>
      <c r="B249" s="52" t="s">
        <v>41</v>
      </c>
      <c r="C249" s="52" t="s">
        <v>64</v>
      </c>
      <c r="D249" s="52" t="s">
        <v>214</v>
      </c>
      <c r="E249" s="56" t="s">
        <v>213</v>
      </c>
      <c r="F249" s="50"/>
      <c r="G249" s="106">
        <f>VLOOKUP($A249, Stat!$A$1:$C$501, 2,0)</f>
        <v>65</v>
      </c>
      <c r="H249" s="106">
        <f>VLOOKUP($A249, Stat!$A$1:$C$501, 3,0)</f>
        <v>15</v>
      </c>
      <c r="I249" s="48">
        <v>1</v>
      </c>
      <c r="M249" s="49" t="s">
        <v>272</v>
      </c>
      <c r="N249" s="50"/>
      <c r="O249" s="50"/>
      <c r="P249" s="52">
        <v>60</v>
      </c>
      <c r="Q249" s="52">
        <v>0</v>
      </c>
      <c r="R249" s="52" t="s">
        <v>453</v>
      </c>
      <c r="S249" s="52" t="s">
        <v>237</v>
      </c>
      <c r="T249" s="52">
        <v>1</v>
      </c>
    </row>
    <row r="250" spans="1:20" ht="13.2" customHeight="1" x14ac:dyDescent="0.25">
      <c r="A250" s="52">
        <v>251</v>
      </c>
      <c r="B250" s="52" t="s">
        <v>41</v>
      </c>
      <c r="C250" s="52" t="s">
        <v>206</v>
      </c>
      <c r="D250" s="52" t="s">
        <v>372</v>
      </c>
      <c r="E250" s="56" t="s">
        <v>218</v>
      </c>
      <c r="F250" s="50"/>
      <c r="G250" s="106">
        <f>VLOOKUP($A250, Stat!$A$1:$C$501, 2,0)</f>
        <v>4</v>
      </c>
      <c r="H250" s="106">
        <f>VLOOKUP($A250, Stat!$A$1:$C$501, 3,0)</f>
        <v>4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customHeight="1" x14ac:dyDescent="0.25">
      <c r="A251" s="52">
        <v>252</v>
      </c>
      <c r="B251" s="52" t="s">
        <v>41</v>
      </c>
      <c r="C251" s="52" t="s">
        <v>206</v>
      </c>
      <c r="D251" s="52" t="s">
        <v>75</v>
      </c>
      <c r="E251" s="56" t="s">
        <v>220</v>
      </c>
      <c r="F251" s="50"/>
      <c r="G251" s="106">
        <f>VLOOKUP($A251, Stat!$A$1:$C$501, 2,0)</f>
        <v>25</v>
      </c>
      <c r="H251" s="106">
        <f>VLOOKUP($A251, Stat!$A$1:$C$501, 3,0)</f>
        <v>8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x14ac:dyDescent="0.25">
      <c r="A252" s="52">
        <v>253</v>
      </c>
      <c r="B252" s="52" t="s">
        <v>41</v>
      </c>
      <c r="C252" s="52" t="s">
        <v>206</v>
      </c>
      <c r="D252" s="52" t="s">
        <v>75</v>
      </c>
      <c r="E252" s="56" t="s">
        <v>221</v>
      </c>
      <c r="F252" s="50"/>
      <c r="G252" s="106">
        <f>VLOOKUP($A252, Stat!$A$1:$C$501, 2,0)</f>
        <v>1</v>
      </c>
      <c r="H252" s="106">
        <f>VLOOKUP($A252, Stat!$A$1:$C$501, 3,0)</f>
        <v>1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254</v>
      </c>
      <c r="B253" s="52" t="s">
        <v>41</v>
      </c>
      <c r="C253" s="52" t="s">
        <v>206</v>
      </c>
      <c r="D253" s="52" t="s">
        <v>206</v>
      </c>
      <c r="E253" s="56" t="s">
        <v>223</v>
      </c>
      <c r="F253" s="50"/>
      <c r="G253" s="106">
        <f>VLOOKUP($A253, Stat!$A$1:$C$501, 2,0)</f>
        <v>18</v>
      </c>
      <c r="H253" s="106">
        <f>VLOOKUP($A253, Stat!$A$1:$C$501, 3,0)</f>
        <v>15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243</v>
      </c>
      <c r="T253" s="52">
        <v>1</v>
      </c>
    </row>
    <row r="254" spans="1:20" x14ac:dyDescent="0.25">
      <c r="A254" s="52">
        <v>255</v>
      </c>
      <c r="B254" s="52" t="s">
        <v>41</v>
      </c>
      <c r="C254" s="52" t="s">
        <v>206</v>
      </c>
      <c r="D254" s="52" t="s">
        <v>193</v>
      </c>
      <c r="E254" s="56" t="s">
        <v>225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256</v>
      </c>
      <c r="B255" s="52" t="s">
        <v>41</v>
      </c>
      <c r="C255" s="52" t="s">
        <v>249</v>
      </c>
      <c r="D255" s="52" t="s">
        <v>250</v>
      </c>
      <c r="E255" s="52" t="s">
        <v>319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320</v>
      </c>
      <c r="T255" s="52">
        <v>1</v>
      </c>
    </row>
    <row r="256" spans="1:20" x14ac:dyDescent="0.25">
      <c r="A256" s="52">
        <v>257</v>
      </c>
      <c r="B256" s="52" t="s">
        <v>41</v>
      </c>
      <c r="C256" s="52" t="s">
        <v>249</v>
      </c>
      <c r="D256" s="52" t="s">
        <v>250</v>
      </c>
      <c r="E256" s="56" t="s">
        <v>251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270</v>
      </c>
      <c r="O256" s="50"/>
      <c r="P256" s="52">
        <v>60</v>
      </c>
      <c r="Q256" s="52">
        <v>1</v>
      </c>
      <c r="S256" s="52" t="s">
        <v>318</v>
      </c>
      <c r="T256" s="52">
        <v>1</v>
      </c>
    </row>
    <row r="257" spans="1:20" x14ac:dyDescent="0.25">
      <c r="A257" s="52">
        <v>258</v>
      </c>
      <c r="B257" s="52" t="s">
        <v>41</v>
      </c>
      <c r="C257" s="52" t="s">
        <v>249</v>
      </c>
      <c r="D257" s="52" t="s">
        <v>317</v>
      </c>
      <c r="E257" s="52" t="s">
        <v>319</v>
      </c>
      <c r="G257" s="106">
        <f>VLOOKUP($A257, Stat!$A$1:$C$501, 2,0)</f>
        <v>33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326</v>
      </c>
      <c r="T257" s="52">
        <v>1</v>
      </c>
    </row>
    <row r="258" spans="1:20" x14ac:dyDescent="0.25">
      <c r="A258" s="52">
        <v>259</v>
      </c>
      <c r="B258" s="52" t="s">
        <v>41</v>
      </c>
      <c r="C258" s="52" t="s">
        <v>249</v>
      </c>
      <c r="D258" s="52" t="s">
        <v>250</v>
      </c>
      <c r="E258" s="56" t="s">
        <v>252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270</v>
      </c>
      <c r="O258" s="50"/>
      <c r="P258" s="52">
        <v>60</v>
      </c>
      <c r="Q258" s="52">
        <v>0</v>
      </c>
      <c r="T258" s="52">
        <v>1</v>
      </c>
    </row>
    <row r="259" spans="1:20" x14ac:dyDescent="0.25">
      <c r="A259" s="52">
        <v>260</v>
      </c>
      <c r="B259" s="52" t="s">
        <v>41</v>
      </c>
      <c r="C259" s="52" t="s">
        <v>249</v>
      </c>
      <c r="D259" s="52" t="s">
        <v>317</v>
      </c>
      <c r="E259" s="56" t="s">
        <v>321</v>
      </c>
      <c r="F259" s="50"/>
      <c r="G259" s="106">
        <f>VLOOKUP($A259, Stat!$A$1:$C$501, 2,0)</f>
        <v>2</v>
      </c>
      <c r="H259" s="106">
        <f>VLOOKUP($A259, Stat!$A$1:$C$501, 3,0)</f>
        <v>0</v>
      </c>
      <c r="I259" s="109"/>
      <c r="M259" s="50"/>
      <c r="N259" s="49" t="s">
        <v>270</v>
      </c>
      <c r="O259" s="50"/>
      <c r="P259" s="52">
        <v>60</v>
      </c>
      <c r="Q259" s="52">
        <v>0</v>
      </c>
      <c r="S259" s="52" t="s">
        <v>357</v>
      </c>
      <c r="T259" s="52">
        <v>1</v>
      </c>
    </row>
    <row r="260" spans="1:20" x14ac:dyDescent="0.25">
      <c r="A260" s="52">
        <v>261</v>
      </c>
      <c r="B260" s="52" t="s">
        <v>41</v>
      </c>
      <c r="C260" s="52" t="s">
        <v>249</v>
      </c>
      <c r="D260" s="52" t="s">
        <v>250</v>
      </c>
      <c r="E260" s="56" t="s">
        <v>253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270</v>
      </c>
      <c r="O260" s="50"/>
      <c r="P260" s="52">
        <v>40</v>
      </c>
      <c r="Q260" s="52">
        <v>1</v>
      </c>
      <c r="T260" s="52">
        <v>1</v>
      </c>
    </row>
    <row r="261" spans="1:20" x14ac:dyDescent="0.25">
      <c r="A261" s="52">
        <v>262</v>
      </c>
      <c r="B261" s="52" t="s">
        <v>41</v>
      </c>
      <c r="C261" s="52" t="s">
        <v>249</v>
      </c>
      <c r="D261" s="52" t="s">
        <v>322</v>
      </c>
      <c r="E261" s="56" t="s">
        <v>319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325</v>
      </c>
      <c r="T261" s="52">
        <v>1</v>
      </c>
    </row>
    <row r="262" spans="1:20" x14ac:dyDescent="0.25">
      <c r="A262" s="52">
        <v>263</v>
      </c>
      <c r="B262" s="52" t="s">
        <v>41</v>
      </c>
      <c r="C262" s="52" t="s">
        <v>249</v>
      </c>
      <c r="D262" s="52" t="s">
        <v>250</v>
      </c>
      <c r="E262" s="56" t="s">
        <v>254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270</v>
      </c>
      <c r="O262" s="50"/>
      <c r="P262" s="52">
        <v>60</v>
      </c>
      <c r="Q262" s="52">
        <v>0</v>
      </c>
      <c r="S262" s="52" t="s">
        <v>440</v>
      </c>
      <c r="T262" s="52">
        <v>1</v>
      </c>
    </row>
    <row r="263" spans="1:20" ht="13.2" customHeight="1" x14ac:dyDescent="0.25">
      <c r="A263" s="52">
        <v>264</v>
      </c>
      <c r="B263" s="52" t="s">
        <v>41</v>
      </c>
      <c r="C263" s="52" t="s">
        <v>249</v>
      </c>
      <c r="D263" s="52" t="s">
        <v>250</v>
      </c>
      <c r="E263" s="56" t="s">
        <v>255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270</v>
      </c>
      <c r="O263" s="50"/>
      <c r="P263" s="52">
        <v>60</v>
      </c>
      <c r="Q263" s="52">
        <v>1</v>
      </c>
      <c r="S263" s="52" t="s">
        <v>315</v>
      </c>
      <c r="T263" s="52">
        <v>1</v>
      </c>
    </row>
    <row r="264" spans="1:20" ht="13.2" customHeight="1" x14ac:dyDescent="0.25">
      <c r="A264" s="52">
        <v>265</v>
      </c>
      <c r="B264" s="52" t="s">
        <v>41</v>
      </c>
      <c r="C264" s="52" t="s">
        <v>249</v>
      </c>
      <c r="D264" s="52" t="s">
        <v>250</v>
      </c>
      <c r="E264" s="56" t="s">
        <v>256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270</v>
      </c>
      <c r="O264" s="50"/>
      <c r="P264" s="52">
        <v>40</v>
      </c>
      <c r="Q264" s="52">
        <v>1</v>
      </c>
      <c r="S264" s="52" t="s">
        <v>316</v>
      </c>
      <c r="T264" s="52">
        <v>1</v>
      </c>
    </row>
    <row r="265" spans="1:20" ht="13.2" customHeight="1" x14ac:dyDescent="0.25">
      <c r="A265" s="52">
        <v>266</v>
      </c>
      <c r="B265" s="52" t="s">
        <v>41</v>
      </c>
      <c r="C265" s="52" t="s">
        <v>249</v>
      </c>
      <c r="D265" s="52" t="s">
        <v>250</v>
      </c>
      <c r="E265" s="56" t="s">
        <v>314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270</v>
      </c>
      <c r="O265" s="50"/>
      <c r="P265" s="52">
        <v>40</v>
      </c>
      <c r="Q265" s="52">
        <v>1</v>
      </c>
      <c r="T265" s="52">
        <v>1</v>
      </c>
    </row>
    <row r="266" spans="1:20" ht="13.2" customHeight="1" x14ac:dyDescent="0.25">
      <c r="A266" s="52">
        <v>267</v>
      </c>
      <c r="B266" s="52" t="s">
        <v>41</v>
      </c>
      <c r="C266" s="52" t="s">
        <v>206</v>
      </c>
      <c r="D266" s="52" t="s">
        <v>75</v>
      </c>
      <c r="E266" s="56" t="s">
        <v>294</v>
      </c>
      <c r="G266" s="106">
        <f>VLOOKUP($A266, Stat!$A$1:$C$501, 2,0)</f>
        <v>47</v>
      </c>
      <c r="H266" s="106">
        <f>VLOOKUP($A266, Stat!$A$1:$C$501, 3,0)</f>
        <v>21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customHeight="1" x14ac:dyDescent="0.25">
      <c r="A267" s="52">
        <v>268</v>
      </c>
      <c r="B267" s="52" t="s">
        <v>41</v>
      </c>
      <c r="C267" s="52" t="s">
        <v>64</v>
      </c>
      <c r="D267" s="52" t="s">
        <v>523</v>
      </c>
      <c r="E267" s="56" t="s">
        <v>538</v>
      </c>
      <c r="G267" s="106">
        <f>VLOOKUP($A267, Stat!$A$1:$C$501, 2,0)</f>
        <v>305</v>
      </c>
      <c r="H267" s="106">
        <f>VLOOKUP($A267, Stat!$A$1:$C$501, 3,0)</f>
        <v>3</v>
      </c>
      <c r="I267" s="109"/>
      <c r="P267" s="52">
        <v>0</v>
      </c>
      <c r="Q267" s="52">
        <v>-1</v>
      </c>
      <c r="T267" s="52">
        <v>1</v>
      </c>
    </row>
    <row r="268" spans="1:20" ht="13.2" customHeight="1" x14ac:dyDescent="0.25">
      <c r="A268" s="52">
        <v>269</v>
      </c>
      <c r="B268" s="52" t="s">
        <v>41</v>
      </c>
      <c r="C268" s="52" t="s">
        <v>64</v>
      </c>
      <c r="D268" s="52" t="s">
        <v>523</v>
      </c>
      <c r="E268" s="56" t="s">
        <v>539</v>
      </c>
      <c r="G268" s="106">
        <f>VLOOKUP($A268, Stat!$A$1:$C$501, 2,0)</f>
        <v>48</v>
      </c>
      <c r="H268" s="106">
        <f>VLOOKUP($A268, Stat!$A$1:$C$501, 3,0)</f>
        <v>6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customHeight="1" x14ac:dyDescent="0.25">
      <c r="A269" s="52">
        <v>270</v>
      </c>
      <c r="B269" s="52" t="s">
        <v>41</v>
      </c>
      <c r="C269" s="52" t="s">
        <v>64</v>
      </c>
      <c r="D269" s="52" t="s">
        <v>523</v>
      </c>
      <c r="E269" s="56" t="s">
        <v>540</v>
      </c>
      <c r="G269" s="106">
        <f>VLOOKUP($A269, Stat!$A$1:$C$501, 2,0)</f>
        <v>25</v>
      </c>
      <c r="H269" s="106">
        <f>VLOOKUP($A269, Stat!$A$1:$C$501, 3,0)</f>
        <v>5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customHeight="1" x14ac:dyDescent="0.25">
      <c r="A270" s="52">
        <v>271</v>
      </c>
      <c r="B270" s="52" t="s">
        <v>41</v>
      </c>
      <c r="C270" s="52" t="s">
        <v>64</v>
      </c>
      <c r="D270" s="52" t="s">
        <v>523</v>
      </c>
      <c r="E270" s="56" t="s">
        <v>541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customHeight="1" x14ac:dyDescent="0.25">
      <c r="A271" s="52">
        <v>272</v>
      </c>
      <c r="B271" s="52" t="s">
        <v>41</v>
      </c>
      <c r="C271" s="52" t="s">
        <v>64</v>
      </c>
      <c r="D271" s="52" t="s">
        <v>523</v>
      </c>
      <c r="E271" s="56" t="s">
        <v>295</v>
      </c>
      <c r="G271" s="106">
        <f>VLOOKUP($A271, Stat!$A$1:$C$501, 2,0)</f>
        <v>42</v>
      </c>
      <c r="H271" s="106">
        <f>VLOOKUP($A271, Stat!$A$1:$C$501, 3,0)</f>
        <v>14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customHeight="1" x14ac:dyDescent="0.25">
      <c r="A272" s="52">
        <v>273</v>
      </c>
      <c r="B272" s="52" t="s">
        <v>41</v>
      </c>
      <c r="C272" s="52" t="s">
        <v>64</v>
      </c>
      <c r="D272" s="52" t="s">
        <v>296</v>
      </c>
      <c r="E272" s="56" t="s">
        <v>298</v>
      </c>
      <c r="G272" s="106">
        <f>VLOOKUP($A272, Stat!$A$1:$C$501, 2,0)</f>
        <v>44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297</v>
      </c>
      <c r="T272" s="52">
        <v>1</v>
      </c>
    </row>
    <row r="273" spans="1:20" ht="13.2" customHeight="1" x14ac:dyDescent="0.25">
      <c r="A273" s="52">
        <v>274</v>
      </c>
      <c r="B273" s="52" t="s">
        <v>41</v>
      </c>
      <c r="C273" s="52" t="s">
        <v>206</v>
      </c>
      <c r="D273" s="52" t="s">
        <v>372</v>
      </c>
      <c r="E273" s="56" t="s">
        <v>474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475</v>
      </c>
      <c r="T273" s="52">
        <v>1</v>
      </c>
    </row>
    <row r="274" spans="1:20" ht="13.2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303</v>
      </c>
      <c r="G274" s="106">
        <f>VLOOKUP($A274, Stat!$A$1:$C$501, 2,0)</f>
        <v>10</v>
      </c>
      <c r="H274" s="106">
        <f>VLOOKUP($A274, Stat!$A$1:$C$501, 3,0)</f>
        <v>2</v>
      </c>
      <c r="I274" s="48">
        <v>1</v>
      </c>
      <c r="P274" s="52">
        <v>60</v>
      </c>
      <c r="Q274" s="52">
        <v>0</v>
      </c>
      <c r="S274" s="52" t="s">
        <v>302</v>
      </c>
      <c r="T274" s="52">
        <v>1</v>
      </c>
    </row>
    <row r="275" spans="1:20" x14ac:dyDescent="0.25">
      <c r="A275" s="52">
        <v>276</v>
      </c>
      <c r="B275" s="52" t="s">
        <v>41</v>
      </c>
      <c r="C275" s="52" t="s">
        <v>64</v>
      </c>
      <c r="D275" s="52" t="s">
        <v>129</v>
      </c>
      <c r="E275" s="56" t="s">
        <v>299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301</v>
      </c>
      <c r="T275" s="52">
        <v>1</v>
      </c>
    </row>
    <row r="276" spans="1:20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304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370</v>
      </c>
      <c r="T276" s="52">
        <v>1</v>
      </c>
    </row>
    <row r="277" spans="1:20" x14ac:dyDescent="0.25">
      <c r="A277" s="52">
        <v>278</v>
      </c>
      <c r="B277" s="52" t="s">
        <v>41</v>
      </c>
      <c r="C277" s="52" t="s">
        <v>206</v>
      </c>
      <c r="D277" s="52" t="s">
        <v>217</v>
      </c>
      <c r="E277" s="56" t="s">
        <v>308</v>
      </c>
      <c r="G277" s="106">
        <f>VLOOKUP($A277, Stat!$A$1:$C$501, 2,0)</f>
        <v>6</v>
      </c>
      <c r="H277" s="106">
        <f>VLOOKUP($A277, Stat!$A$1:$C$501, 3,0)</f>
        <v>1</v>
      </c>
      <c r="I277" s="48">
        <v>1</v>
      </c>
      <c r="P277" s="52">
        <v>0</v>
      </c>
      <c r="Q277" s="52">
        <v>1</v>
      </c>
      <c r="T277" s="52">
        <v>1</v>
      </c>
    </row>
    <row r="278" spans="1:20" x14ac:dyDescent="0.25">
      <c r="A278" s="52">
        <v>279</v>
      </c>
      <c r="B278" s="52" t="s">
        <v>41</v>
      </c>
      <c r="C278" s="52" t="s">
        <v>249</v>
      </c>
      <c r="D278" s="52" t="s">
        <v>250</v>
      </c>
      <c r="E278" s="52" t="s">
        <v>313</v>
      </c>
      <c r="G278" s="106">
        <f>VLOOKUP($A278, Stat!$A$1:$C$501, 2,0)</f>
        <v>17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x14ac:dyDescent="0.25">
      <c r="A279" s="52">
        <v>280</v>
      </c>
      <c r="B279" s="52" t="s">
        <v>41</v>
      </c>
      <c r="C279" s="52" t="s">
        <v>249</v>
      </c>
      <c r="D279" s="52" t="s">
        <v>317</v>
      </c>
      <c r="E279" s="52" t="s">
        <v>251</v>
      </c>
      <c r="G279" s="106">
        <f>VLOOKUP($A279, Stat!$A$1:$C$501, 2,0)</f>
        <v>4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x14ac:dyDescent="0.25">
      <c r="A280" s="52">
        <v>281</v>
      </c>
      <c r="B280" s="52" t="s">
        <v>41</v>
      </c>
      <c r="C280" s="52" t="s">
        <v>249</v>
      </c>
      <c r="D280" s="52" t="s">
        <v>317</v>
      </c>
      <c r="E280" s="52" t="s">
        <v>252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x14ac:dyDescent="0.25">
      <c r="A281" s="52">
        <v>282</v>
      </c>
      <c r="B281" s="52" t="s">
        <v>41</v>
      </c>
      <c r="C281" s="52" t="s">
        <v>249</v>
      </c>
      <c r="D281" s="52" t="s">
        <v>330</v>
      </c>
      <c r="E281" s="52" t="s">
        <v>331</v>
      </c>
      <c r="G281" s="106">
        <f>VLOOKUP($A281, Stat!$A$1:$C$501, 2,0)</f>
        <v>46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369</v>
      </c>
      <c r="S281" s="52" t="s">
        <v>354</v>
      </c>
      <c r="T281" s="52">
        <v>1</v>
      </c>
    </row>
    <row r="282" spans="1:20" ht="13.2" customHeight="1" x14ac:dyDescent="0.25">
      <c r="A282" s="52">
        <v>283</v>
      </c>
      <c r="B282" s="52" t="s">
        <v>41</v>
      </c>
      <c r="C282" s="52" t="s">
        <v>249</v>
      </c>
      <c r="D282" s="52" t="s">
        <v>322</v>
      </c>
      <c r="E282" s="52" t="s">
        <v>130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327</v>
      </c>
      <c r="T282" s="52">
        <v>1</v>
      </c>
    </row>
    <row r="283" spans="1:20" x14ac:dyDescent="0.25">
      <c r="A283" s="52">
        <v>284</v>
      </c>
      <c r="B283" s="52" t="s">
        <v>41</v>
      </c>
      <c r="C283" s="52" t="s">
        <v>249</v>
      </c>
      <c r="D283" s="52" t="s">
        <v>322</v>
      </c>
      <c r="E283" s="52" t="s">
        <v>324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328</v>
      </c>
      <c r="T283" s="52">
        <v>1</v>
      </c>
    </row>
    <row r="284" spans="1:20" x14ac:dyDescent="0.25">
      <c r="A284" s="52">
        <v>285</v>
      </c>
      <c r="B284" s="52" t="s">
        <v>41</v>
      </c>
      <c r="C284" s="52" t="s">
        <v>249</v>
      </c>
      <c r="D284" s="52" t="s">
        <v>322</v>
      </c>
      <c r="E284" s="52" t="s">
        <v>323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329</v>
      </c>
      <c r="T284" s="52">
        <v>1</v>
      </c>
    </row>
    <row r="285" spans="1:20" x14ac:dyDescent="0.25">
      <c r="A285" s="52">
        <v>286</v>
      </c>
      <c r="B285" s="52" t="s">
        <v>41</v>
      </c>
      <c r="C285" s="52" t="s">
        <v>64</v>
      </c>
      <c r="D285" s="52" t="s">
        <v>179</v>
      </c>
      <c r="E285" s="52" t="s">
        <v>335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336</v>
      </c>
      <c r="T285" s="52">
        <v>1</v>
      </c>
    </row>
    <row r="286" spans="1:20" x14ac:dyDescent="0.25">
      <c r="A286" s="52">
        <v>287</v>
      </c>
      <c r="B286" s="52" t="s">
        <v>41</v>
      </c>
      <c r="C286" s="52" t="s">
        <v>249</v>
      </c>
      <c r="D286" s="52" t="s">
        <v>338</v>
      </c>
      <c r="E286" s="52" t="s">
        <v>319</v>
      </c>
      <c r="G286" s="106">
        <f>VLOOKUP($A286, Stat!$A$1:$C$501, 2,0)</f>
        <v>59</v>
      </c>
      <c r="H286" s="106">
        <f>VLOOKUP($A286, Stat!$A$1:$C$501, 3,0)</f>
        <v>21</v>
      </c>
      <c r="M286" s="48">
        <v>225</v>
      </c>
      <c r="P286" s="52">
        <v>0</v>
      </c>
      <c r="Q286" s="52">
        <v>1</v>
      </c>
      <c r="S286" s="52" t="s">
        <v>358</v>
      </c>
      <c r="T286" s="52">
        <v>1</v>
      </c>
    </row>
    <row r="287" spans="1:20" ht="13.2" customHeight="1" x14ac:dyDescent="0.25">
      <c r="A287" s="52">
        <v>288</v>
      </c>
      <c r="B287" s="52" t="s">
        <v>41</v>
      </c>
      <c r="C287" s="52" t="s">
        <v>249</v>
      </c>
      <c r="D287" s="52" t="s">
        <v>338</v>
      </c>
      <c r="E287" s="52" t="s">
        <v>346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359</v>
      </c>
      <c r="T287" s="52">
        <v>1</v>
      </c>
    </row>
    <row r="288" spans="1:20" ht="13.2" customHeight="1" x14ac:dyDescent="0.25">
      <c r="A288" s="52">
        <v>289</v>
      </c>
      <c r="B288" s="52" t="s">
        <v>41</v>
      </c>
      <c r="C288" s="52" t="s">
        <v>249</v>
      </c>
      <c r="D288" s="52" t="s">
        <v>338</v>
      </c>
      <c r="E288" s="52" t="s">
        <v>180</v>
      </c>
      <c r="G288" s="106">
        <f>VLOOKUP($A288, Stat!$A$1:$C$501, 2,0)</f>
        <v>15</v>
      </c>
      <c r="H288" s="106">
        <f>VLOOKUP($A288, Stat!$A$1:$C$501, 3,0)</f>
        <v>5</v>
      </c>
      <c r="I288" s="108"/>
      <c r="P288" s="52">
        <v>40</v>
      </c>
      <c r="Q288" s="52">
        <v>1</v>
      </c>
      <c r="S288" s="52" t="s">
        <v>341</v>
      </c>
      <c r="T288" s="52">
        <v>1</v>
      </c>
    </row>
    <row r="289" spans="1:20" x14ac:dyDescent="0.25">
      <c r="A289" s="52">
        <v>290</v>
      </c>
      <c r="B289" s="52" t="s">
        <v>41</v>
      </c>
      <c r="C289" s="52" t="s">
        <v>249</v>
      </c>
      <c r="D289" s="52" t="s">
        <v>338</v>
      </c>
      <c r="E289" s="52" t="s">
        <v>77</v>
      </c>
      <c r="G289" s="106">
        <f>VLOOKUP($A289, Stat!$A$1:$C$501, 2,0)</f>
        <v>35</v>
      </c>
      <c r="H289" s="106">
        <f>VLOOKUP($A289, Stat!$A$1:$C$501, 3,0)</f>
        <v>17</v>
      </c>
      <c r="P289" s="52">
        <v>60</v>
      </c>
      <c r="Q289" s="52">
        <v>0</v>
      </c>
      <c r="S289" s="52" t="s">
        <v>342</v>
      </c>
      <c r="T289" s="52">
        <v>1</v>
      </c>
    </row>
    <row r="290" spans="1:20" x14ac:dyDescent="0.25">
      <c r="A290" s="52">
        <v>291</v>
      </c>
      <c r="B290" s="52" t="s">
        <v>41</v>
      </c>
      <c r="C290" s="52" t="s">
        <v>64</v>
      </c>
      <c r="D290" s="52" t="s">
        <v>179</v>
      </c>
      <c r="E290" s="52" t="s">
        <v>337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343</v>
      </c>
      <c r="T290" s="52">
        <v>1</v>
      </c>
    </row>
    <row r="291" spans="1:20" ht="13.2" customHeight="1" x14ac:dyDescent="0.25">
      <c r="A291" s="52">
        <v>292</v>
      </c>
      <c r="B291" s="52" t="s">
        <v>41</v>
      </c>
      <c r="C291" s="52" t="s">
        <v>64</v>
      </c>
      <c r="D291" s="52" t="s">
        <v>332</v>
      </c>
      <c r="E291" s="52" t="s">
        <v>349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344</v>
      </c>
      <c r="T291" s="52">
        <v>1</v>
      </c>
    </row>
    <row r="292" spans="1:20" ht="13.2" customHeight="1" x14ac:dyDescent="0.25">
      <c r="A292" s="52">
        <v>293</v>
      </c>
      <c r="B292" s="52" t="s">
        <v>41</v>
      </c>
      <c r="C292" s="52" t="s">
        <v>249</v>
      </c>
      <c r="D292" s="52" t="s">
        <v>338</v>
      </c>
      <c r="E292" s="52" t="s">
        <v>345</v>
      </c>
      <c r="G292" s="106">
        <f>VLOOKUP($A292, Stat!$A$1:$C$501, 2,0)</f>
        <v>14</v>
      </c>
      <c r="H292" s="106">
        <f>VLOOKUP($A292, Stat!$A$1:$C$501, 3,0)</f>
        <v>11</v>
      </c>
      <c r="I292" s="48">
        <v>1</v>
      </c>
      <c r="P292" s="52">
        <v>40</v>
      </c>
      <c r="Q292" s="52">
        <v>1</v>
      </c>
      <c r="S292" s="52" t="s">
        <v>360</v>
      </c>
      <c r="T292" s="52">
        <v>1</v>
      </c>
    </row>
    <row r="293" spans="1:20" x14ac:dyDescent="0.25">
      <c r="A293" s="52">
        <v>294</v>
      </c>
      <c r="B293" s="52" t="s">
        <v>41</v>
      </c>
      <c r="C293" s="52" t="s">
        <v>249</v>
      </c>
      <c r="D293" s="52" t="s">
        <v>338</v>
      </c>
      <c r="E293" s="52" t="s">
        <v>347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361</v>
      </c>
      <c r="T293" s="52">
        <v>1</v>
      </c>
    </row>
    <row r="294" spans="1:20" x14ac:dyDescent="0.25">
      <c r="A294" s="52">
        <v>295</v>
      </c>
      <c r="B294" s="52" t="s">
        <v>41</v>
      </c>
      <c r="C294" s="52" t="s">
        <v>64</v>
      </c>
      <c r="D294" s="52" t="s">
        <v>332</v>
      </c>
      <c r="E294" s="52" t="s">
        <v>348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352</v>
      </c>
      <c r="T294" s="52">
        <v>1</v>
      </c>
    </row>
    <row r="295" spans="1:20" ht="13.2" customHeight="1" x14ac:dyDescent="0.25">
      <c r="A295" s="52">
        <v>296</v>
      </c>
      <c r="B295" s="52" t="s">
        <v>41</v>
      </c>
      <c r="C295" s="52" t="s">
        <v>64</v>
      </c>
      <c r="D295" s="52" t="s">
        <v>332</v>
      </c>
      <c r="E295" s="52" t="s">
        <v>527</v>
      </c>
      <c r="G295" s="106">
        <f>VLOOKUP($A295, Stat!$A$1:$C$501, 2,0)</f>
        <v>13</v>
      </c>
      <c r="H295" s="106">
        <f>VLOOKUP($A295, Stat!$A$1:$C$501, 3,0)</f>
        <v>7</v>
      </c>
      <c r="I295" s="48">
        <v>1</v>
      </c>
      <c r="P295" s="52">
        <v>0</v>
      </c>
      <c r="Q295" s="52">
        <v>1</v>
      </c>
      <c r="S295" s="52" t="s">
        <v>525</v>
      </c>
      <c r="T295" s="52">
        <v>1</v>
      </c>
    </row>
    <row r="296" spans="1:20" ht="13.2" customHeight="1" x14ac:dyDescent="0.25">
      <c r="A296" s="52">
        <v>297</v>
      </c>
      <c r="B296" s="52" t="s">
        <v>41</v>
      </c>
      <c r="C296" s="52" t="s">
        <v>249</v>
      </c>
      <c r="D296" s="52" t="s">
        <v>330</v>
      </c>
      <c r="E296" s="52" t="s">
        <v>353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369</v>
      </c>
      <c r="S296" s="52" t="s">
        <v>355</v>
      </c>
      <c r="T296" s="52">
        <v>1</v>
      </c>
    </row>
    <row r="297" spans="1:20" ht="13.2" customHeight="1" x14ac:dyDescent="0.25">
      <c r="A297" s="52">
        <v>298</v>
      </c>
      <c r="B297" s="52" t="s">
        <v>41</v>
      </c>
      <c r="C297" s="52" t="s">
        <v>249</v>
      </c>
      <c r="D297" s="52" t="s">
        <v>330</v>
      </c>
      <c r="E297" s="52" t="s">
        <v>69</v>
      </c>
      <c r="G297" s="106">
        <f>VLOOKUP($A297, Stat!$A$1:$C$501, 2,0)</f>
        <v>14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369</v>
      </c>
      <c r="S297" s="52" t="s">
        <v>356</v>
      </c>
      <c r="T297" s="52">
        <v>1</v>
      </c>
    </row>
    <row r="298" spans="1:20" ht="13.2" customHeight="1" x14ac:dyDescent="0.25">
      <c r="A298" s="52">
        <v>299</v>
      </c>
      <c r="B298" s="52" t="s">
        <v>41</v>
      </c>
      <c r="C298" s="52" t="s">
        <v>206</v>
      </c>
      <c r="D298" s="52" t="s">
        <v>194</v>
      </c>
      <c r="E298" s="52" t="s">
        <v>373</v>
      </c>
      <c r="G298" s="106">
        <f>VLOOKUP($A298, Stat!$A$1:$C$501, 2,0)</f>
        <v>7</v>
      </c>
      <c r="H298" s="106">
        <f>VLOOKUP($A298, Stat!$A$1:$C$501, 3,0)</f>
        <v>5</v>
      </c>
      <c r="I298" s="48">
        <v>1</v>
      </c>
      <c r="P298" s="52">
        <v>0</v>
      </c>
      <c r="Q298" s="52">
        <v>0</v>
      </c>
      <c r="S298" s="52" t="s">
        <v>408</v>
      </c>
      <c r="T298" s="52">
        <v>1</v>
      </c>
    </row>
    <row r="299" spans="1:20" ht="13.2" customHeight="1" x14ac:dyDescent="0.25">
      <c r="A299" s="52">
        <v>300</v>
      </c>
      <c r="B299" s="52" t="s">
        <v>39</v>
      </c>
      <c r="C299" s="52" t="s">
        <v>17</v>
      </c>
      <c r="D299" s="52" t="s">
        <v>156</v>
      </c>
      <c r="E299" s="52" t="s">
        <v>376</v>
      </c>
      <c r="G299" s="106">
        <f>VLOOKUP($A299, Stat!$A$1:$C$501, 2,0)</f>
        <v>8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232</v>
      </c>
      <c r="T299" s="52">
        <v>1</v>
      </c>
    </row>
    <row r="300" spans="1:20" ht="13.2" customHeight="1" x14ac:dyDescent="0.25">
      <c r="A300" s="52">
        <v>301</v>
      </c>
      <c r="B300" s="52" t="s">
        <v>41</v>
      </c>
      <c r="C300" s="52" t="s">
        <v>206</v>
      </c>
      <c r="D300" s="52" t="s">
        <v>193</v>
      </c>
      <c r="E300" s="52" t="s">
        <v>377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378</v>
      </c>
      <c r="T300" s="52">
        <v>1</v>
      </c>
    </row>
    <row r="301" spans="1:20" ht="13.2" customHeight="1" x14ac:dyDescent="0.25">
      <c r="A301" s="52">
        <v>302</v>
      </c>
      <c r="B301" s="52" t="s">
        <v>39</v>
      </c>
      <c r="C301" s="52" t="s">
        <v>14</v>
      </c>
      <c r="D301" s="52" t="s">
        <v>407</v>
      </c>
      <c r="E301" s="52" t="s">
        <v>385</v>
      </c>
      <c r="G301" s="106">
        <f>VLOOKUP($A301, Stat!$A$1:$C$501, 2,0)</f>
        <v>13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364</v>
      </c>
      <c r="T301" s="52">
        <v>1</v>
      </c>
    </row>
    <row r="302" spans="1:20" ht="13.2" customHeight="1" x14ac:dyDescent="0.25">
      <c r="A302" s="52">
        <v>303</v>
      </c>
      <c r="B302" s="52" t="s">
        <v>39</v>
      </c>
      <c r="C302" s="52" t="s">
        <v>14</v>
      </c>
      <c r="D302" s="52" t="s">
        <v>407</v>
      </c>
      <c r="E302" s="52" t="s">
        <v>389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365</v>
      </c>
      <c r="T302" s="52">
        <v>1</v>
      </c>
    </row>
    <row r="303" spans="1:20" ht="13.2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388</v>
      </c>
      <c r="G303" s="106">
        <f>VLOOKUP($A303, Stat!$A$1:$C$501, 2,0)</f>
        <v>1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391</v>
      </c>
      <c r="G304" s="106">
        <f>VLOOKUP($A304, Stat!$A$1:$C$501, 2,0)</f>
        <v>47</v>
      </c>
      <c r="H304" s="106">
        <f>VLOOKUP($A304, Stat!$A$1:$C$501, 3,0)</f>
        <v>12</v>
      </c>
      <c r="I304" s="48">
        <v>1</v>
      </c>
      <c r="P304" s="52">
        <v>0</v>
      </c>
      <c r="Q304" s="52">
        <v>0</v>
      </c>
      <c r="S304" s="52" t="s">
        <v>393</v>
      </c>
      <c r="T304" s="52">
        <v>1</v>
      </c>
    </row>
    <row r="305" spans="1:20" ht="13.2" customHeight="1" x14ac:dyDescent="0.25">
      <c r="A305" s="52">
        <v>306</v>
      </c>
      <c r="B305" s="52" t="s">
        <v>41</v>
      </c>
      <c r="C305" s="52" t="s">
        <v>18</v>
      </c>
      <c r="D305" s="52" t="s">
        <v>400</v>
      </c>
      <c r="E305" s="52" t="s">
        <v>547</v>
      </c>
      <c r="F305" s="48">
        <v>1</v>
      </c>
      <c r="G305" s="106">
        <f>VLOOKUP($A305, Stat!$A$1:$C$501, 2,0)</f>
        <v>86</v>
      </c>
      <c r="H305" s="106">
        <f>VLOOKUP($A305, Stat!$A$1:$C$501, 3,0)</f>
        <v>11</v>
      </c>
      <c r="P305" s="52">
        <v>0</v>
      </c>
      <c r="Q305" s="52">
        <v>1</v>
      </c>
      <c r="S305" s="52" t="s">
        <v>403</v>
      </c>
      <c r="T305" s="52">
        <v>1</v>
      </c>
    </row>
    <row r="306" spans="1:20" ht="13.2" customHeight="1" x14ac:dyDescent="0.25">
      <c r="A306" s="52">
        <v>307</v>
      </c>
      <c r="B306" s="52" t="s">
        <v>41</v>
      </c>
      <c r="C306" s="52" t="s">
        <v>18</v>
      </c>
      <c r="D306" s="52" t="s">
        <v>400</v>
      </c>
      <c r="E306" s="52" t="s">
        <v>77</v>
      </c>
      <c r="F306" s="48">
        <v>1</v>
      </c>
      <c r="G306" s="106">
        <f>VLOOKUP($A306, Stat!$A$1:$C$501, 2,0)</f>
        <v>133</v>
      </c>
      <c r="H306" s="106">
        <f>VLOOKUP($A306, Stat!$A$1:$C$501, 3,0)</f>
        <v>9</v>
      </c>
      <c r="I306" s="109"/>
      <c r="P306" s="52">
        <v>30</v>
      </c>
      <c r="Q306" s="52">
        <v>0</v>
      </c>
      <c r="S306" s="52" t="s">
        <v>404</v>
      </c>
      <c r="T306" s="52">
        <v>1</v>
      </c>
    </row>
    <row r="307" spans="1:20" ht="13.2" customHeight="1" x14ac:dyDescent="0.25">
      <c r="A307" s="52">
        <v>308</v>
      </c>
      <c r="B307" s="52" t="s">
        <v>41</v>
      </c>
      <c r="C307" s="52" t="s">
        <v>18</v>
      </c>
      <c r="D307" s="52" t="s">
        <v>402</v>
      </c>
      <c r="E307" s="52" t="s">
        <v>466</v>
      </c>
      <c r="F307" s="48">
        <v>1</v>
      </c>
      <c r="G307" s="106">
        <f>VLOOKUP($A307, Stat!$A$1:$C$501, 2,0)</f>
        <v>1</v>
      </c>
      <c r="H307" s="108">
        <f>VLOOKUP($A307, Stat!$A$1:$C$501, 3,0)</f>
        <v>1</v>
      </c>
      <c r="I307" s="48">
        <v>1</v>
      </c>
      <c r="P307" s="52">
        <v>30</v>
      </c>
      <c r="Q307" s="52">
        <v>0</v>
      </c>
      <c r="S307" s="52" t="s">
        <v>468</v>
      </c>
      <c r="T307" s="52">
        <v>1</v>
      </c>
    </row>
    <row r="308" spans="1:20" ht="13.2" customHeight="1" x14ac:dyDescent="0.25">
      <c r="A308" s="52">
        <v>309</v>
      </c>
      <c r="B308" s="52" t="s">
        <v>41</v>
      </c>
      <c r="C308" s="52" t="s">
        <v>18</v>
      </c>
      <c r="D308" s="52" t="s">
        <v>402</v>
      </c>
      <c r="E308" s="52" t="s">
        <v>467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469</v>
      </c>
      <c r="T308" s="52">
        <v>1</v>
      </c>
    </row>
    <row r="309" spans="1:20" ht="13.2" customHeight="1" x14ac:dyDescent="0.25">
      <c r="A309" s="52">
        <v>310</v>
      </c>
      <c r="B309" s="52" t="s">
        <v>41</v>
      </c>
      <c r="C309" s="52" t="s">
        <v>18</v>
      </c>
      <c r="D309" s="52" t="s">
        <v>405</v>
      </c>
      <c r="E309" s="52" t="s">
        <v>444</v>
      </c>
      <c r="F309" s="48">
        <v>1</v>
      </c>
      <c r="G309" s="106">
        <f>VLOOKUP($A309, Stat!$A$1:$C$501, 2,0)</f>
        <v>15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406</v>
      </c>
      <c r="T309" s="52">
        <v>1</v>
      </c>
    </row>
    <row r="310" spans="1:20" ht="13.2" customHeight="1" x14ac:dyDescent="0.25">
      <c r="A310" s="52">
        <v>311</v>
      </c>
      <c r="B310" s="52" t="s">
        <v>39</v>
      </c>
      <c r="C310" s="52" t="s">
        <v>7</v>
      </c>
      <c r="D310" s="52" t="s">
        <v>167</v>
      </c>
      <c r="E310" s="52" t="s">
        <v>394</v>
      </c>
      <c r="G310" s="106">
        <f>VLOOKUP($A310, Stat!$A$1:$C$501, 2,0)</f>
        <v>6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413</v>
      </c>
      <c r="T310" s="52">
        <v>1</v>
      </c>
    </row>
    <row r="311" spans="1:20" ht="13.2" customHeight="1" x14ac:dyDescent="0.25">
      <c r="A311" s="52">
        <v>312</v>
      </c>
      <c r="B311" s="52" t="s">
        <v>39</v>
      </c>
      <c r="C311" s="52" t="s">
        <v>7</v>
      </c>
      <c r="D311" s="52" t="s">
        <v>167</v>
      </c>
      <c r="E311" s="52" t="s">
        <v>367</v>
      </c>
      <c r="G311" s="106">
        <f>VLOOKUP($A311, Stat!$A$1:$C$501, 2,0)</f>
        <v>16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414</v>
      </c>
      <c r="T311" s="52">
        <v>1</v>
      </c>
    </row>
    <row r="312" spans="1:20" ht="13.2" customHeight="1" x14ac:dyDescent="0.25">
      <c r="A312" s="52">
        <v>313</v>
      </c>
      <c r="B312" s="52" t="s">
        <v>39</v>
      </c>
      <c r="C312" s="52" t="s">
        <v>7</v>
      </c>
      <c r="D312" s="52" t="s">
        <v>168</v>
      </c>
      <c r="E312" s="52" t="s">
        <v>366</v>
      </c>
      <c r="G312" s="106">
        <f>VLOOKUP($A312, Stat!$A$1:$C$501, 2,0)</f>
        <v>3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413</v>
      </c>
      <c r="T312" s="52">
        <v>1</v>
      </c>
    </row>
    <row r="313" spans="1:20" ht="13.2" customHeight="1" x14ac:dyDescent="0.25">
      <c r="A313" s="52">
        <v>314</v>
      </c>
      <c r="B313" s="52" t="s">
        <v>39</v>
      </c>
      <c r="C313" s="52" t="s">
        <v>7</v>
      </c>
      <c r="D313" s="52" t="s">
        <v>168</v>
      </c>
      <c r="E313" s="52" t="s">
        <v>368</v>
      </c>
      <c r="G313" s="106">
        <f>VLOOKUP($A313, Stat!$A$1:$C$501, 2,0)</f>
        <v>13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414</v>
      </c>
      <c r="T313" s="52">
        <v>1</v>
      </c>
    </row>
    <row r="314" spans="1:20" ht="13.2" customHeight="1" x14ac:dyDescent="0.25">
      <c r="A314" s="52">
        <v>315</v>
      </c>
      <c r="B314" s="52" t="s">
        <v>41</v>
      </c>
      <c r="C314" s="52" t="s">
        <v>64</v>
      </c>
      <c r="D314" s="52" t="s">
        <v>214</v>
      </c>
      <c r="E314" s="52" t="s">
        <v>421</v>
      </c>
      <c r="G314" s="106">
        <f>VLOOKUP($A314, Stat!$A$1:$C$501, 2,0)</f>
        <v>14</v>
      </c>
      <c r="H314" s="106">
        <f>VLOOKUP($A314, Stat!$A$1:$C$501, 3,0)</f>
        <v>12</v>
      </c>
      <c r="I314" s="48">
        <v>1</v>
      </c>
      <c r="P314" s="52">
        <v>60</v>
      </c>
      <c r="Q314" s="52">
        <v>0</v>
      </c>
      <c r="R314" s="52" t="s">
        <v>453</v>
      </c>
      <c r="S314" s="52" t="s">
        <v>422</v>
      </c>
      <c r="T314" s="52">
        <v>1</v>
      </c>
    </row>
    <row r="315" spans="1:20" ht="13.2" customHeight="1" x14ac:dyDescent="0.25">
      <c r="A315" s="52">
        <v>316</v>
      </c>
      <c r="B315" s="52" t="s">
        <v>41</v>
      </c>
      <c r="C315" s="52" t="s">
        <v>64</v>
      </c>
      <c r="D315" s="52" t="s">
        <v>214</v>
      </c>
      <c r="E315" s="52" t="s">
        <v>65</v>
      </c>
      <c r="G315" s="106">
        <f>VLOOKUP($A315, Stat!$A$1:$C$501, 2,0)</f>
        <v>52</v>
      </c>
      <c r="H315" s="106">
        <f>VLOOKUP($A315, Stat!$A$1:$C$501, 3,0)</f>
        <v>16</v>
      </c>
      <c r="I315" s="48">
        <v>1</v>
      </c>
      <c r="P315" s="52">
        <v>60</v>
      </c>
      <c r="Q315" s="52">
        <v>0</v>
      </c>
      <c r="R315" s="52" t="s">
        <v>453</v>
      </c>
      <c r="S315" s="52" t="s">
        <v>423</v>
      </c>
      <c r="T315" s="52">
        <v>1</v>
      </c>
    </row>
    <row r="316" spans="1:20" ht="13.2" customHeight="1" x14ac:dyDescent="0.25">
      <c r="A316" s="52">
        <v>317</v>
      </c>
      <c r="B316" s="52" t="s">
        <v>41</v>
      </c>
      <c r="C316" s="52" t="s">
        <v>64</v>
      </c>
      <c r="D316" s="52" t="s">
        <v>426</v>
      </c>
      <c r="E316" s="52" t="s">
        <v>425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451</v>
      </c>
      <c r="T316" s="52">
        <v>1</v>
      </c>
    </row>
    <row r="317" spans="1:20" ht="13.2" customHeight="1" x14ac:dyDescent="0.25">
      <c r="A317" s="52">
        <v>318</v>
      </c>
      <c r="B317" s="52" t="s">
        <v>41</v>
      </c>
      <c r="C317" s="52" t="s">
        <v>64</v>
      </c>
      <c r="D317" s="52" t="s">
        <v>426</v>
      </c>
      <c r="E317" s="52" t="s">
        <v>522</v>
      </c>
      <c r="F317" s="48">
        <v>1</v>
      </c>
      <c r="G317" s="106">
        <f>VLOOKUP($A317, Stat!$A$1:$C$501, 2,0)</f>
        <v>24</v>
      </c>
      <c r="H317" s="106">
        <f>VLOOKUP($A317, Stat!$A$1:$C$501, 3,0)</f>
        <v>11</v>
      </c>
      <c r="I317" s="48">
        <v>1</v>
      </c>
      <c r="P317" s="52">
        <v>30</v>
      </c>
      <c r="Q317" s="52">
        <v>0</v>
      </c>
      <c r="S317" s="52" t="s">
        <v>452</v>
      </c>
      <c r="T317" s="52">
        <v>1</v>
      </c>
    </row>
    <row r="318" spans="1:20" ht="13.2" customHeight="1" x14ac:dyDescent="0.25">
      <c r="A318" s="52">
        <v>319</v>
      </c>
      <c r="B318" s="52" t="s">
        <v>39</v>
      </c>
      <c r="C318" s="52" t="s">
        <v>15</v>
      </c>
      <c r="D318" s="52" t="s">
        <v>427</v>
      </c>
      <c r="E318" s="52" t="s">
        <v>429</v>
      </c>
      <c r="G318" s="106">
        <f>VLOOKUP($A318, Stat!$A$1:$C$501, 2,0)</f>
        <v>31</v>
      </c>
      <c r="H318" s="106">
        <f>VLOOKUP($A318, Stat!$A$1:$C$501, 3,0)</f>
        <v>12</v>
      </c>
      <c r="I318" s="48">
        <v>1</v>
      </c>
      <c r="P318" s="52">
        <v>0</v>
      </c>
      <c r="Q318" s="52">
        <v>1</v>
      </c>
      <c r="T318" s="52">
        <v>1</v>
      </c>
    </row>
    <row r="319" spans="1:20" x14ac:dyDescent="0.25">
      <c r="A319" s="52">
        <v>320</v>
      </c>
      <c r="B319" s="52" t="s">
        <v>39</v>
      </c>
      <c r="C319" s="52" t="s">
        <v>15</v>
      </c>
      <c r="D319" s="52" t="s">
        <v>427</v>
      </c>
      <c r="E319" s="52" t="s">
        <v>428</v>
      </c>
      <c r="G319" s="106">
        <f>VLOOKUP($A319, Stat!$A$1:$C$501, 2,0)</f>
        <v>10</v>
      </c>
      <c r="H319" s="106">
        <f>VLOOKUP($A319, Stat!$A$1:$C$501, 3,0)</f>
        <v>4</v>
      </c>
      <c r="I319" s="48">
        <v>1</v>
      </c>
      <c r="P319" s="52">
        <v>0</v>
      </c>
      <c r="Q319" s="52">
        <v>0</v>
      </c>
      <c r="S319" s="52" t="s">
        <v>431</v>
      </c>
      <c r="T319" s="52">
        <v>1</v>
      </c>
    </row>
    <row r="320" spans="1:20" ht="13.2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433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customHeight="1" x14ac:dyDescent="0.25">
      <c r="A321" s="52">
        <v>322</v>
      </c>
      <c r="B321" s="52" t="s">
        <v>41</v>
      </c>
      <c r="C321" s="52" t="s">
        <v>64</v>
      </c>
      <c r="D321" s="52" t="s">
        <v>426</v>
      </c>
      <c r="E321" s="52" t="s">
        <v>448</v>
      </c>
      <c r="G321" s="106">
        <f>VLOOKUP($A321, Stat!$A$1:$C$501, 2,0)</f>
        <v>11</v>
      </c>
      <c r="H321" s="106">
        <f>VLOOKUP($A321, Stat!$A$1:$C$501, 3,0)</f>
        <v>4</v>
      </c>
      <c r="I321" s="48">
        <v>1</v>
      </c>
      <c r="P321" s="52">
        <v>30</v>
      </c>
      <c r="Q321" s="52">
        <v>0</v>
      </c>
      <c r="S321" s="52" t="s">
        <v>434</v>
      </c>
      <c r="T321" s="52">
        <v>1</v>
      </c>
    </row>
    <row r="322" spans="1:20" ht="13.2" customHeight="1" x14ac:dyDescent="0.25">
      <c r="A322" s="52">
        <v>323</v>
      </c>
      <c r="B322" s="52" t="s">
        <v>41</v>
      </c>
      <c r="C322" s="52" t="s">
        <v>249</v>
      </c>
      <c r="D322" s="52" t="s">
        <v>250</v>
      </c>
      <c r="E322" s="52" t="s">
        <v>439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441</v>
      </c>
      <c r="T322" s="52">
        <v>1</v>
      </c>
    </row>
    <row r="323" spans="1:20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454</v>
      </c>
      <c r="G323" s="106">
        <f>VLOOKUP($A323, Stat!$A$1:$C$501, 2,0)</f>
        <v>20</v>
      </c>
      <c r="H323" s="106">
        <f>VLOOKUP($A323, Stat!$A$1:$C$501, 3,0)</f>
        <v>9</v>
      </c>
      <c r="I323" s="48">
        <v>1</v>
      </c>
      <c r="P323" s="52">
        <v>60</v>
      </c>
      <c r="Q323" s="52">
        <v>0</v>
      </c>
      <c r="S323" s="52" t="s">
        <v>578</v>
      </c>
      <c r="T323" s="52">
        <v>1</v>
      </c>
    </row>
    <row r="324" spans="1:20" x14ac:dyDescent="0.25">
      <c r="A324" s="52">
        <v>325</v>
      </c>
      <c r="B324" s="52" t="s">
        <v>41</v>
      </c>
      <c r="C324" s="52" t="s">
        <v>64</v>
      </c>
      <c r="D324" s="52" t="s">
        <v>587</v>
      </c>
      <c r="E324" s="52" t="s">
        <v>456</v>
      </c>
      <c r="G324" s="106">
        <f>VLOOKUP($A324, Stat!$A$1:$C$501, 2,0)</f>
        <v>0</v>
      </c>
      <c r="H324" s="106">
        <f>VLOOKUP($A324, Stat!$A$1:$C$501, 3,0)</f>
        <v>0</v>
      </c>
      <c r="I324" s="48">
        <v>1</v>
      </c>
      <c r="P324" s="52">
        <v>0</v>
      </c>
      <c r="Q324" s="52">
        <v>0</v>
      </c>
      <c r="R324" s="52" t="s">
        <v>590</v>
      </c>
      <c r="S324" s="52" t="s">
        <v>588</v>
      </c>
      <c r="T324" s="52">
        <v>1</v>
      </c>
    </row>
    <row r="325" spans="1:20" ht="13.2" customHeight="1" x14ac:dyDescent="0.25">
      <c r="A325" s="52">
        <v>326</v>
      </c>
      <c r="B325" s="52" t="s">
        <v>41</v>
      </c>
      <c r="C325" s="52" t="s">
        <v>64</v>
      </c>
      <c r="D325" s="52" t="s">
        <v>587</v>
      </c>
      <c r="E325" s="52" t="s">
        <v>455</v>
      </c>
      <c r="G325" s="106">
        <f>VLOOKUP($A325, Stat!$A$1:$C$501, 2,0)</f>
        <v>2</v>
      </c>
      <c r="H325" s="106">
        <f>VLOOKUP($A325, Stat!$A$1:$C$501, 3,0)</f>
        <v>0</v>
      </c>
      <c r="I325" s="48">
        <v>1</v>
      </c>
      <c r="P325" s="52">
        <v>0</v>
      </c>
      <c r="Q325" s="52">
        <v>0</v>
      </c>
      <c r="R325" s="52" t="s">
        <v>590</v>
      </c>
      <c r="S325" s="52" t="s">
        <v>589</v>
      </c>
      <c r="T325" s="52">
        <v>1</v>
      </c>
    </row>
    <row r="326" spans="1:20" ht="13.2" customHeight="1" x14ac:dyDescent="0.25">
      <c r="A326" s="52">
        <v>327</v>
      </c>
      <c r="B326" s="52" t="s">
        <v>41</v>
      </c>
      <c r="C326" s="52" t="s">
        <v>249</v>
      </c>
      <c r="D326" s="52" t="s">
        <v>250</v>
      </c>
      <c r="E326" s="52" t="s">
        <v>457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customHeight="1" x14ac:dyDescent="0.25">
      <c r="A327" s="52">
        <v>328</v>
      </c>
      <c r="B327" s="52" t="s">
        <v>41</v>
      </c>
      <c r="C327" s="52" t="s">
        <v>249</v>
      </c>
      <c r="D327" s="52" t="s">
        <v>317</v>
      </c>
      <c r="E327" s="52" t="s">
        <v>457</v>
      </c>
      <c r="G327" s="106">
        <f>VLOOKUP($A327, Stat!$A$1:$C$501, 2,0)</f>
        <v>5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x14ac:dyDescent="0.25">
      <c r="A328" s="52">
        <v>329</v>
      </c>
      <c r="B328" s="52" t="s">
        <v>41</v>
      </c>
      <c r="C328" s="52" t="s">
        <v>18</v>
      </c>
      <c r="D328" s="52" t="s">
        <v>400</v>
      </c>
      <c r="E328" s="52" t="s">
        <v>465</v>
      </c>
      <c r="F328" s="48">
        <v>1</v>
      </c>
      <c r="G328" s="106">
        <f>VLOOKUP($A328, Stat!$A$1:$C$501, 2,0)</f>
        <v>32</v>
      </c>
      <c r="H328" s="106">
        <f>VLOOKUP($A328, Stat!$A$1:$C$501, 3,0)</f>
        <v>1</v>
      </c>
      <c r="P328" s="52">
        <v>30</v>
      </c>
      <c r="Q328" s="52">
        <v>1</v>
      </c>
      <c r="S328" s="52" t="s">
        <v>460</v>
      </c>
      <c r="T328" s="52">
        <v>1</v>
      </c>
    </row>
    <row r="329" spans="1:20" x14ac:dyDescent="0.25">
      <c r="A329" s="52">
        <v>330</v>
      </c>
      <c r="B329" s="52" t="s">
        <v>41</v>
      </c>
      <c r="C329" s="52" t="s">
        <v>64</v>
      </c>
      <c r="D329" s="52" t="s">
        <v>212</v>
      </c>
      <c r="E329" s="52" t="s">
        <v>458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459</v>
      </c>
      <c r="T329" s="52">
        <v>1</v>
      </c>
    </row>
    <row r="330" spans="1:20" ht="13.2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461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462</v>
      </c>
      <c r="T330" s="52">
        <v>1</v>
      </c>
    </row>
    <row r="331" spans="1:20" ht="13.2" customHeight="1" x14ac:dyDescent="0.25">
      <c r="A331" s="52">
        <v>332</v>
      </c>
      <c r="B331" s="52" t="s">
        <v>41</v>
      </c>
      <c r="C331" s="52" t="s">
        <v>206</v>
      </c>
      <c r="D331" s="52" t="s">
        <v>372</v>
      </c>
      <c r="E331" s="52" t="s">
        <v>478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476</v>
      </c>
      <c r="T331" s="52">
        <v>1</v>
      </c>
    </row>
    <row r="332" spans="1:20" ht="13.2" customHeight="1" x14ac:dyDescent="0.25">
      <c r="A332" s="52">
        <v>333</v>
      </c>
      <c r="B332" s="52" t="s">
        <v>41</v>
      </c>
      <c r="C332" s="52" t="s">
        <v>249</v>
      </c>
      <c r="D332" s="52" t="s">
        <v>338</v>
      </c>
      <c r="E332" s="52" t="s">
        <v>474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479</v>
      </c>
      <c r="T332" s="52">
        <v>1</v>
      </c>
    </row>
    <row r="333" spans="1:20" ht="13.2" customHeight="1" x14ac:dyDescent="0.25">
      <c r="A333" s="52">
        <v>334</v>
      </c>
      <c r="B333" s="52" t="s">
        <v>41</v>
      </c>
      <c r="C333" s="52" t="s">
        <v>249</v>
      </c>
      <c r="D333" s="52" t="s">
        <v>338</v>
      </c>
      <c r="E333" s="52" t="s">
        <v>477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480</v>
      </c>
      <c r="T333" s="52">
        <v>1</v>
      </c>
    </row>
    <row r="334" spans="1:20" ht="13.2" customHeight="1" x14ac:dyDescent="0.25">
      <c r="A334" s="52">
        <v>335</v>
      </c>
      <c r="B334" s="52" t="s">
        <v>41</v>
      </c>
      <c r="C334" s="52" t="s">
        <v>64</v>
      </c>
      <c r="D334" s="52" t="s">
        <v>426</v>
      </c>
      <c r="E334" s="52" t="s">
        <v>481</v>
      </c>
      <c r="F334" s="48">
        <v>1</v>
      </c>
      <c r="G334" s="106">
        <f>VLOOKUP($A334, Stat!$A$1:$C$501, 2,0)</f>
        <v>136</v>
      </c>
      <c r="H334" s="106">
        <f>VLOOKUP($A334, Stat!$A$1:$C$501, 3,0)</f>
        <v>1</v>
      </c>
      <c r="I334" s="109"/>
      <c r="P334" s="52">
        <v>30</v>
      </c>
      <c r="Q334" s="52">
        <v>0</v>
      </c>
      <c r="S334" s="52" t="s">
        <v>482</v>
      </c>
      <c r="T334" s="52">
        <v>1</v>
      </c>
    </row>
    <row r="335" spans="1:20" ht="13.2" customHeight="1" x14ac:dyDescent="0.25">
      <c r="A335" s="52">
        <v>336</v>
      </c>
      <c r="B335" s="52" t="s">
        <v>41</v>
      </c>
      <c r="C335" s="52" t="s">
        <v>206</v>
      </c>
      <c r="D335" s="52" t="s">
        <v>483</v>
      </c>
      <c r="E335" s="52" t="s">
        <v>486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488</v>
      </c>
      <c r="S335" s="52" t="s">
        <v>489</v>
      </c>
      <c r="T335" s="52">
        <v>1</v>
      </c>
    </row>
    <row r="336" spans="1:20" ht="13.2" customHeight="1" x14ac:dyDescent="0.25">
      <c r="A336" s="52">
        <v>337</v>
      </c>
      <c r="B336" s="52" t="s">
        <v>41</v>
      </c>
      <c r="C336" s="52" t="s">
        <v>206</v>
      </c>
      <c r="D336" s="52" t="s">
        <v>483</v>
      </c>
      <c r="E336" s="52" t="s">
        <v>484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488</v>
      </c>
      <c r="S336" s="52" t="s">
        <v>490</v>
      </c>
      <c r="T336" s="52">
        <v>1</v>
      </c>
    </row>
    <row r="337" spans="1:20" x14ac:dyDescent="0.25">
      <c r="A337" s="52">
        <v>338</v>
      </c>
      <c r="B337" s="52" t="s">
        <v>41</v>
      </c>
      <c r="C337" s="52" t="s">
        <v>206</v>
      </c>
      <c r="D337" s="52" t="s">
        <v>483</v>
      </c>
      <c r="E337" s="52" t="s">
        <v>546</v>
      </c>
      <c r="G337" s="106">
        <f>VLOOKUP($A337, Stat!$A$1:$C$501, 2,0)</f>
        <v>47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488</v>
      </c>
      <c r="S337" s="52" t="s">
        <v>491</v>
      </c>
      <c r="T337" s="52">
        <v>1</v>
      </c>
    </row>
    <row r="338" spans="1:20" x14ac:dyDescent="0.25">
      <c r="A338" s="52">
        <v>339</v>
      </c>
      <c r="B338" s="52" t="s">
        <v>41</v>
      </c>
      <c r="C338" s="52" t="s">
        <v>206</v>
      </c>
      <c r="D338" s="52" t="s">
        <v>483</v>
      </c>
      <c r="E338" s="52" t="s">
        <v>485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488</v>
      </c>
      <c r="S338" s="52" t="s">
        <v>492</v>
      </c>
      <c r="T338" s="52">
        <v>1</v>
      </c>
    </row>
    <row r="339" spans="1:20" x14ac:dyDescent="0.25">
      <c r="A339" s="52">
        <v>340</v>
      </c>
      <c r="B339" s="52" t="s">
        <v>41</v>
      </c>
      <c r="C339" s="52" t="s">
        <v>206</v>
      </c>
      <c r="D339" s="52" t="s">
        <v>483</v>
      </c>
      <c r="E339" s="52" t="s">
        <v>487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488</v>
      </c>
      <c r="S339" s="52" t="s">
        <v>493</v>
      </c>
      <c r="T339" s="52">
        <v>1</v>
      </c>
    </row>
    <row r="340" spans="1:20" x14ac:dyDescent="0.25">
      <c r="A340" s="52">
        <v>341</v>
      </c>
      <c r="B340" s="52" t="s">
        <v>41</v>
      </c>
      <c r="C340" s="52" t="s">
        <v>206</v>
      </c>
      <c r="D340" s="52" t="s">
        <v>194</v>
      </c>
      <c r="E340" s="52" t="s">
        <v>494</v>
      </c>
      <c r="G340" s="106">
        <f>VLOOKUP($A340, Stat!$A$1:$C$501, 2,0)</f>
        <v>38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495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568</v>
      </c>
      <c r="D341" s="52" t="s">
        <v>499</v>
      </c>
      <c r="E341" s="52" t="s">
        <v>49</v>
      </c>
      <c r="G341" s="107">
        <f>VLOOKUP($A341, Stat!$A$1:$C$501, 2,0)</f>
        <v>3</v>
      </c>
      <c r="H341" s="106">
        <f>VLOOKUP($A341, Stat!$A$1:$C$501, 3,0)</f>
        <v>1</v>
      </c>
      <c r="P341" s="52">
        <v>0</v>
      </c>
      <c r="Q341" s="52">
        <v>0</v>
      </c>
      <c r="R341" s="52" t="s">
        <v>565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568</v>
      </c>
      <c r="D342" s="52" t="s">
        <v>499</v>
      </c>
      <c r="E342" s="52" t="s">
        <v>50</v>
      </c>
      <c r="G342" s="106">
        <f>VLOOKUP($A342, Stat!$A$1:$C$501, 2,0)</f>
        <v>4</v>
      </c>
      <c r="H342" s="106">
        <f>VLOOKUP($A342, Stat!$A$1:$C$501, 3,0)</f>
        <v>1</v>
      </c>
      <c r="I342" s="48">
        <v>1</v>
      </c>
      <c r="M342" s="48">
        <v>342</v>
      </c>
      <c r="P342" s="52">
        <v>60</v>
      </c>
      <c r="Q342" s="52">
        <v>0</v>
      </c>
      <c r="R342" s="52" t="s">
        <v>565</v>
      </c>
      <c r="T342" s="52">
        <v>1</v>
      </c>
    </row>
    <row r="343" spans="1:20" x14ac:dyDescent="0.25">
      <c r="A343" s="52">
        <v>344</v>
      </c>
      <c r="B343" s="52" t="s">
        <v>39</v>
      </c>
      <c r="C343" s="52" t="s">
        <v>15</v>
      </c>
      <c r="D343" s="52" t="s">
        <v>501</v>
      </c>
      <c r="E343" s="52" t="s">
        <v>502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506</v>
      </c>
      <c r="T343" s="52">
        <v>1</v>
      </c>
    </row>
    <row r="344" spans="1:20" x14ac:dyDescent="0.25">
      <c r="A344" s="52">
        <v>345</v>
      </c>
      <c r="B344" s="52" t="s">
        <v>39</v>
      </c>
      <c r="C344" s="52" t="s">
        <v>15</v>
      </c>
      <c r="D344" s="52" t="s">
        <v>501</v>
      </c>
      <c r="E344" s="52" t="s">
        <v>503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506</v>
      </c>
      <c r="T344" s="52">
        <v>1</v>
      </c>
    </row>
    <row r="345" spans="1:20" x14ac:dyDescent="0.25">
      <c r="A345" s="52">
        <v>346</v>
      </c>
      <c r="B345" s="52" t="s">
        <v>39</v>
      </c>
      <c r="C345" s="52" t="s">
        <v>15</v>
      </c>
      <c r="D345" s="52" t="s">
        <v>501</v>
      </c>
      <c r="E345" s="52" t="s">
        <v>504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506</v>
      </c>
      <c r="T345" s="52">
        <v>1</v>
      </c>
    </row>
    <row r="346" spans="1:20" x14ac:dyDescent="0.25">
      <c r="A346" s="52">
        <v>347</v>
      </c>
      <c r="B346" s="52" t="s">
        <v>41</v>
      </c>
      <c r="C346" s="52" t="s">
        <v>64</v>
      </c>
      <c r="D346" s="52" t="s">
        <v>214</v>
      </c>
      <c r="E346" s="52" t="s">
        <v>507</v>
      </c>
      <c r="G346" s="106">
        <f>VLOOKUP($A346, Stat!$A$1:$C$501, 2,0)</f>
        <v>2</v>
      </c>
      <c r="H346" s="106">
        <f>VLOOKUP($A346, Stat!$A$1:$C$501, 3,0)</f>
        <v>2</v>
      </c>
      <c r="I346" s="48">
        <v>1</v>
      </c>
      <c r="P346" s="52">
        <v>30</v>
      </c>
      <c r="Q346" s="52">
        <v>0</v>
      </c>
      <c r="R346" s="52" t="s">
        <v>453</v>
      </c>
      <c r="S346" s="52" t="s">
        <v>508</v>
      </c>
      <c r="T346" s="52">
        <v>1</v>
      </c>
    </row>
    <row r="347" spans="1:20" x14ac:dyDescent="0.25">
      <c r="A347" s="52">
        <v>348</v>
      </c>
      <c r="B347" s="52" t="s">
        <v>39</v>
      </c>
      <c r="C347" s="52" t="s">
        <v>15</v>
      </c>
      <c r="D347" s="52" t="s">
        <v>166</v>
      </c>
      <c r="E347" s="52" t="s">
        <v>512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513</v>
      </c>
      <c r="T347" s="52">
        <v>1</v>
      </c>
    </row>
    <row r="348" spans="1:20" x14ac:dyDescent="0.25">
      <c r="A348" s="52">
        <v>349</v>
      </c>
      <c r="B348" s="52" t="s">
        <v>41</v>
      </c>
      <c r="C348" s="52" t="s">
        <v>60</v>
      </c>
      <c r="D348" s="52" t="s">
        <v>515</v>
      </c>
      <c r="E348" s="52" t="s">
        <v>517</v>
      </c>
      <c r="G348" s="106">
        <f>VLOOKUP($A348, Stat!$A$1:$C$501, 2,0)</f>
        <v>40</v>
      </c>
      <c r="H348" s="106">
        <f>VLOOKUP($A348, Stat!$A$1:$C$501, 3,0)</f>
        <v>1</v>
      </c>
      <c r="P348" s="52">
        <v>60</v>
      </c>
      <c r="Q348" s="52">
        <v>0</v>
      </c>
      <c r="S348" s="52" t="s">
        <v>518</v>
      </c>
      <c r="T348" s="52">
        <v>1</v>
      </c>
    </row>
    <row r="349" spans="1:20" x14ac:dyDescent="0.25">
      <c r="A349" s="52">
        <v>350</v>
      </c>
      <c r="B349" s="52" t="s">
        <v>41</v>
      </c>
      <c r="C349" s="52" t="s">
        <v>60</v>
      </c>
      <c r="D349" s="52" t="s">
        <v>515</v>
      </c>
      <c r="E349" s="52" t="s">
        <v>516</v>
      </c>
      <c r="G349" s="106">
        <f>VLOOKUP($A349, Stat!$A$1:$C$501, 2,0)</f>
        <v>30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519</v>
      </c>
      <c r="T349" s="52">
        <v>1</v>
      </c>
    </row>
    <row r="350" spans="1:20" x14ac:dyDescent="0.25">
      <c r="A350" s="52">
        <v>351</v>
      </c>
      <c r="B350" s="52" t="s">
        <v>39</v>
      </c>
      <c r="C350" s="52" t="s">
        <v>17</v>
      </c>
      <c r="D350" s="52" t="s">
        <v>520</v>
      </c>
      <c r="E350" s="52" t="s">
        <v>376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232</v>
      </c>
      <c r="T350" s="52">
        <v>1</v>
      </c>
    </row>
    <row r="351" spans="1:20" x14ac:dyDescent="0.25">
      <c r="A351" s="52">
        <v>352</v>
      </c>
      <c r="B351" s="52" t="s">
        <v>39</v>
      </c>
      <c r="C351" s="52" t="s">
        <v>17</v>
      </c>
      <c r="D351" s="52" t="s">
        <v>520</v>
      </c>
      <c r="E351" s="52" t="s">
        <v>473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232</v>
      </c>
      <c r="T351" s="52">
        <v>1</v>
      </c>
    </row>
    <row r="352" spans="1:20" x14ac:dyDescent="0.25">
      <c r="A352" s="52">
        <v>353</v>
      </c>
      <c r="B352" s="52" t="s">
        <v>39</v>
      </c>
      <c r="C352" s="52" t="s">
        <v>17</v>
      </c>
      <c r="D352" s="52" t="s">
        <v>520</v>
      </c>
      <c r="E352" s="52" t="s">
        <v>521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232</v>
      </c>
      <c r="T352" s="52">
        <v>1</v>
      </c>
    </row>
    <row r="353" spans="1:20" x14ac:dyDescent="0.25">
      <c r="A353" s="52">
        <v>354</v>
      </c>
      <c r="B353" s="52" t="s">
        <v>41</v>
      </c>
      <c r="C353" s="52" t="s">
        <v>64</v>
      </c>
      <c r="D353" s="52" t="s">
        <v>524</v>
      </c>
      <c r="E353" s="52" t="s">
        <v>538</v>
      </c>
      <c r="G353" s="106">
        <f>VLOOKUP($A353, Stat!$A$1:$C$501, 2,0)</f>
        <v>349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x14ac:dyDescent="0.25">
      <c r="A354" s="52">
        <v>355</v>
      </c>
      <c r="B354" s="52" t="s">
        <v>41</v>
      </c>
      <c r="C354" s="52" t="s">
        <v>64</v>
      </c>
      <c r="D354" s="52" t="s">
        <v>524</v>
      </c>
      <c r="E354" s="52" t="s">
        <v>539</v>
      </c>
      <c r="G354" s="106">
        <f>VLOOKUP($A354, Stat!$A$1:$C$501, 2,0)</f>
        <v>23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x14ac:dyDescent="0.25">
      <c r="A355" s="52">
        <v>356</v>
      </c>
      <c r="B355" s="52" t="s">
        <v>41</v>
      </c>
      <c r="C355" s="52" t="s">
        <v>64</v>
      </c>
      <c r="D355" s="52" t="s">
        <v>524</v>
      </c>
      <c r="E355" s="52" t="s">
        <v>540</v>
      </c>
      <c r="G355" s="106">
        <f>VLOOKUP($A355, Stat!$A$1:$C$501, 2,0)</f>
        <v>19</v>
      </c>
      <c r="H355" s="106">
        <f>VLOOKUP($A355, Stat!$A$1:$C$501, 3,0)</f>
        <v>2</v>
      </c>
      <c r="I355" s="48">
        <v>1</v>
      </c>
      <c r="P355" s="52">
        <v>30</v>
      </c>
      <c r="Q355" s="52">
        <v>1</v>
      </c>
      <c r="T355" s="52">
        <v>1</v>
      </c>
    </row>
    <row r="356" spans="1:20" x14ac:dyDescent="0.25">
      <c r="A356" s="52">
        <v>357</v>
      </c>
      <c r="B356" s="52" t="s">
        <v>41</v>
      </c>
      <c r="C356" s="52" t="s">
        <v>64</v>
      </c>
      <c r="D356" s="52" t="s">
        <v>524</v>
      </c>
      <c r="E356" s="52" t="s">
        <v>541</v>
      </c>
      <c r="G356" s="106">
        <f>VLOOKUP($A356, Stat!$A$1:$C$501, 2,0)</f>
        <v>7</v>
      </c>
      <c r="H356" s="106">
        <f>VLOOKUP($A356, Stat!$A$1:$C$501, 3,0)</f>
        <v>4</v>
      </c>
      <c r="I356" s="48">
        <v>1</v>
      </c>
      <c r="P356" s="52">
        <v>40</v>
      </c>
      <c r="Q356" s="52">
        <v>0</v>
      </c>
      <c r="T356" s="52">
        <v>1</v>
      </c>
    </row>
    <row r="357" spans="1:20" x14ac:dyDescent="0.25">
      <c r="A357" s="52">
        <v>358</v>
      </c>
      <c r="B357" s="52" t="s">
        <v>41</v>
      </c>
      <c r="C357" s="52" t="s">
        <v>64</v>
      </c>
      <c r="D357" s="52" t="s">
        <v>524</v>
      </c>
      <c r="E357" s="52" t="s">
        <v>295</v>
      </c>
      <c r="G357" s="106">
        <f>VLOOKUP($A357, Stat!$A$1:$C$501, 2,0)</f>
        <v>33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556</v>
      </c>
      <c r="G358" s="106">
        <f>VLOOKUP($A358, Stat!$A$1:$C$501, 2,0)</f>
        <v>17</v>
      </c>
      <c r="H358" s="106">
        <f>VLOOKUP($A358, Stat!$A$1:$C$501, 3,0)</f>
        <v>12</v>
      </c>
      <c r="I358" s="48">
        <v>1</v>
      </c>
      <c r="P358" s="52">
        <v>100</v>
      </c>
      <c r="Q358" s="52">
        <v>0</v>
      </c>
      <c r="S358" s="52" t="s">
        <v>557</v>
      </c>
      <c r="T358" s="52">
        <v>1</v>
      </c>
    </row>
    <row r="359" spans="1:20" x14ac:dyDescent="0.25">
      <c r="A359" s="52">
        <v>360</v>
      </c>
      <c r="B359" s="52" t="s">
        <v>39</v>
      </c>
      <c r="C359" s="52" t="s">
        <v>568</v>
      </c>
      <c r="D359" s="52" t="s">
        <v>562</v>
      </c>
      <c r="E359" s="52" t="s">
        <v>49</v>
      </c>
      <c r="G359" s="106">
        <f>VLOOKUP($A359, Stat!$A$1:$C$501, 2,0)</f>
        <v>1</v>
      </c>
      <c r="H359" s="106">
        <f>VLOOKUP($A359, Stat!$A$1:$C$501, 3,0)</f>
        <v>1</v>
      </c>
      <c r="M359" s="48">
        <v>368</v>
      </c>
      <c r="P359" s="52">
        <v>40</v>
      </c>
      <c r="Q359" s="52">
        <v>0</v>
      </c>
      <c r="R359" s="52" t="s">
        <v>564</v>
      </c>
      <c r="T359" s="52">
        <v>1</v>
      </c>
    </row>
    <row r="360" spans="1:20" x14ac:dyDescent="0.25">
      <c r="A360" s="52">
        <v>361</v>
      </c>
      <c r="B360" s="52" t="s">
        <v>39</v>
      </c>
      <c r="C360" s="52" t="s">
        <v>568</v>
      </c>
      <c r="D360" s="52" t="s">
        <v>562</v>
      </c>
      <c r="E360" s="52" t="s">
        <v>50</v>
      </c>
      <c r="G360" s="106">
        <f>VLOOKUP($A360, Stat!$A$1:$C$501, 2,0)</f>
        <v>6</v>
      </c>
      <c r="H360" s="106">
        <f>VLOOKUP($A360, Stat!$A$1:$C$501, 3,0)</f>
        <v>2</v>
      </c>
      <c r="I360" s="48">
        <v>1</v>
      </c>
      <c r="M360" s="49" t="s">
        <v>581</v>
      </c>
      <c r="P360" s="52">
        <v>100</v>
      </c>
      <c r="Q360" s="52">
        <v>0</v>
      </c>
      <c r="R360" s="52" t="s">
        <v>564</v>
      </c>
      <c r="T360" s="52">
        <v>1</v>
      </c>
    </row>
    <row r="361" spans="1:20" x14ac:dyDescent="0.25">
      <c r="A361" s="52">
        <v>362</v>
      </c>
      <c r="B361" s="52" t="s">
        <v>39</v>
      </c>
      <c r="C361" s="52" t="s">
        <v>568</v>
      </c>
      <c r="D361" s="52" t="s">
        <v>562</v>
      </c>
      <c r="E361" s="52" t="s">
        <v>23</v>
      </c>
      <c r="G361" s="106">
        <f>VLOOKUP($A361, Stat!$A$1:$C$501, 2,0)</f>
        <v>4</v>
      </c>
      <c r="H361" s="106">
        <f>VLOOKUP($A361, Stat!$A$1:$C$501, 3,0)</f>
        <v>1</v>
      </c>
      <c r="P361" s="52">
        <v>100</v>
      </c>
      <c r="Q361" s="52">
        <v>0</v>
      </c>
      <c r="R361" s="52" t="s">
        <v>564</v>
      </c>
      <c r="T361" s="52">
        <v>1</v>
      </c>
    </row>
    <row r="362" spans="1:20" x14ac:dyDescent="0.25">
      <c r="A362" s="52">
        <v>363</v>
      </c>
      <c r="B362" s="52" t="s">
        <v>39</v>
      </c>
      <c r="C362" s="52" t="s">
        <v>568</v>
      </c>
      <c r="D362" s="52" t="s">
        <v>498</v>
      </c>
      <c r="E362" s="52" t="s">
        <v>23</v>
      </c>
      <c r="G362" s="106">
        <f>VLOOKUP($A362, Stat!$A$1:$C$501, 2,0)</f>
        <v>8</v>
      </c>
      <c r="H362" s="106">
        <f>VLOOKUP($A362, Stat!$A$1:$C$501, 3,0)</f>
        <v>2</v>
      </c>
      <c r="P362" s="52">
        <v>100</v>
      </c>
      <c r="Q362" s="52">
        <v>0</v>
      </c>
      <c r="R362" s="52" t="s">
        <v>560</v>
      </c>
      <c r="T362" s="52">
        <v>1</v>
      </c>
    </row>
    <row r="363" spans="1:20" x14ac:dyDescent="0.25">
      <c r="A363" s="52">
        <v>364</v>
      </c>
      <c r="B363" s="52" t="s">
        <v>39</v>
      </c>
      <c r="C363" s="52" t="s">
        <v>568</v>
      </c>
      <c r="D363" s="52" t="s">
        <v>499</v>
      </c>
      <c r="E363" s="52" t="s">
        <v>23</v>
      </c>
      <c r="G363" s="106">
        <f>VLOOKUP($A363, Stat!$A$1:$C$501, 2,0)</f>
        <v>1</v>
      </c>
      <c r="H363" s="106">
        <f>VLOOKUP($A363, Stat!$A$1:$C$501, 3,0)</f>
        <v>1</v>
      </c>
      <c r="P363" s="52">
        <v>100</v>
      </c>
      <c r="Q363" s="52">
        <v>0</v>
      </c>
      <c r="R363" s="52" t="s">
        <v>565</v>
      </c>
      <c r="T363" s="52">
        <v>1</v>
      </c>
    </row>
    <row r="364" spans="1:20" x14ac:dyDescent="0.25">
      <c r="A364" s="52">
        <v>365</v>
      </c>
      <c r="B364" s="52" t="s">
        <v>39</v>
      </c>
      <c r="C364" s="52" t="s">
        <v>568</v>
      </c>
      <c r="D364" s="52" t="s">
        <v>561</v>
      </c>
      <c r="E364" s="52" t="s">
        <v>49</v>
      </c>
      <c r="G364" s="106">
        <f>VLOOKUP($A364, Stat!$A$1:$C$501, 2,0)</f>
        <v>18</v>
      </c>
      <c r="H364" s="106">
        <f>VLOOKUP($A364, Stat!$A$1:$C$501, 3,0)</f>
        <v>4</v>
      </c>
      <c r="P364" s="52">
        <v>40</v>
      </c>
      <c r="Q364" s="52">
        <v>0</v>
      </c>
      <c r="R364" s="52" t="s">
        <v>563</v>
      </c>
      <c r="T364" s="52">
        <v>1</v>
      </c>
    </row>
    <row r="365" spans="1:20" x14ac:dyDescent="0.25">
      <c r="A365" s="52">
        <v>366</v>
      </c>
      <c r="B365" s="52" t="s">
        <v>39</v>
      </c>
      <c r="C365" s="52" t="s">
        <v>568</v>
      </c>
      <c r="D365" s="52" t="s">
        <v>561</v>
      </c>
      <c r="E365" s="52" t="s">
        <v>50</v>
      </c>
      <c r="G365" s="106">
        <f>VLOOKUP($A365, Stat!$A$1:$C$501, 2,0)</f>
        <v>15</v>
      </c>
      <c r="H365" s="106">
        <f>VLOOKUP($A365, Stat!$A$1:$C$501, 3,0)</f>
        <v>4</v>
      </c>
      <c r="M365" s="48">
        <v>365</v>
      </c>
      <c r="P365" s="52">
        <v>100</v>
      </c>
      <c r="Q365" s="52">
        <v>0</v>
      </c>
      <c r="R365" s="52" t="s">
        <v>563</v>
      </c>
      <c r="T365" s="52">
        <v>1</v>
      </c>
    </row>
    <row r="366" spans="1:20" x14ac:dyDescent="0.25">
      <c r="A366" s="52">
        <v>367</v>
      </c>
      <c r="B366" s="52" t="s">
        <v>39</v>
      </c>
      <c r="C366" s="52" t="s">
        <v>568</v>
      </c>
      <c r="D366" s="52" t="s">
        <v>561</v>
      </c>
      <c r="E366" s="52" t="s">
        <v>23</v>
      </c>
      <c r="G366" s="106">
        <f>VLOOKUP($A366, Stat!$A$1:$C$501, 2,0)</f>
        <v>6</v>
      </c>
      <c r="H366" s="106">
        <f>VLOOKUP($A366, Stat!$A$1:$C$501, 3,0)</f>
        <v>4</v>
      </c>
      <c r="P366" s="52">
        <v>100</v>
      </c>
      <c r="Q366" s="52">
        <v>0</v>
      </c>
      <c r="R366" s="52" t="s">
        <v>563</v>
      </c>
      <c r="T366" s="52">
        <v>1</v>
      </c>
    </row>
    <row r="367" spans="1:20" x14ac:dyDescent="0.25">
      <c r="A367" s="52">
        <v>368</v>
      </c>
      <c r="B367" s="52" t="s">
        <v>39</v>
      </c>
      <c r="C367" s="52" t="s">
        <v>568</v>
      </c>
      <c r="D367" s="52" t="s">
        <v>566</v>
      </c>
      <c r="E367" s="52" t="s">
        <v>49</v>
      </c>
      <c r="G367" s="106">
        <f>VLOOKUP($A367, Stat!$A$1:$C$501, 2,0)</f>
        <v>5</v>
      </c>
      <c r="H367" s="106">
        <f>VLOOKUP($A367, Stat!$A$1:$C$501, 3,0)</f>
        <v>2</v>
      </c>
      <c r="P367" s="52">
        <v>0</v>
      </c>
      <c r="Q367" s="52">
        <v>0</v>
      </c>
      <c r="R367" s="52" t="s">
        <v>563</v>
      </c>
      <c r="T367" s="52">
        <v>1</v>
      </c>
    </row>
    <row r="368" spans="1:20" x14ac:dyDescent="0.25">
      <c r="A368" s="52">
        <v>369</v>
      </c>
      <c r="B368" s="52" t="s">
        <v>39</v>
      </c>
      <c r="C368" s="52" t="s">
        <v>568</v>
      </c>
      <c r="D368" s="52" t="s">
        <v>566</v>
      </c>
      <c r="E368" s="52" t="s">
        <v>50</v>
      </c>
      <c r="G368" s="106">
        <f>VLOOKUP($A368, Stat!$A$1:$C$501, 2,0)</f>
        <v>7</v>
      </c>
      <c r="H368" s="106">
        <f>VLOOKUP($A368, Stat!$A$1:$C$501, 3,0)</f>
        <v>1</v>
      </c>
      <c r="M368" s="48">
        <v>368</v>
      </c>
      <c r="P368" s="52">
        <v>60</v>
      </c>
      <c r="Q368" s="52">
        <v>0</v>
      </c>
      <c r="R368" s="52" t="s">
        <v>563</v>
      </c>
      <c r="T368" s="52">
        <v>1</v>
      </c>
    </row>
    <row r="369" spans="1:20" x14ac:dyDescent="0.25">
      <c r="A369" s="52">
        <v>370</v>
      </c>
      <c r="B369" s="52" t="s">
        <v>39</v>
      </c>
      <c r="C369" s="52" t="s">
        <v>568</v>
      </c>
      <c r="D369" s="52" t="s">
        <v>566</v>
      </c>
      <c r="E369" s="52" t="s">
        <v>23</v>
      </c>
      <c r="G369" s="106">
        <f>VLOOKUP($A369, Stat!$A$1:$C$501, 2,0)</f>
        <v>3</v>
      </c>
      <c r="H369" s="106">
        <f>VLOOKUP($A369, Stat!$A$1:$C$501, 3,0)</f>
        <v>2</v>
      </c>
      <c r="P369" s="52">
        <v>100</v>
      </c>
      <c r="Q369" s="52">
        <v>0</v>
      </c>
      <c r="R369" s="52" t="s">
        <v>563</v>
      </c>
      <c r="T369" s="52">
        <v>1</v>
      </c>
    </row>
    <row r="370" spans="1:20" x14ac:dyDescent="0.25">
      <c r="A370" s="52">
        <v>371</v>
      </c>
      <c r="B370" s="52" t="s">
        <v>39</v>
      </c>
      <c r="C370" s="52" t="s">
        <v>567</v>
      </c>
      <c r="D370" s="52" t="s">
        <v>498</v>
      </c>
      <c r="E370" s="52" t="s">
        <v>49</v>
      </c>
      <c r="G370" s="106">
        <f>VLOOKUP($A370, Stat!$A$1:$C$501, 2,0)</f>
        <v>19</v>
      </c>
      <c r="H370" s="106">
        <f>VLOOKUP($A370, Stat!$A$1:$C$501, 3,0)</f>
        <v>2</v>
      </c>
      <c r="P370" s="52">
        <v>0</v>
      </c>
      <c r="Q370" s="52">
        <v>0</v>
      </c>
      <c r="R370" s="52" t="s">
        <v>560</v>
      </c>
      <c r="T370" s="52">
        <v>1</v>
      </c>
    </row>
    <row r="371" spans="1:20" x14ac:dyDescent="0.25">
      <c r="A371" s="52">
        <v>372</v>
      </c>
      <c r="B371" s="52" t="s">
        <v>39</v>
      </c>
      <c r="C371" s="52" t="s">
        <v>567</v>
      </c>
      <c r="D371" s="52" t="s">
        <v>498</v>
      </c>
      <c r="E371" s="52" t="s">
        <v>50</v>
      </c>
      <c r="G371" s="106">
        <f>VLOOKUP($A371, Stat!$A$1:$C$501, 2,0)</f>
        <v>29</v>
      </c>
      <c r="H371" s="106">
        <f>VLOOKUP($A371, Stat!$A$1:$C$501, 3,0)</f>
        <v>2</v>
      </c>
      <c r="M371" s="48">
        <v>371</v>
      </c>
      <c r="P371" s="52">
        <v>60</v>
      </c>
      <c r="Q371" s="52">
        <v>0</v>
      </c>
      <c r="R371" s="52" t="s">
        <v>560</v>
      </c>
      <c r="T371" s="52">
        <v>1</v>
      </c>
    </row>
    <row r="372" spans="1:20" x14ac:dyDescent="0.25">
      <c r="A372" s="52">
        <v>373</v>
      </c>
      <c r="B372" s="52" t="s">
        <v>39</v>
      </c>
      <c r="C372" s="52" t="s">
        <v>567</v>
      </c>
      <c r="D372" s="52" t="s">
        <v>498</v>
      </c>
      <c r="E372" s="52" t="s">
        <v>23</v>
      </c>
      <c r="G372" s="106">
        <f>VLOOKUP($A372, Stat!$A$1:$C$501, 2,0)</f>
        <v>29</v>
      </c>
      <c r="H372" s="106">
        <f>VLOOKUP($A372, Stat!$A$1:$C$501, 3,0)</f>
        <v>4</v>
      </c>
      <c r="P372" s="52">
        <v>100</v>
      </c>
      <c r="Q372" s="52">
        <v>0</v>
      </c>
      <c r="R372" s="52" t="s">
        <v>560</v>
      </c>
      <c r="T372" s="52">
        <v>1</v>
      </c>
    </row>
    <row r="373" spans="1:20" x14ac:dyDescent="0.25">
      <c r="A373" s="52">
        <v>52</v>
      </c>
      <c r="B373" s="52" t="s">
        <v>41</v>
      </c>
      <c r="C373" s="52" t="s">
        <v>571</v>
      </c>
      <c r="D373" s="52" t="s">
        <v>570</v>
      </c>
      <c r="E373" s="52" t="s">
        <v>577</v>
      </c>
      <c r="G373" s="106">
        <f>VLOOKUP($A373, Stat!$A$1:$C$501, 2,0)</f>
        <v>11</v>
      </c>
      <c r="H373" s="106">
        <f>VLOOKUP($A373, Stat!$A$1:$C$501, 3,0)</f>
        <v>1</v>
      </c>
      <c r="P373" s="52">
        <v>0</v>
      </c>
      <c r="Q373" s="52">
        <v>0</v>
      </c>
      <c r="S373" s="52" t="s">
        <v>572</v>
      </c>
      <c r="T373" s="52">
        <v>1</v>
      </c>
    </row>
    <row r="374" spans="1:20" x14ac:dyDescent="0.25">
      <c r="A374" s="52">
        <v>87</v>
      </c>
      <c r="B374" s="52" t="s">
        <v>41</v>
      </c>
      <c r="C374" s="52" t="s">
        <v>571</v>
      </c>
      <c r="D374" s="52" t="s">
        <v>570</v>
      </c>
      <c r="E374" s="52" t="s">
        <v>576</v>
      </c>
      <c r="G374" s="106">
        <f>VLOOKUP($A374, Stat!$A$1:$C$501, 2,0)</f>
        <v>45</v>
      </c>
      <c r="H374" s="106">
        <f>VLOOKUP($A374, Stat!$A$1:$C$501, 3,0)</f>
        <v>1</v>
      </c>
      <c r="P374" s="52">
        <v>0</v>
      </c>
      <c r="Q374" s="52">
        <v>0</v>
      </c>
      <c r="S374" s="52" t="s">
        <v>573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574</v>
      </c>
      <c r="G375" s="106">
        <f>VLOOKUP($A375, Stat!$A$1:$C$501, 2,0)</f>
        <v>18</v>
      </c>
      <c r="H375" s="106">
        <f>VLOOKUP($A375, Stat!$A$1:$C$501, 3,0)</f>
        <v>7</v>
      </c>
      <c r="P375" s="52">
        <v>0</v>
      </c>
      <c r="Q375" s="52">
        <v>1</v>
      </c>
      <c r="R375" s="52" t="s">
        <v>453</v>
      </c>
      <c r="S375" s="52" t="s">
        <v>575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402</v>
      </c>
      <c r="E376" s="52" t="s">
        <v>579</v>
      </c>
      <c r="F376" s="48">
        <v>1</v>
      </c>
      <c r="G376" s="106">
        <f>VLOOKUP($A376, Stat!$A$1:$C$501, 2,0)</f>
        <v>10</v>
      </c>
      <c r="H376" s="124">
        <f>VLOOKUP($A376, Stat!$A$1:$C$501, 3,0)</f>
        <v>0</v>
      </c>
      <c r="P376" s="52">
        <v>30</v>
      </c>
      <c r="Q376" s="52">
        <v>0</v>
      </c>
      <c r="S376" s="52" t="s">
        <v>580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583</v>
      </c>
      <c r="G377" s="106">
        <f>VLOOKUP($A377, Stat!$A$1:$C$501, 2,0)</f>
        <v>7</v>
      </c>
      <c r="H377" s="106">
        <f>VLOOKUP($A377, Stat!$A$1:$C$501, 3,0)</f>
        <v>4</v>
      </c>
      <c r="P377" s="52">
        <v>0</v>
      </c>
      <c r="Q377" s="52">
        <v>1</v>
      </c>
      <c r="R377" s="52" t="s">
        <v>453</v>
      </c>
      <c r="S377" s="52" t="s">
        <v>582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402</v>
      </c>
      <c r="E378" s="52" t="s">
        <v>105</v>
      </c>
      <c r="F378" s="48">
        <v>1</v>
      </c>
      <c r="G378" s="106">
        <f>VLOOKUP($A378, Stat!$A$1:$C$501, 2,0)</f>
        <v>6</v>
      </c>
      <c r="H378" s="124">
        <f>VLOOKUP($A378, Stat!$A$1:$C$501, 3,0)</f>
        <v>0</v>
      </c>
      <c r="P378" s="52">
        <v>30</v>
      </c>
      <c r="Q378" s="52">
        <v>0</v>
      </c>
      <c r="S378" s="52" t="s">
        <v>585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402</v>
      </c>
      <c r="E379" s="52" t="s">
        <v>106</v>
      </c>
      <c r="F379" s="48">
        <v>1</v>
      </c>
      <c r="G379" s="106">
        <f>VLOOKUP($A379, Stat!$A$1:$C$501, 2,0)</f>
        <v>32</v>
      </c>
      <c r="H379" s="124">
        <f>VLOOKUP($A379, Stat!$A$1:$C$501, 3,0)</f>
        <v>0</v>
      </c>
      <c r="P379" s="52">
        <v>30</v>
      </c>
      <c r="Q379" s="52">
        <v>0</v>
      </c>
      <c r="S379" s="52" t="s">
        <v>586</v>
      </c>
      <c r="T379" s="52">
        <v>1</v>
      </c>
    </row>
    <row r="380" spans="1:20" x14ac:dyDescent="0.25">
      <c r="A380" s="52">
        <v>379</v>
      </c>
      <c r="B380" s="52" t="s">
        <v>41</v>
      </c>
      <c r="C380" s="52" t="s">
        <v>64</v>
      </c>
      <c r="D380" s="52" t="s">
        <v>591</v>
      </c>
      <c r="E380" s="52" t="s">
        <v>197</v>
      </c>
      <c r="G380" s="106">
        <f>VLOOKUP($A380, Stat!$A$1:$C$501, 2,0)</f>
        <v>21</v>
      </c>
      <c r="H380" s="106">
        <f>VLOOKUP($A380, Stat!$A$1:$C$501, 3,0)</f>
        <v>4</v>
      </c>
      <c r="P380" s="52">
        <v>0</v>
      </c>
      <c r="Q380" s="52">
        <v>0</v>
      </c>
      <c r="T380" s="52">
        <v>1</v>
      </c>
    </row>
    <row r="381" spans="1:20" x14ac:dyDescent="0.25">
      <c r="A381" s="52">
        <v>380</v>
      </c>
      <c r="B381" s="52" t="s">
        <v>41</v>
      </c>
      <c r="C381" s="52" t="s">
        <v>64</v>
      </c>
      <c r="D381" s="52" t="s">
        <v>591</v>
      </c>
      <c r="E381" s="52" t="s">
        <v>199</v>
      </c>
      <c r="G381" s="106">
        <f>VLOOKUP($A381, Stat!$A$1:$C$501, 2,0)</f>
        <v>8</v>
      </c>
      <c r="H381" s="106">
        <f>VLOOKUP($A381, Stat!$A$1:$C$501, 3,0)</f>
        <v>4</v>
      </c>
      <c r="P381" s="52">
        <v>0</v>
      </c>
      <c r="Q381" s="52">
        <v>0</v>
      </c>
      <c r="T381" s="52">
        <v>1</v>
      </c>
    </row>
    <row r="382" spans="1:20" x14ac:dyDescent="0.25">
      <c r="A382" s="52">
        <v>381</v>
      </c>
      <c r="B382" s="52" t="s">
        <v>41</v>
      </c>
      <c r="C382" s="52" t="s">
        <v>64</v>
      </c>
      <c r="D382" s="52" t="s">
        <v>591</v>
      </c>
      <c r="E382" s="52" t="s">
        <v>592</v>
      </c>
      <c r="G382" s="106">
        <f>VLOOKUP($A382, Stat!$A$1:$C$501, 2,0)</f>
        <v>12</v>
      </c>
      <c r="H382" s="106">
        <f>VLOOKUP($A382, Stat!$A$1:$C$501, 3,0)</f>
        <v>4</v>
      </c>
      <c r="P382" s="52">
        <v>0</v>
      </c>
      <c r="Q382" s="52">
        <v>0</v>
      </c>
      <c r="T382" s="52">
        <v>1</v>
      </c>
    </row>
    <row r="383" spans="1:20" x14ac:dyDescent="0.25">
      <c r="A383" s="52">
        <v>382</v>
      </c>
      <c r="B383" s="52" t="s">
        <v>41</v>
      </c>
      <c r="C383" s="52" t="s">
        <v>64</v>
      </c>
      <c r="D383" s="52" t="s">
        <v>591</v>
      </c>
      <c r="E383" s="52" t="s">
        <v>210</v>
      </c>
      <c r="G383" s="106">
        <f>VLOOKUP($A383, Stat!$A$1:$C$501, 2,0)</f>
        <v>2</v>
      </c>
      <c r="H383" s="106">
        <f>VLOOKUP($A383, Stat!$A$1:$C$501, 3,0)</f>
        <v>2</v>
      </c>
      <c r="P383" s="52">
        <v>0</v>
      </c>
      <c r="Q383" s="52">
        <v>0</v>
      </c>
      <c r="T383" s="52">
        <v>1</v>
      </c>
    </row>
    <row r="384" spans="1:20" x14ac:dyDescent="0.25">
      <c r="A384" s="52">
        <v>383</v>
      </c>
      <c r="B384" s="52" t="s">
        <v>41</v>
      </c>
      <c r="C384" s="52" t="s">
        <v>18</v>
      </c>
      <c r="D384" s="52" t="s">
        <v>402</v>
      </c>
      <c r="E384" s="52" t="s">
        <v>593</v>
      </c>
      <c r="F384" s="48">
        <v>1</v>
      </c>
      <c r="G384" s="106">
        <f>VLOOKUP($A384, Stat!$A$1:$C$501, 2,0)</f>
        <v>176</v>
      </c>
      <c r="H384" s="124">
        <f>VLOOKUP($A384, Stat!$A$1:$C$501, 3,0)</f>
        <v>0</v>
      </c>
      <c r="P384" s="52">
        <v>30</v>
      </c>
      <c r="Q384" s="52">
        <v>0</v>
      </c>
      <c r="T384" s="52">
        <v>1</v>
      </c>
    </row>
  </sheetData>
  <autoFilter ref="A1:T376">
    <sortState ref="A2:T366">
      <sortCondition ref="A1:A363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5" t="s">
        <v>553</v>
      </c>
      <c r="B1" s="105" t="s">
        <v>551</v>
      </c>
      <c r="C1" s="105" t="s">
        <v>552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19</v>
      </c>
      <c r="C6" s="105">
        <v>0</v>
      </c>
    </row>
    <row r="7" spans="1:3" x14ac:dyDescent="0.25">
      <c r="A7" s="105">
        <v>5</v>
      </c>
      <c r="B7" s="105">
        <v>34</v>
      </c>
      <c r="C7" s="105">
        <v>0</v>
      </c>
    </row>
    <row r="8" spans="1:3" x14ac:dyDescent="0.25">
      <c r="A8" s="105">
        <v>6</v>
      </c>
      <c r="B8" s="105">
        <v>86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472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38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57</v>
      </c>
      <c r="C15" s="105">
        <v>9</v>
      </c>
    </row>
    <row r="16" spans="1:3" x14ac:dyDescent="0.25">
      <c r="A16" s="105">
        <v>14</v>
      </c>
      <c r="B16" s="105">
        <v>176</v>
      </c>
      <c r="C16" s="105">
        <v>26</v>
      </c>
    </row>
    <row r="17" spans="1:3" x14ac:dyDescent="0.25">
      <c r="A17" s="105">
        <v>15</v>
      </c>
      <c r="B17" s="105">
        <v>97</v>
      </c>
      <c r="C17" s="105">
        <v>2</v>
      </c>
    </row>
    <row r="18" spans="1:3" x14ac:dyDescent="0.25">
      <c r="A18" s="105">
        <v>16</v>
      </c>
      <c r="B18" s="105">
        <v>45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115</v>
      </c>
      <c r="C22" s="105">
        <v>1</v>
      </c>
    </row>
    <row r="23" spans="1:3" x14ac:dyDescent="0.25">
      <c r="A23" s="105">
        <v>21</v>
      </c>
      <c r="B23" s="105">
        <v>193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48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30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12</v>
      </c>
      <c r="C30" s="105">
        <v>3</v>
      </c>
    </row>
    <row r="31" spans="1:3" x14ac:dyDescent="0.25">
      <c r="A31" s="105">
        <v>29</v>
      </c>
      <c r="B31" s="105">
        <v>321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29</v>
      </c>
      <c r="C33" s="105">
        <v>3</v>
      </c>
    </row>
    <row r="34" spans="1:3" x14ac:dyDescent="0.25">
      <c r="A34" s="105">
        <v>32</v>
      </c>
      <c r="B34" s="105">
        <v>17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40</v>
      </c>
      <c r="C36" s="105">
        <v>5</v>
      </c>
    </row>
    <row r="37" spans="1:3" x14ac:dyDescent="0.25">
      <c r="A37" s="105">
        <v>35</v>
      </c>
      <c r="B37" s="105">
        <v>163</v>
      </c>
      <c r="C37" s="105">
        <v>0</v>
      </c>
    </row>
    <row r="38" spans="1:3" x14ac:dyDescent="0.25">
      <c r="A38" s="105">
        <v>36</v>
      </c>
      <c r="B38" s="105">
        <v>46</v>
      </c>
      <c r="C38" s="105">
        <v>1</v>
      </c>
    </row>
    <row r="39" spans="1:3" x14ac:dyDescent="0.25">
      <c r="A39" s="105">
        <v>37</v>
      </c>
      <c r="B39" s="105">
        <v>27</v>
      </c>
      <c r="C39" s="105">
        <v>1</v>
      </c>
    </row>
    <row r="40" spans="1:3" x14ac:dyDescent="0.25">
      <c r="A40" s="105">
        <v>38</v>
      </c>
      <c r="B40" s="105">
        <v>162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191</v>
      </c>
      <c r="C44" s="105">
        <v>0</v>
      </c>
    </row>
    <row r="45" spans="1:3" x14ac:dyDescent="0.25">
      <c r="A45" s="105">
        <v>43</v>
      </c>
      <c r="B45" s="105">
        <v>76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66</v>
      </c>
      <c r="C48" s="105">
        <v>0</v>
      </c>
    </row>
    <row r="49" spans="1:3" x14ac:dyDescent="0.25">
      <c r="A49" s="105">
        <v>47</v>
      </c>
      <c r="B49" s="105">
        <v>98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11</v>
      </c>
      <c r="C54" s="105">
        <v>1</v>
      </c>
    </row>
    <row r="55" spans="1:3" x14ac:dyDescent="0.25">
      <c r="A55" s="105">
        <v>53</v>
      </c>
      <c r="B55" s="105">
        <v>42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42</v>
      </c>
      <c r="C57" s="105">
        <v>0</v>
      </c>
    </row>
    <row r="58" spans="1:3" x14ac:dyDescent="0.25">
      <c r="A58" s="105">
        <v>56</v>
      </c>
      <c r="B58" s="105">
        <v>24</v>
      </c>
      <c r="C58" s="105">
        <v>0</v>
      </c>
    </row>
    <row r="59" spans="1:3" x14ac:dyDescent="0.25">
      <c r="A59" s="105">
        <v>57</v>
      </c>
      <c r="B59" s="105">
        <v>512</v>
      </c>
      <c r="C59" s="105">
        <v>1</v>
      </c>
    </row>
    <row r="60" spans="1:3" x14ac:dyDescent="0.25">
      <c r="A60" s="105">
        <v>58</v>
      </c>
      <c r="B60" s="105">
        <v>166</v>
      </c>
      <c r="C60" s="105">
        <v>32</v>
      </c>
    </row>
    <row r="61" spans="1:3" x14ac:dyDescent="0.25">
      <c r="A61" s="105">
        <v>59</v>
      </c>
      <c r="B61" s="105">
        <v>195</v>
      </c>
      <c r="C61" s="105">
        <v>0</v>
      </c>
    </row>
    <row r="62" spans="1:3" x14ac:dyDescent="0.25">
      <c r="A62" s="105">
        <v>60</v>
      </c>
      <c r="B62" s="105">
        <v>57</v>
      </c>
      <c r="C62" s="105">
        <v>6</v>
      </c>
    </row>
    <row r="63" spans="1:3" x14ac:dyDescent="0.25">
      <c r="A63" s="105">
        <v>61</v>
      </c>
      <c r="B63" s="105">
        <v>47</v>
      </c>
      <c r="C63" s="105">
        <v>5</v>
      </c>
    </row>
    <row r="64" spans="1:3" x14ac:dyDescent="0.25">
      <c r="A64" s="105">
        <v>62</v>
      </c>
      <c r="B64" s="105">
        <v>30</v>
      </c>
      <c r="C64" s="105">
        <v>3</v>
      </c>
    </row>
    <row r="65" spans="1:3" x14ac:dyDescent="0.25">
      <c r="A65" s="105">
        <v>63</v>
      </c>
      <c r="B65" s="105">
        <v>25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171</v>
      </c>
      <c r="C69" s="105">
        <v>43</v>
      </c>
    </row>
    <row r="70" spans="1:3" x14ac:dyDescent="0.25">
      <c r="A70" s="105">
        <v>68</v>
      </c>
      <c r="B70" s="105">
        <v>20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22</v>
      </c>
      <c r="C74" s="105">
        <v>0</v>
      </c>
    </row>
    <row r="75" spans="1:3" x14ac:dyDescent="0.25">
      <c r="A75" s="105">
        <v>73</v>
      </c>
      <c r="B75" s="105">
        <v>22</v>
      </c>
      <c r="C75" s="105">
        <v>0</v>
      </c>
    </row>
    <row r="76" spans="1:3" x14ac:dyDescent="0.25">
      <c r="A76" s="105">
        <v>74</v>
      </c>
      <c r="B76" s="105">
        <v>23</v>
      </c>
      <c r="C76" s="105">
        <v>4</v>
      </c>
    </row>
    <row r="77" spans="1:3" x14ac:dyDescent="0.25">
      <c r="A77" s="105">
        <v>75</v>
      </c>
      <c r="B77" s="105">
        <v>33</v>
      </c>
      <c r="C77" s="105">
        <v>19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572</v>
      </c>
      <c r="C79" s="105">
        <v>0</v>
      </c>
    </row>
    <row r="80" spans="1:3" x14ac:dyDescent="0.25">
      <c r="A80" s="105">
        <v>78</v>
      </c>
      <c r="B80" s="105">
        <v>67</v>
      </c>
      <c r="C80" s="105">
        <v>1</v>
      </c>
    </row>
    <row r="81" spans="1:3" x14ac:dyDescent="0.25">
      <c r="A81" s="105">
        <v>79</v>
      </c>
      <c r="B81" s="105">
        <v>89</v>
      </c>
      <c r="C81" s="105">
        <v>0</v>
      </c>
    </row>
    <row r="82" spans="1:3" x14ac:dyDescent="0.25">
      <c r="A82" s="105">
        <v>80</v>
      </c>
      <c r="B82" s="105">
        <v>323</v>
      </c>
      <c r="C82" s="105">
        <v>2</v>
      </c>
    </row>
    <row r="83" spans="1:3" x14ac:dyDescent="0.25">
      <c r="A83" s="105">
        <v>81</v>
      </c>
      <c r="B83" s="105">
        <v>62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104</v>
      </c>
      <c r="C86" s="105">
        <v>5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158</v>
      </c>
      <c r="C88" s="105">
        <v>1</v>
      </c>
    </row>
    <row r="89" spans="1:3" x14ac:dyDescent="0.25">
      <c r="A89" s="105">
        <v>87</v>
      </c>
      <c r="B89" s="105">
        <v>45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44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101</v>
      </c>
      <c r="C94" s="105">
        <v>1</v>
      </c>
    </row>
    <row r="95" spans="1:3" x14ac:dyDescent="0.25">
      <c r="A95" s="105">
        <v>93</v>
      </c>
      <c r="B95" s="105">
        <v>37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149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81</v>
      </c>
      <c r="C103" s="105">
        <v>0</v>
      </c>
    </row>
    <row r="104" spans="1:3" x14ac:dyDescent="0.25">
      <c r="A104" s="105">
        <v>102</v>
      </c>
      <c r="B104" s="105">
        <v>67</v>
      </c>
      <c r="C104" s="105">
        <v>0</v>
      </c>
    </row>
    <row r="105" spans="1:3" x14ac:dyDescent="0.25">
      <c r="A105" s="105">
        <v>103</v>
      </c>
      <c r="B105" s="105">
        <v>38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69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143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44</v>
      </c>
      <c r="C118" s="105">
        <v>0</v>
      </c>
    </row>
    <row r="119" spans="1:3" x14ac:dyDescent="0.25">
      <c r="A119" s="105">
        <v>117</v>
      </c>
      <c r="B119" s="105">
        <v>56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12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33</v>
      </c>
      <c r="C126" s="105">
        <v>1</v>
      </c>
    </row>
    <row r="127" spans="1:3" x14ac:dyDescent="0.25">
      <c r="A127" s="105">
        <v>125</v>
      </c>
      <c r="B127" s="105">
        <v>53</v>
      </c>
      <c r="C127" s="105">
        <v>1</v>
      </c>
    </row>
    <row r="128" spans="1:3" x14ac:dyDescent="0.25">
      <c r="A128" s="105">
        <v>126</v>
      </c>
      <c r="B128" s="105">
        <v>96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144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172</v>
      </c>
      <c r="C134" s="105">
        <v>0</v>
      </c>
    </row>
    <row r="135" spans="1:3" x14ac:dyDescent="0.25">
      <c r="A135" s="105">
        <v>133</v>
      </c>
      <c r="B135" s="105">
        <v>63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10</v>
      </c>
      <c r="C141" s="105">
        <v>8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11</v>
      </c>
      <c r="C149" s="105">
        <v>0</v>
      </c>
    </row>
    <row r="150" spans="1:3" x14ac:dyDescent="0.25">
      <c r="A150" s="105">
        <v>148</v>
      </c>
      <c r="B150" s="105">
        <v>46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11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4</v>
      </c>
      <c r="C158" s="105">
        <v>3</v>
      </c>
    </row>
    <row r="159" spans="1:3" x14ac:dyDescent="0.25">
      <c r="A159" s="105">
        <v>157</v>
      </c>
      <c r="B159" s="105">
        <v>1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18</v>
      </c>
      <c r="C163" s="105">
        <v>4</v>
      </c>
    </row>
    <row r="164" spans="1:3" x14ac:dyDescent="0.25">
      <c r="A164" s="105">
        <v>162</v>
      </c>
      <c r="B164" s="105">
        <v>9</v>
      </c>
      <c r="C164" s="105">
        <v>1</v>
      </c>
    </row>
    <row r="165" spans="1:3" x14ac:dyDescent="0.25">
      <c r="A165" s="105">
        <v>163</v>
      </c>
      <c r="B165" s="105">
        <v>18</v>
      </c>
      <c r="C165" s="105">
        <v>2</v>
      </c>
    </row>
    <row r="166" spans="1:3" x14ac:dyDescent="0.25">
      <c r="A166" s="105">
        <v>164</v>
      </c>
      <c r="B166" s="105">
        <v>9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749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61</v>
      </c>
      <c r="C177" s="105">
        <v>7</v>
      </c>
    </row>
    <row r="178" spans="1:3" x14ac:dyDescent="0.25">
      <c r="A178" s="105">
        <v>176</v>
      </c>
      <c r="B178" s="105">
        <v>68</v>
      </c>
      <c r="C178" s="105">
        <v>4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51</v>
      </c>
      <c r="C183" s="105">
        <v>8</v>
      </c>
    </row>
    <row r="184" spans="1:3" x14ac:dyDescent="0.25">
      <c r="A184" s="105">
        <v>182</v>
      </c>
      <c r="B184" s="105">
        <v>33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132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14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178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7</v>
      </c>
      <c r="C200" s="105">
        <v>0</v>
      </c>
    </row>
    <row r="201" spans="1:3" x14ac:dyDescent="0.25">
      <c r="A201" s="105">
        <v>199</v>
      </c>
      <c r="B201" s="105">
        <v>44</v>
      </c>
      <c r="C201" s="105">
        <v>2</v>
      </c>
    </row>
    <row r="202" spans="1:3" x14ac:dyDescent="0.25">
      <c r="A202" s="105">
        <v>200</v>
      </c>
      <c r="B202" s="105">
        <v>24</v>
      </c>
      <c r="C202" s="105">
        <v>6</v>
      </c>
    </row>
    <row r="203" spans="1:3" x14ac:dyDescent="0.25">
      <c r="A203" s="105">
        <v>201</v>
      </c>
      <c r="B203" s="105">
        <v>6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71</v>
      </c>
      <c r="C206" s="105">
        <v>0</v>
      </c>
    </row>
    <row r="207" spans="1:3" x14ac:dyDescent="0.25">
      <c r="A207" s="105">
        <v>205</v>
      </c>
      <c r="B207" s="105">
        <v>13</v>
      </c>
      <c r="C207" s="105">
        <v>0</v>
      </c>
    </row>
    <row r="208" spans="1:3" x14ac:dyDescent="0.25">
      <c r="A208" s="105">
        <v>206</v>
      </c>
      <c r="B208" s="105">
        <v>33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7</v>
      </c>
      <c r="C213" s="105">
        <v>3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21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5</v>
      </c>
      <c r="C224" s="105">
        <v>3</v>
      </c>
    </row>
    <row r="225" spans="1:3" x14ac:dyDescent="0.25">
      <c r="A225" s="105">
        <v>223</v>
      </c>
      <c r="B225" s="105">
        <v>11</v>
      </c>
      <c r="C225" s="105">
        <v>4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401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20</v>
      </c>
      <c r="C237" s="105">
        <v>17</v>
      </c>
    </row>
    <row r="238" spans="1:3" x14ac:dyDescent="0.25">
      <c r="A238" s="105">
        <v>236</v>
      </c>
      <c r="B238" s="105">
        <v>16</v>
      </c>
      <c r="C238" s="105">
        <v>11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64</v>
      </c>
      <c r="C241" s="105">
        <v>17</v>
      </c>
    </row>
    <row r="242" spans="1:3" x14ac:dyDescent="0.25">
      <c r="A242" s="105">
        <v>240</v>
      </c>
      <c r="B242" s="105">
        <v>8</v>
      </c>
      <c r="C242" s="105">
        <v>7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29</v>
      </c>
      <c r="C244" s="105">
        <v>8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36</v>
      </c>
      <c r="C249" s="105">
        <v>15</v>
      </c>
    </row>
    <row r="250" spans="1:3" x14ac:dyDescent="0.25">
      <c r="A250" s="105">
        <v>248</v>
      </c>
      <c r="B250" s="105">
        <v>24</v>
      </c>
      <c r="C250" s="105">
        <v>3</v>
      </c>
    </row>
    <row r="251" spans="1:3" x14ac:dyDescent="0.25">
      <c r="A251" s="105">
        <v>249</v>
      </c>
      <c r="B251" s="105">
        <v>131</v>
      </c>
      <c r="C251" s="105">
        <v>25</v>
      </c>
    </row>
    <row r="252" spans="1:3" x14ac:dyDescent="0.25">
      <c r="A252" s="105">
        <v>250</v>
      </c>
      <c r="B252" s="105">
        <v>65</v>
      </c>
      <c r="C252" s="105">
        <v>15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18</v>
      </c>
      <c r="C256" s="105">
        <v>15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305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17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46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59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14</v>
      </c>
      <c r="C300" s="105">
        <v>1</v>
      </c>
    </row>
    <row r="301" spans="1:3" x14ac:dyDescent="0.25">
      <c r="A301" s="105">
        <v>299</v>
      </c>
      <c r="B301" s="105">
        <v>7</v>
      </c>
      <c r="C301" s="105">
        <v>5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13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1</v>
      </c>
      <c r="C306" s="105">
        <v>1</v>
      </c>
    </row>
    <row r="307" spans="1:3" x14ac:dyDescent="0.25">
      <c r="A307" s="105">
        <v>305</v>
      </c>
      <c r="B307" s="105">
        <v>47</v>
      </c>
      <c r="C307" s="105">
        <v>12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133</v>
      </c>
      <c r="C309" s="105">
        <v>9</v>
      </c>
    </row>
    <row r="310" spans="1:3" x14ac:dyDescent="0.25">
      <c r="A310" s="105">
        <v>308</v>
      </c>
      <c r="B310" s="105">
        <v>1</v>
      </c>
      <c r="C310" s="105">
        <v>1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31</v>
      </c>
      <c r="C321" s="105">
        <v>12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32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136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38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40</v>
      </c>
      <c r="C351" s="105">
        <v>1</v>
      </c>
    </row>
    <row r="352" spans="1:3" x14ac:dyDescent="0.25">
      <c r="A352" s="105">
        <v>350</v>
      </c>
      <c r="B352" s="105">
        <v>30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349</v>
      </c>
      <c r="C356" s="105">
        <v>1</v>
      </c>
    </row>
    <row r="357" spans="1:3" x14ac:dyDescent="0.25">
      <c r="A357" s="105">
        <v>355</v>
      </c>
      <c r="B357" s="105">
        <v>23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29</v>
      </c>
      <c r="C374" s="105">
        <v>2</v>
      </c>
    </row>
    <row r="375" spans="1:3" x14ac:dyDescent="0.25">
      <c r="A375" s="105">
        <v>373</v>
      </c>
      <c r="B375" s="105">
        <v>29</v>
      </c>
      <c r="C375" s="105">
        <v>4</v>
      </c>
    </row>
    <row r="376" spans="1:3" x14ac:dyDescent="0.25">
      <c r="A376" s="105">
        <v>374</v>
      </c>
      <c r="B376" s="105">
        <v>18</v>
      </c>
      <c r="C376" s="105">
        <v>7</v>
      </c>
    </row>
    <row r="377" spans="1:3" x14ac:dyDescent="0.25">
      <c r="A377" s="105">
        <v>375</v>
      </c>
      <c r="B377" s="105">
        <v>10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6</v>
      </c>
      <c r="C379" s="105">
        <v>0</v>
      </c>
    </row>
    <row r="380" spans="1:3" x14ac:dyDescent="0.25">
      <c r="A380" s="105">
        <v>378</v>
      </c>
      <c r="B380" s="105">
        <v>32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0</v>
      </c>
      <c r="C386" s="105">
        <v>0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2017-12-08T19:10:52Z</dcterms:modified>
</cp:coreProperties>
</file>