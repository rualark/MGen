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Data!$A$1:$T$387</definedName>
  </definedNames>
  <calcPr calcId="162913" calcMode="manual"/>
</workbook>
</file>

<file path=xl/calcChain.xml><?xml version="1.0" encoding="utf-8"?>
<calcChain xmlns="http://schemas.openxmlformats.org/spreadsheetml/2006/main">
  <c r="G387" i="4" l="1"/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G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<sst xmlns="http://schemas.openxmlformats.org/spreadsheetml/2006/main" count="2574" uniqueCount="604">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</sst>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tabSelected="1" zoomScale="85" zoomScaleNormal="85" workbookViewId="0">
      <pane ySplit="1" topLeftCell="A17" activePane="bottomLeft" state="frozen"/>
      <selection activeCell="C37" sqref="C37"/>
      <selection pane="bottomLeft" activeCell="M38" sqref="M3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9"/>
  <sheetViews>
    <sheetView zoomScale="130" zoomScaleNormal="130" workbookViewId="0">
      <pane ySplit="1" topLeftCell="A2" activePane="bottomLeft" state="frozen"/>
      <selection pane="bottomLeft" activeCell="E10" sqref="E1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548</v>
      </c>
      <c r="H1" s="47" t="s">
        <v>549</v>
      </c>
      <c r="I1" s="47" t="s">
        <v>286</v>
      </c>
      <c r="J1" s="47" t="s">
        <v>285</v>
      </c>
      <c r="K1" s="47" t="s">
        <v>287</v>
      </c>
      <c r="L1" s="47" t="s">
        <v>288</v>
      </c>
      <c r="M1" s="47" t="s">
        <v>267</v>
      </c>
      <c r="N1" s="47" t="s">
        <v>289</v>
      </c>
      <c r="O1" s="47" t="s">
        <v>290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592</v>
      </c>
      <c r="S3" s="52" t="s">
        <v>431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414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458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459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428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439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230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269</v>
      </c>
      <c r="N13" s="50"/>
      <c r="O13" s="50"/>
      <c r="P13" s="52">
        <v>100</v>
      </c>
      <c r="Q13" s="52">
        <v>0</v>
      </c>
      <c r="S13" s="52" t="s">
        <v>389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549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549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499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499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266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552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432</v>
      </c>
      <c r="N20" s="50"/>
      <c r="O20" s="50"/>
      <c r="P20" s="52">
        <v>60</v>
      </c>
      <c r="Q20" s="52">
        <v>0</v>
      </c>
      <c r="R20" s="52" t="s">
        <v>552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266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381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266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415</v>
      </c>
      <c r="N26" s="50"/>
      <c r="O26" s="50"/>
      <c r="P26" s="52">
        <v>60</v>
      </c>
      <c r="Q26" s="52">
        <v>0</v>
      </c>
      <c r="S26" s="52" t="s">
        <v>226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227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310</v>
      </c>
      <c r="N32" s="50"/>
      <c r="O32" s="50"/>
      <c r="P32" s="52">
        <v>60</v>
      </c>
      <c r="Q32" s="52">
        <v>0</v>
      </c>
      <c r="R32" s="52" t="s">
        <v>592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592</v>
      </c>
      <c r="S33" s="52" t="s">
        <v>561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549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549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228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417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593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266</v>
      </c>
      <c r="P49" s="52">
        <v>30</v>
      </c>
      <c r="Q49" s="52">
        <v>0</v>
      </c>
      <c r="S49" s="52" t="s">
        <v>538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549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549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549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564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266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277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278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279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280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264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229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229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232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539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228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266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381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381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265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332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445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565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245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549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304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266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274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273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491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231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266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433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433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433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433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260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261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262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263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393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394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395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396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393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394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395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396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598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106">
        <f>VLOOKUP($A125, Stat!$A$1:$C$501, 2,0)</f>
        <v>34</v>
      </c>
      <c r="H125" s="106">
        <f>VLOOKUP($A125, Stat!$A$1:$C$501, 3,0)</f>
        <v>1</v>
      </c>
      <c r="M125" s="49" t="s">
        <v>393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106">
        <f>VLOOKUP($A126, Stat!$A$1:$C$501, 2,0)</f>
        <v>55</v>
      </c>
      <c r="H126" s="106">
        <f>VLOOKUP($A126, Stat!$A$1:$C$501, 3,0)</f>
        <v>1</v>
      </c>
      <c r="M126" s="49" t="s">
        <v>394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438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106">
        <f>VLOOKUP($A127, Stat!$A$1:$C$501, 2,0)</f>
        <v>97</v>
      </c>
      <c r="H127" s="106">
        <f>VLOOKUP($A127, Stat!$A$1:$C$501, 3,0)</f>
        <v>1</v>
      </c>
      <c r="M127" s="49" t="s">
        <v>395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106">
        <f>VLOOKUP($A128, Stat!$A$1:$C$501, 2,0)</f>
        <v>106</v>
      </c>
      <c r="H128" s="106">
        <f>VLOOKUP($A128, Stat!$A$1:$C$501, 3,0)</f>
        <v>1</v>
      </c>
      <c r="M128" s="49" t="s">
        <v>396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520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465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256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257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258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259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434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434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434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434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281</v>
      </c>
      <c r="N149" s="50"/>
      <c r="O149" s="50"/>
      <c r="P149" s="52">
        <v>0</v>
      </c>
      <c r="Q149" s="52">
        <v>0</v>
      </c>
      <c r="R149" s="52" t="s">
        <v>276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282</v>
      </c>
      <c r="N150" s="50"/>
      <c r="O150" s="50"/>
      <c r="P150" s="52">
        <v>0</v>
      </c>
      <c r="Q150" s="52">
        <v>0</v>
      </c>
      <c r="R150" s="52" t="s">
        <v>276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283</v>
      </c>
      <c r="N151" s="50"/>
      <c r="O151" s="50"/>
      <c r="P151" s="52">
        <v>60</v>
      </c>
      <c r="Q151" s="52">
        <v>0</v>
      </c>
      <c r="R151" s="52" t="s">
        <v>276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284</v>
      </c>
      <c r="N152" s="50"/>
      <c r="O152" s="50"/>
      <c r="P152" s="52">
        <v>100</v>
      </c>
      <c r="Q152" s="52">
        <v>0</v>
      </c>
      <c r="R152" s="52" t="s">
        <v>276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234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234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235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235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235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235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331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272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271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599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600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381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398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398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441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242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231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233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412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413</v>
      </c>
      <c r="N204" s="50"/>
      <c r="O204" s="50"/>
      <c r="P204" s="52">
        <v>60</v>
      </c>
      <c r="Q204" s="52">
        <v>0</v>
      </c>
      <c r="S204" s="52" t="s">
        <v>226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504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505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238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237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298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589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338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244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239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240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246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291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494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243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448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448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270</v>
      </c>
      <c r="N251" s="50"/>
      <c r="O251" s="50"/>
      <c r="P251" s="52">
        <v>60</v>
      </c>
      <c r="Q251" s="52">
        <v>0</v>
      </c>
      <c r="R251" s="52" t="s">
        <v>448</v>
      </c>
      <c r="S251" s="52" t="s">
        <v>236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241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318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268</v>
      </c>
      <c r="O258" s="50"/>
      <c r="P258" s="52">
        <v>60</v>
      </c>
      <c r="Q258" s="52">
        <v>1</v>
      </c>
      <c r="S258" s="52" t="s">
        <v>316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324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268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268</v>
      </c>
      <c r="O261" s="50"/>
      <c r="P261" s="52">
        <v>60</v>
      </c>
      <c r="Q261" s="52">
        <v>0</v>
      </c>
      <c r="S261" s="52" t="s">
        <v>355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268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323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268</v>
      </c>
      <c r="O264" s="50"/>
      <c r="P264" s="52">
        <v>60</v>
      </c>
      <c r="Q264" s="52">
        <v>0</v>
      </c>
      <c r="S264" s="52" t="s">
        <v>436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268</v>
      </c>
      <c r="O265" s="50"/>
      <c r="P265" s="52">
        <v>60</v>
      </c>
      <c r="Q265" s="52">
        <v>1</v>
      </c>
      <c r="S265" s="52" t="s">
        <v>313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268</v>
      </c>
      <c r="O266" s="50"/>
      <c r="P266" s="52">
        <v>40</v>
      </c>
      <c r="Q266" s="52">
        <v>1</v>
      </c>
      <c r="S266" s="52" t="s">
        <v>314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268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295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469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300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299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368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367</v>
      </c>
      <c r="S283" s="52" t="s">
        <v>352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325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326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327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334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356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357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339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340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341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342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358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359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350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519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367</v>
      </c>
      <c r="S298" s="52" t="s">
        <v>353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367</v>
      </c>
      <c r="S299" s="52" t="s">
        <v>354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405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231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376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362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363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390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400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401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463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464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403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410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411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410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411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448</v>
      </c>
      <c r="S316" s="52" t="s">
        <v>419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448</v>
      </c>
      <c r="S317" s="52" t="s">
        <v>420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446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447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427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430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437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585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581</v>
      </c>
      <c r="S326" s="52" t="s">
        <v>579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581</v>
      </c>
      <c r="S327" s="52" t="s">
        <v>580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455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454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457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470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473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474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476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482</v>
      </c>
      <c r="S337" s="52" t="s">
        <v>483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482</v>
      </c>
      <c r="S338" s="52" t="s">
        <v>484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482</v>
      </c>
      <c r="S339" s="52" t="s">
        <v>485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482</v>
      </c>
      <c r="S340" s="52" t="s">
        <v>486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482</v>
      </c>
      <c r="S341" s="52" t="s">
        <v>487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489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557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557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500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500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500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448</v>
      </c>
      <c r="S348" s="52" t="s">
        <v>502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507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512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513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231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231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231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551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556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572</v>
      </c>
      <c r="P362" s="52">
        <v>100</v>
      </c>
      <c r="Q362" s="52">
        <v>0</v>
      </c>
      <c r="R362" s="52" t="s">
        <v>556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556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552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557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555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555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555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555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555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555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552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552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552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448</v>
      </c>
      <c r="S375" s="52" t="s">
        <v>567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571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448</v>
      </c>
      <c r="S377" s="52" t="s">
        <v>573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576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577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590</v>
      </c>
      <c r="T385" s="52">
        <v>1</v>
      </c>
    </row>
    <row r="386" spans="1:20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P386" s="52">
        <v>30</v>
      </c>
      <c r="Q386" s="52">
        <v>0</v>
      </c>
      <c r="R386" s="52" t="s">
        <v>448</v>
      </c>
      <c r="S386" s="52" t="s">
        <v>596</v>
      </c>
      <c r="T386" s="52">
        <v>1</v>
      </c>
    </row>
    <row r="387" spans="1:20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G387" s="108">
        <f>VLOOKUP($A387, Stat!$A$1:$C$501, 2,0)</f>
        <v>0</v>
      </c>
      <c r="P387" s="52">
        <v>100</v>
      </c>
      <c r="Q387" s="52">
        <v>0</v>
      </c>
      <c r="R387" s="52" t="s">
        <v>88</v>
      </c>
      <c r="S387" s="52" t="s">
        <v>597</v>
      </c>
      <c r="T387" s="52">
        <v>1</v>
      </c>
    </row>
    <row r="388" spans="1:20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P388" s="52">
        <v>30</v>
      </c>
      <c r="Q388" s="52">
        <v>1</v>
      </c>
      <c r="T388" s="52">
        <v>1</v>
      </c>
    </row>
    <row r="389" spans="1:20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P389" s="52">
        <v>60</v>
      </c>
      <c r="Q389" s="52">
        <v>0</v>
      </c>
      <c r="T389" s="52">
        <v>1</v>
      </c>
    </row>
  </sheetData>
  <autoFilter ref="A1:T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2018-01-03T08:49:21Z</dcterms:modified>
</cp:coreProperties>
</file>