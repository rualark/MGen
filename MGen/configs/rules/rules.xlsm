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Data!$A$1:$T$387</definedName>
  </definedNames>
  <calcPr calcId="162913" calcMode="manual"/>
</workbook>
</file>

<file path=xl/calcChain.xml><?xml version="1.0" encoding="utf-8"?>
<calcChain xmlns="http://schemas.openxmlformats.org/spreadsheetml/2006/main">
  <c r="G387" i="4" l="1"/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G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<sst xmlns="http://schemas.openxmlformats.org/spreadsheetml/2006/main" count="2574" uniqueCount="604">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</sst>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tabSelected="1" zoomScale="85" zoomScaleNormal="85" workbookViewId="0">
      <pane ySplit="1" topLeftCell="A62" activePane="bottomLeft" state="frozen"/>
      <selection activeCell="C37" sqref="C37"/>
      <selection pane="bottomLeft" activeCell="M72" sqref="M72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17" t="s">
        <v>63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22" t="s">
        <v>40</v>
      </c>
      <c r="E2" s="123"/>
      <c r="F2" s="123"/>
      <c r="G2" s="123"/>
      <c r="H2" s="123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21" t="s">
        <v>39</v>
      </c>
      <c r="B3" s="116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21"/>
      <c r="B4" s="116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21"/>
      <c r="B5" s="116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21"/>
      <c r="B6" s="116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21"/>
      <c r="B7" s="116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21"/>
      <c r="B8" s="116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21"/>
      <c r="B9" s="116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21"/>
      <c r="B10" s="116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21"/>
      <c r="B11" s="116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21"/>
      <c r="B12" s="116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21"/>
      <c r="B13" s="116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21"/>
      <c r="B14" s="116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21"/>
      <c r="B15" s="116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21"/>
      <c r="B16" s="116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21"/>
      <c r="B17" s="116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21"/>
      <c r="B18" s="116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21"/>
      <c r="B19" s="116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21"/>
      <c r="B20" s="116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21"/>
      <c r="B21" s="116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21"/>
      <c r="B22" s="116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21"/>
      <c r="B23" s="116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21"/>
      <c r="B24" s="116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21"/>
      <c r="B25" s="116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21"/>
      <c r="B26" s="116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21"/>
      <c r="B27" s="116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21"/>
      <c r="B28" s="118" t="s">
        <v>14</v>
      </c>
      <c r="C28" s="34" t="s">
        <v>382</v>
      </c>
      <c r="D28" s="126" t="s">
        <v>139</v>
      </c>
      <c r="E28" s="127"/>
      <c r="F28" s="126" t="s">
        <v>172</v>
      </c>
      <c r="G28" s="127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21"/>
      <c r="B29" s="120"/>
      <c r="C29" s="34" t="s">
        <v>404</v>
      </c>
      <c r="D29" s="124" t="s">
        <v>383</v>
      </c>
      <c r="E29" s="125"/>
      <c r="F29" s="124" t="s">
        <v>386</v>
      </c>
      <c r="G29" s="125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21"/>
      <c r="B30" s="116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21"/>
      <c r="B31" s="116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21"/>
      <c r="B32" s="116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21"/>
      <c r="B33" s="116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21"/>
      <c r="B34" s="116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21"/>
      <c r="B35" s="116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21"/>
      <c r="B36" s="118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21"/>
      <c r="B37" s="119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21"/>
      <c r="B38" s="118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21"/>
      <c r="B39" s="119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21"/>
      <c r="B40" s="119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21"/>
      <c r="B41" s="119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21"/>
      <c r="B42" s="120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21"/>
      <c r="B43" s="116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21"/>
      <c r="B44" s="116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21"/>
      <c r="B45" s="116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21"/>
      <c r="B46" s="116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21"/>
      <c r="B47" s="116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21" t="s">
        <v>41</v>
      </c>
      <c r="B48" s="116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21"/>
      <c r="B49" s="116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21"/>
      <c r="B50" s="116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21"/>
      <c r="B51" s="116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21"/>
      <c r="B52" s="116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21"/>
      <c r="B53" s="116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21"/>
      <c r="B54" s="116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21"/>
      <c r="B55" s="116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21"/>
      <c r="B56" s="116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21"/>
      <c r="B57" s="116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21"/>
      <c r="B58" s="116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21"/>
      <c r="B59" s="116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6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6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6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6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6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6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6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6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6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6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6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6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6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6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6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6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6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6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6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6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6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6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6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6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6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6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6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6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6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6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6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6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6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18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19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19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19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19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0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6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6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6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6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6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6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6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6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6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9:B107"/>
    <mergeCell ref="B60:B67"/>
    <mergeCell ref="B55:B59"/>
    <mergeCell ref="B68:B92"/>
    <mergeCell ref="B1:M1"/>
    <mergeCell ref="B93:B98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9"/>
  <sheetViews>
    <sheetView zoomScale="130" zoomScaleNormal="130" workbookViewId="0">
      <pane ySplit="1" topLeftCell="A2" activePane="bottomLeft" state="frozen"/>
      <selection pane="bottomLeft" activeCell="E10" sqref="E10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548</v>
      </c>
      <c r="H1" s="47" t="s">
        <v>549</v>
      </c>
      <c r="I1" s="47" t="s">
        <v>286</v>
      </c>
      <c r="J1" s="47" t="s">
        <v>285</v>
      </c>
      <c r="K1" s="47" t="s">
        <v>287</v>
      </c>
      <c r="L1" s="47" t="s">
        <v>288</v>
      </c>
      <c r="M1" s="47" t="s">
        <v>267</v>
      </c>
      <c r="N1" s="47" t="s">
        <v>289</v>
      </c>
      <c r="O1" s="47" t="s">
        <v>290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310</v>
      </c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310</v>
      </c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592</v>
      </c>
      <c r="S3" s="52" t="s">
        <v>431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414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458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459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310</v>
      </c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428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439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230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269</v>
      </c>
      <c r="N13" s="50"/>
      <c r="O13" s="50"/>
      <c r="P13" s="52">
        <v>100</v>
      </c>
      <c r="Q13" s="52">
        <v>0</v>
      </c>
      <c r="S13" s="52" t="s">
        <v>389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549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549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499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499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266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552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432</v>
      </c>
      <c r="N20" s="50"/>
      <c r="O20" s="50"/>
      <c r="P20" s="52">
        <v>60</v>
      </c>
      <c r="Q20" s="52">
        <v>0</v>
      </c>
      <c r="R20" s="52" t="s">
        <v>552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266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381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310</v>
      </c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266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415</v>
      </c>
      <c r="N26" s="50"/>
      <c r="O26" s="50"/>
      <c r="P26" s="52">
        <v>60</v>
      </c>
      <c r="Q26" s="52">
        <v>0</v>
      </c>
      <c r="S26" s="52" t="s">
        <v>226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227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310</v>
      </c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310</v>
      </c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310</v>
      </c>
      <c r="N32" s="50"/>
      <c r="O32" s="50"/>
      <c r="P32" s="52">
        <v>60</v>
      </c>
      <c r="Q32" s="52">
        <v>0</v>
      </c>
      <c r="R32" s="52" t="s">
        <v>592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310</v>
      </c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592</v>
      </c>
      <c r="S33" s="52" t="s">
        <v>561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549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549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228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417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542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544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310</v>
      </c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310</v>
      </c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310</v>
      </c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310</v>
      </c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593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266</v>
      </c>
      <c r="P49" s="52">
        <v>30</v>
      </c>
      <c r="Q49" s="52">
        <v>0</v>
      </c>
      <c r="S49" s="52" t="s">
        <v>538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549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549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549</v>
      </c>
      <c r="T52" s="52">
        <v>1</v>
      </c>
    </row>
    <row r="53" spans="1:20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564</v>
      </c>
      <c r="T53" s="52">
        <v>1</v>
      </c>
    </row>
    <row r="54" spans="1:20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310</v>
      </c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310</v>
      </c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310</v>
      </c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310</v>
      </c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266</v>
      </c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310</v>
      </c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310</v>
      </c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310</v>
      </c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310</v>
      </c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310</v>
      </c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310</v>
      </c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277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310</v>
      </c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278</v>
      </c>
      <c r="N65" s="50"/>
      <c r="O65" s="50"/>
      <c r="P65" s="52">
        <v>0</v>
      </c>
      <c r="Q65" s="52">
        <v>0</v>
      </c>
      <c r="T65" s="52">
        <v>1</v>
      </c>
    </row>
    <row r="66" spans="1:20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310</v>
      </c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279</v>
      </c>
      <c r="N66" s="50"/>
      <c r="O66" s="50"/>
      <c r="P66" s="52">
        <v>60</v>
      </c>
      <c r="Q66" s="52">
        <v>0</v>
      </c>
      <c r="T66" s="52">
        <v>1</v>
      </c>
    </row>
    <row r="67" spans="1:20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310</v>
      </c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280</v>
      </c>
      <c r="N67" s="50"/>
      <c r="O67" s="50"/>
      <c r="P67" s="52">
        <v>100</v>
      </c>
      <c r="Q67" s="52">
        <v>0</v>
      </c>
      <c r="T67" s="52">
        <v>1</v>
      </c>
    </row>
    <row r="68" spans="1:20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310</v>
      </c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310</v>
      </c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264</v>
      </c>
      <c r="N72" s="50"/>
      <c r="O72" s="50"/>
      <c r="P72" s="52">
        <v>100</v>
      </c>
      <c r="Q72" s="52">
        <v>0</v>
      </c>
      <c r="T72" s="52">
        <v>1</v>
      </c>
    </row>
    <row r="73" spans="1:20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229</v>
      </c>
      <c r="T73" s="52">
        <v>1</v>
      </c>
    </row>
    <row r="74" spans="1:20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229</v>
      </c>
      <c r="T74" s="52">
        <v>1</v>
      </c>
    </row>
    <row r="75" spans="1:20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232</v>
      </c>
      <c r="T75" s="52">
        <v>1</v>
      </c>
    </row>
    <row r="76" spans="1:20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539</v>
      </c>
      <c r="T76" s="52">
        <v>1</v>
      </c>
    </row>
    <row r="77" spans="1:20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228</v>
      </c>
      <c r="T77" s="52">
        <v>1</v>
      </c>
    </row>
    <row r="78" spans="1:20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266</v>
      </c>
      <c r="P78" s="52">
        <v>0</v>
      </c>
      <c r="Q78" s="52">
        <v>-1</v>
      </c>
      <c r="T78" s="52">
        <v>1</v>
      </c>
    </row>
    <row r="79" spans="1:20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381</v>
      </c>
      <c r="T79" s="52">
        <v>1</v>
      </c>
    </row>
    <row r="80" spans="1:20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381</v>
      </c>
      <c r="T80" s="52">
        <v>1</v>
      </c>
    </row>
    <row r="81" spans="1:20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265</v>
      </c>
      <c r="N83" s="50"/>
      <c r="O83" s="50"/>
      <c r="P83" s="52">
        <v>60</v>
      </c>
      <c r="Q83" s="52">
        <v>-1</v>
      </c>
      <c r="T83" s="52">
        <v>1</v>
      </c>
    </row>
    <row r="84" spans="1:20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332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307</v>
      </c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307</v>
      </c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445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307</v>
      </c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565</v>
      </c>
      <c r="T88" s="52">
        <v>1</v>
      </c>
    </row>
    <row r="89" spans="1:20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310</v>
      </c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245</v>
      </c>
      <c r="T89" s="52">
        <v>1</v>
      </c>
    </row>
    <row r="90" spans="1:20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549</v>
      </c>
      <c r="T91" s="52">
        <v>1</v>
      </c>
    </row>
    <row r="92" spans="1:20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304</v>
      </c>
      <c r="T92" s="52">
        <v>1</v>
      </c>
    </row>
    <row r="93" spans="1:20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266</v>
      </c>
      <c r="P93" s="52">
        <v>0</v>
      </c>
      <c r="Q93" s="52">
        <v>-1</v>
      </c>
      <c r="T93" s="52">
        <v>1</v>
      </c>
    </row>
    <row r="94" spans="1:20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274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273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491</v>
      </c>
      <c r="T98" s="52">
        <v>1</v>
      </c>
    </row>
    <row r="99" spans="1:20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231</v>
      </c>
      <c r="T99" s="52">
        <v>1</v>
      </c>
    </row>
    <row r="100" spans="1:20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266</v>
      </c>
      <c r="P100" s="52">
        <v>30</v>
      </c>
      <c r="Q100" s="52">
        <v>0</v>
      </c>
      <c r="T100" s="52">
        <v>1</v>
      </c>
    </row>
    <row r="101" spans="1:20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310</v>
      </c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433</v>
      </c>
      <c r="T101" s="52">
        <v>1</v>
      </c>
    </row>
    <row r="102" spans="1:20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310</v>
      </c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433</v>
      </c>
      <c r="T102" s="52">
        <v>1</v>
      </c>
    </row>
    <row r="103" spans="1:20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310</v>
      </c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433</v>
      </c>
      <c r="T103" s="52">
        <v>1</v>
      </c>
    </row>
    <row r="104" spans="1:20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310</v>
      </c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433</v>
      </c>
      <c r="T104" s="52">
        <v>1</v>
      </c>
    </row>
    <row r="105" spans="1:20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310</v>
      </c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310</v>
      </c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310</v>
      </c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310</v>
      </c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310</v>
      </c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260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310</v>
      </c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261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310</v>
      </c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262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310</v>
      </c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263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310</v>
      </c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393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310</v>
      </c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394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310</v>
      </c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395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310</v>
      </c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396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310</v>
      </c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393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310</v>
      </c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394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310</v>
      </c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395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310</v>
      </c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396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310</v>
      </c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310</v>
      </c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310</v>
      </c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310</v>
      </c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598</v>
      </c>
      <c r="T124" s="52">
        <v>1</v>
      </c>
    </row>
    <row r="125" spans="1:20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310</v>
      </c>
      <c r="G125" s="106">
        <f>VLOOKUP($A125, Stat!$A$1:$C$501, 2,0)</f>
        <v>34</v>
      </c>
      <c r="H125" s="106">
        <f>VLOOKUP($A125, Stat!$A$1:$C$501, 3,0)</f>
        <v>1</v>
      </c>
      <c r="M125" s="49" t="s">
        <v>393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310</v>
      </c>
      <c r="G126" s="106">
        <f>VLOOKUP($A126, Stat!$A$1:$C$501, 2,0)</f>
        <v>55</v>
      </c>
      <c r="H126" s="106">
        <f>VLOOKUP($A126, Stat!$A$1:$C$501, 3,0)</f>
        <v>1</v>
      </c>
      <c r="M126" s="49" t="s">
        <v>394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438</v>
      </c>
      <c r="T126" s="52">
        <v>1</v>
      </c>
    </row>
    <row r="127" spans="1:20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310</v>
      </c>
      <c r="G127" s="106">
        <f>VLOOKUP($A127, Stat!$A$1:$C$501, 2,0)</f>
        <v>97</v>
      </c>
      <c r="H127" s="106">
        <f>VLOOKUP($A127, Stat!$A$1:$C$501, 3,0)</f>
        <v>1</v>
      </c>
      <c r="M127" s="49" t="s">
        <v>395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310</v>
      </c>
      <c r="G128" s="106">
        <f>VLOOKUP($A128, Stat!$A$1:$C$501, 2,0)</f>
        <v>106</v>
      </c>
      <c r="H128" s="106">
        <f>VLOOKUP($A128, Stat!$A$1:$C$501, 3,0)</f>
        <v>1</v>
      </c>
      <c r="M128" s="49" t="s">
        <v>396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310</v>
      </c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310</v>
      </c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310</v>
      </c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310</v>
      </c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310</v>
      </c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310</v>
      </c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310</v>
      </c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310</v>
      </c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520</v>
      </c>
      <c r="T137" s="52">
        <v>1</v>
      </c>
    </row>
    <row r="138" spans="1:20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465</v>
      </c>
      <c r="T140" s="52">
        <v>1</v>
      </c>
    </row>
    <row r="141" spans="1:20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310</v>
      </c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256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310</v>
      </c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257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310</v>
      </c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258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310</v>
      </c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259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310</v>
      </c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434</v>
      </c>
      <c r="T145" s="52">
        <v>1</v>
      </c>
    </row>
    <row r="146" spans="1:20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310</v>
      </c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434</v>
      </c>
      <c r="T146" s="52">
        <v>1</v>
      </c>
    </row>
    <row r="147" spans="1:20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310</v>
      </c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434</v>
      </c>
      <c r="T147" s="52">
        <v>1</v>
      </c>
    </row>
    <row r="148" spans="1:20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310</v>
      </c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434</v>
      </c>
      <c r="T148" s="52">
        <v>1</v>
      </c>
    </row>
    <row r="149" spans="1:20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310</v>
      </c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281</v>
      </c>
      <c r="N149" s="50"/>
      <c r="O149" s="50"/>
      <c r="P149" s="52">
        <v>0</v>
      </c>
      <c r="Q149" s="52">
        <v>0</v>
      </c>
      <c r="R149" s="52" t="s">
        <v>276</v>
      </c>
      <c r="T149" s="52">
        <v>1</v>
      </c>
    </row>
    <row r="150" spans="1:20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310</v>
      </c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282</v>
      </c>
      <c r="N150" s="50"/>
      <c r="O150" s="50"/>
      <c r="P150" s="52">
        <v>0</v>
      </c>
      <c r="Q150" s="52">
        <v>0</v>
      </c>
      <c r="R150" s="52" t="s">
        <v>276</v>
      </c>
      <c r="T150" s="52">
        <v>1</v>
      </c>
    </row>
    <row r="151" spans="1:20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310</v>
      </c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283</v>
      </c>
      <c r="N151" s="50"/>
      <c r="O151" s="50"/>
      <c r="P151" s="52">
        <v>60</v>
      </c>
      <c r="Q151" s="52">
        <v>0</v>
      </c>
      <c r="R151" s="52" t="s">
        <v>276</v>
      </c>
      <c r="T151" s="52">
        <v>1</v>
      </c>
    </row>
    <row r="152" spans="1:20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310</v>
      </c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284</v>
      </c>
      <c r="N152" s="50"/>
      <c r="O152" s="50"/>
      <c r="P152" s="52">
        <v>100</v>
      </c>
      <c r="Q152" s="52">
        <v>0</v>
      </c>
      <c r="R152" s="52" t="s">
        <v>276</v>
      </c>
      <c r="T152" s="52">
        <v>1</v>
      </c>
    </row>
    <row r="153" spans="1:20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234</v>
      </c>
      <c r="T153" s="52">
        <v>1</v>
      </c>
    </row>
    <row r="154" spans="1:20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234</v>
      </c>
      <c r="T154" s="52">
        <v>1</v>
      </c>
    </row>
    <row r="155" spans="1:20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235</v>
      </c>
      <c r="T155" s="52">
        <v>1</v>
      </c>
    </row>
    <row r="156" spans="1:20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235</v>
      </c>
      <c r="T156" s="52">
        <v>1</v>
      </c>
    </row>
    <row r="157" spans="1:20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235</v>
      </c>
      <c r="T157" s="52">
        <v>1</v>
      </c>
    </row>
    <row r="158" spans="1:20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235</v>
      </c>
      <c r="T158" s="52">
        <v>1</v>
      </c>
    </row>
    <row r="159" spans="1:20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310</v>
      </c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310</v>
      </c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310</v>
      </c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310</v>
      </c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310</v>
      </c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310</v>
      </c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310</v>
      </c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310</v>
      </c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310</v>
      </c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310</v>
      </c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310</v>
      </c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310</v>
      </c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331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272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271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310</v>
      </c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599</v>
      </c>
      <c r="T192" s="52">
        <v>1</v>
      </c>
    </row>
    <row r="193" spans="1:20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310</v>
      </c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600</v>
      </c>
      <c r="T193" s="52">
        <v>1</v>
      </c>
    </row>
    <row r="194" spans="1:20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381</v>
      </c>
      <c r="T194" s="52">
        <v>1</v>
      </c>
    </row>
    <row r="195" spans="1:20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398</v>
      </c>
      <c r="T195" s="52">
        <v>1</v>
      </c>
    </row>
    <row r="196" spans="1:20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398</v>
      </c>
      <c r="T196" s="52">
        <v>1</v>
      </c>
    </row>
    <row r="197" spans="1:20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441</v>
      </c>
      <c r="T197" s="52">
        <v>1</v>
      </c>
    </row>
    <row r="198" spans="1:20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242</v>
      </c>
      <c r="T198" s="52">
        <v>1</v>
      </c>
    </row>
    <row r="199" spans="1:20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231</v>
      </c>
      <c r="T199" s="52">
        <v>1</v>
      </c>
    </row>
    <row r="200" spans="1:20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233</v>
      </c>
      <c r="T201" s="52">
        <v>1</v>
      </c>
    </row>
    <row r="202" spans="1:20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310</v>
      </c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412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413</v>
      </c>
      <c r="N204" s="50"/>
      <c r="O204" s="50"/>
      <c r="P204" s="52">
        <v>60</v>
      </c>
      <c r="Q204" s="52">
        <v>0</v>
      </c>
      <c r="S204" s="52" t="s">
        <v>226</v>
      </c>
      <c r="T204" s="52">
        <v>1</v>
      </c>
    </row>
    <row r="205" spans="1:20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310</v>
      </c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310</v>
      </c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310</v>
      </c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310</v>
      </c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307</v>
      </c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307</v>
      </c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307</v>
      </c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307</v>
      </c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307</v>
      </c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1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307</v>
      </c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1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307</v>
      </c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307</v>
      </c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504</v>
      </c>
      <c r="T217" s="52">
        <v>1</v>
      </c>
    </row>
    <row r="218" spans="1:20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505</v>
      </c>
      <c r="T218" s="52">
        <v>1</v>
      </c>
    </row>
    <row r="219" spans="1:20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238</v>
      </c>
      <c r="T219" s="52">
        <v>1</v>
      </c>
    </row>
    <row r="220" spans="1:20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237</v>
      </c>
      <c r="T220" s="52">
        <v>1</v>
      </c>
    </row>
    <row r="221" spans="1:20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298</v>
      </c>
      <c r="T223" s="52">
        <v>1</v>
      </c>
    </row>
    <row r="224" spans="1:20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589</v>
      </c>
      <c r="T224" s="52">
        <v>1</v>
      </c>
    </row>
    <row r="225" spans="1:20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338</v>
      </c>
      <c r="T225" s="52">
        <v>1</v>
      </c>
    </row>
    <row r="226" spans="1:20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244</v>
      </c>
      <c r="T232" s="52">
        <v>1</v>
      </c>
    </row>
    <row r="233" spans="1:20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239</v>
      </c>
      <c r="T236" s="52">
        <v>1</v>
      </c>
    </row>
    <row r="237" spans="1:20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240</v>
      </c>
      <c r="T238" s="52">
        <v>1</v>
      </c>
    </row>
    <row r="239" spans="1:20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246</v>
      </c>
      <c r="T239" s="52">
        <v>1</v>
      </c>
    </row>
    <row r="240" spans="1:20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291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494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243</v>
      </c>
      <c r="T248" s="52">
        <v>1</v>
      </c>
    </row>
    <row r="249" spans="1:20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448</v>
      </c>
      <c r="T249" s="52">
        <v>1</v>
      </c>
    </row>
    <row r="250" spans="1:20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448</v>
      </c>
      <c r="T250" s="52">
        <v>1</v>
      </c>
    </row>
    <row r="251" spans="1:20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270</v>
      </c>
      <c r="N251" s="50"/>
      <c r="O251" s="50"/>
      <c r="P251" s="52">
        <v>60</v>
      </c>
      <c r="Q251" s="52">
        <v>0</v>
      </c>
      <c r="R251" s="52" t="s">
        <v>448</v>
      </c>
      <c r="S251" s="52" t="s">
        <v>236</v>
      </c>
      <c r="T251" s="52">
        <v>1</v>
      </c>
    </row>
    <row r="252" spans="1:20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241</v>
      </c>
      <c r="T255" s="52">
        <v>1</v>
      </c>
    </row>
    <row r="256" spans="1:20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318</v>
      </c>
      <c r="T257" s="52">
        <v>1</v>
      </c>
    </row>
    <row r="258" spans="1:20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268</v>
      </c>
      <c r="O258" s="50"/>
      <c r="P258" s="52">
        <v>60</v>
      </c>
      <c r="Q258" s="52">
        <v>1</v>
      </c>
      <c r="S258" s="52" t="s">
        <v>316</v>
      </c>
      <c r="T258" s="52">
        <v>1</v>
      </c>
    </row>
    <row r="259" spans="1:20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324</v>
      </c>
      <c r="T259" s="52">
        <v>1</v>
      </c>
    </row>
    <row r="260" spans="1:20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268</v>
      </c>
      <c r="O260" s="50"/>
      <c r="P260" s="52">
        <v>60</v>
      </c>
      <c r="Q260" s="52">
        <v>0</v>
      </c>
      <c r="T260" s="52">
        <v>1</v>
      </c>
    </row>
    <row r="261" spans="1:20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268</v>
      </c>
      <c r="O261" s="50"/>
      <c r="P261" s="52">
        <v>60</v>
      </c>
      <c r="Q261" s="52">
        <v>0</v>
      </c>
      <c r="S261" s="52" t="s">
        <v>355</v>
      </c>
      <c r="T261" s="52">
        <v>1</v>
      </c>
    </row>
    <row r="262" spans="1:20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268</v>
      </c>
      <c r="O262" s="50"/>
      <c r="P262" s="52">
        <v>40</v>
      </c>
      <c r="Q262" s="52">
        <v>1</v>
      </c>
      <c r="T262" s="52">
        <v>1</v>
      </c>
    </row>
    <row r="263" spans="1:20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323</v>
      </c>
      <c r="T263" s="52">
        <v>1</v>
      </c>
    </row>
    <row r="264" spans="1:20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268</v>
      </c>
      <c r="O264" s="50"/>
      <c r="P264" s="52">
        <v>60</v>
      </c>
      <c r="Q264" s="52">
        <v>0</v>
      </c>
      <c r="S264" s="52" t="s">
        <v>436</v>
      </c>
      <c r="T264" s="52">
        <v>1</v>
      </c>
    </row>
    <row r="265" spans="1:20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268</v>
      </c>
      <c r="O265" s="50"/>
      <c r="P265" s="52">
        <v>60</v>
      </c>
      <c r="Q265" s="52">
        <v>1</v>
      </c>
      <c r="S265" s="52" t="s">
        <v>313</v>
      </c>
      <c r="T265" s="52">
        <v>1</v>
      </c>
    </row>
    <row r="266" spans="1:20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268</v>
      </c>
      <c r="O266" s="50"/>
      <c r="P266" s="52">
        <v>40</v>
      </c>
      <c r="Q266" s="52">
        <v>1</v>
      </c>
      <c r="S266" s="52" t="s">
        <v>314</v>
      </c>
      <c r="T266" s="52">
        <v>1</v>
      </c>
    </row>
    <row r="267" spans="1:20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268</v>
      </c>
      <c r="O267" s="50"/>
      <c r="P267" s="52">
        <v>40</v>
      </c>
      <c r="Q267" s="52">
        <v>1</v>
      </c>
      <c r="T267" s="52">
        <v>1</v>
      </c>
    </row>
    <row r="268" spans="1:20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295</v>
      </c>
      <c r="T274" s="52">
        <v>1</v>
      </c>
    </row>
    <row r="275" spans="1:20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469</v>
      </c>
      <c r="T275" s="52">
        <v>1</v>
      </c>
    </row>
    <row r="276" spans="1:20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300</v>
      </c>
      <c r="T276" s="52">
        <v>1</v>
      </c>
    </row>
    <row r="277" spans="1:20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299</v>
      </c>
      <c r="T277" s="52">
        <v>1</v>
      </c>
    </row>
    <row r="278" spans="1:20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368</v>
      </c>
      <c r="T278" s="52">
        <v>1</v>
      </c>
    </row>
    <row r="279" spans="1:20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367</v>
      </c>
      <c r="S283" s="52" t="s">
        <v>352</v>
      </c>
      <c r="T283" s="52">
        <v>1</v>
      </c>
    </row>
    <row r="284" spans="1:20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325</v>
      </c>
      <c r="T284" s="52">
        <v>1</v>
      </c>
    </row>
    <row r="285" spans="1:20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326</v>
      </c>
      <c r="T285" s="52">
        <v>1</v>
      </c>
    </row>
    <row r="286" spans="1:20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327</v>
      </c>
      <c r="T286" s="52">
        <v>1</v>
      </c>
    </row>
    <row r="287" spans="1:20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334</v>
      </c>
      <c r="T287" s="52">
        <v>1</v>
      </c>
    </row>
    <row r="288" spans="1:20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356</v>
      </c>
      <c r="T288" s="52">
        <v>1</v>
      </c>
    </row>
    <row r="289" spans="1:20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357</v>
      </c>
      <c r="T289" s="52">
        <v>1</v>
      </c>
    </row>
    <row r="290" spans="1:20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339</v>
      </c>
      <c r="T290" s="52">
        <v>1</v>
      </c>
    </row>
    <row r="291" spans="1:20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340</v>
      </c>
      <c r="T291" s="52">
        <v>1</v>
      </c>
    </row>
    <row r="292" spans="1:20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341</v>
      </c>
      <c r="T292" s="52">
        <v>1</v>
      </c>
    </row>
    <row r="293" spans="1:20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342</v>
      </c>
      <c r="T293" s="52">
        <v>1</v>
      </c>
    </row>
    <row r="294" spans="1:20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358</v>
      </c>
      <c r="T294" s="52">
        <v>1</v>
      </c>
    </row>
    <row r="295" spans="1:20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359</v>
      </c>
      <c r="T295" s="52">
        <v>1</v>
      </c>
    </row>
    <row r="296" spans="1:20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350</v>
      </c>
      <c r="T296" s="52">
        <v>1</v>
      </c>
    </row>
    <row r="297" spans="1:20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519</v>
      </c>
      <c r="T297" s="52">
        <v>1</v>
      </c>
    </row>
    <row r="298" spans="1:20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367</v>
      </c>
      <c r="S298" s="52" t="s">
        <v>353</v>
      </c>
      <c r="T298" s="52">
        <v>1</v>
      </c>
    </row>
    <row r="299" spans="1:20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367</v>
      </c>
      <c r="S299" s="52" t="s">
        <v>354</v>
      </c>
      <c r="T299" s="52">
        <v>1</v>
      </c>
    </row>
    <row r="300" spans="1:20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405</v>
      </c>
      <c r="T300" s="52">
        <v>1</v>
      </c>
    </row>
    <row r="301" spans="1:20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231</v>
      </c>
      <c r="T301" s="52">
        <v>1</v>
      </c>
    </row>
    <row r="302" spans="1:20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376</v>
      </c>
      <c r="T302" s="52">
        <v>1</v>
      </c>
    </row>
    <row r="303" spans="1:20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362</v>
      </c>
      <c r="T303" s="52">
        <v>1</v>
      </c>
    </row>
    <row r="304" spans="1:20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363</v>
      </c>
      <c r="T304" s="52">
        <v>1</v>
      </c>
    </row>
    <row r="305" spans="1:20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390</v>
      </c>
      <c r="T306" s="52">
        <v>1</v>
      </c>
    </row>
    <row r="307" spans="1:20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400</v>
      </c>
      <c r="T307" s="52">
        <v>1</v>
      </c>
    </row>
    <row r="308" spans="1:20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401</v>
      </c>
      <c r="T308" s="52">
        <v>1</v>
      </c>
    </row>
    <row r="309" spans="1:20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463</v>
      </c>
      <c r="T309" s="52">
        <v>1</v>
      </c>
    </row>
    <row r="310" spans="1:20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464</v>
      </c>
      <c r="T310" s="52">
        <v>1</v>
      </c>
    </row>
    <row r="311" spans="1:20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J311" s="48">
        <v>1</v>
      </c>
      <c r="P311" s="52">
        <v>20</v>
      </c>
      <c r="Q311" s="52">
        <v>0</v>
      </c>
      <c r="S311" s="52" t="s">
        <v>403</v>
      </c>
      <c r="T311" s="52">
        <v>1</v>
      </c>
    </row>
    <row r="312" spans="1:20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G312" s="106">
        <f>VLOOKUP($A312, Stat!$A$1:$C$501, 2,0)</f>
        <v>6</v>
      </c>
      <c r="H312" s="106">
        <f>VLOOKUP($A312, Stat!$A$1:$C$501, 3,0)</f>
        <v>0</v>
      </c>
      <c r="I312" s="109"/>
      <c r="J312" s="48">
        <v>1</v>
      </c>
      <c r="L312" s="48">
        <v>1</v>
      </c>
      <c r="P312" s="52">
        <v>0</v>
      </c>
      <c r="Q312" s="52">
        <v>0</v>
      </c>
      <c r="S312" s="52" t="s">
        <v>410</v>
      </c>
      <c r="T312" s="52">
        <v>1</v>
      </c>
    </row>
    <row r="313" spans="1:20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G313" s="106">
        <f>VLOOKUP($A313, Stat!$A$1:$C$501, 2,0)</f>
        <v>16</v>
      </c>
      <c r="H313" s="106">
        <f>VLOOKUP($A313, Stat!$A$1:$C$501, 3,0)</f>
        <v>0</v>
      </c>
      <c r="I313" s="109"/>
      <c r="J313" s="48">
        <v>1</v>
      </c>
      <c r="L313" s="48">
        <v>1</v>
      </c>
      <c r="P313" s="52">
        <v>0</v>
      </c>
      <c r="Q313" s="52">
        <v>0</v>
      </c>
      <c r="S313" s="52" t="s">
        <v>411</v>
      </c>
      <c r="T313" s="52">
        <v>1</v>
      </c>
    </row>
    <row r="314" spans="1:20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G314" s="106">
        <f>VLOOKUP($A314, Stat!$A$1:$C$501, 2,0)</f>
        <v>3</v>
      </c>
      <c r="H314" s="106">
        <f>VLOOKUP($A314, Stat!$A$1:$C$501, 3,0)</f>
        <v>0</v>
      </c>
      <c r="I314" s="109"/>
      <c r="J314" s="48">
        <v>1</v>
      </c>
      <c r="L314" s="48">
        <v>1</v>
      </c>
      <c r="P314" s="52">
        <v>0</v>
      </c>
      <c r="Q314" s="52">
        <v>0</v>
      </c>
      <c r="S314" s="52" t="s">
        <v>410</v>
      </c>
      <c r="T314" s="52">
        <v>1</v>
      </c>
    </row>
    <row r="315" spans="1:20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G315" s="106">
        <f>VLOOKUP($A315, Stat!$A$1:$C$501, 2,0)</f>
        <v>13</v>
      </c>
      <c r="H315" s="106">
        <f>VLOOKUP($A315, Stat!$A$1:$C$501, 3,0)</f>
        <v>0</v>
      </c>
      <c r="I315" s="109"/>
      <c r="J315" s="48">
        <v>1</v>
      </c>
      <c r="L315" s="48">
        <v>1</v>
      </c>
      <c r="P315" s="52">
        <v>0</v>
      </c>
      <c r="Q315" s="52">
        <v>0</v>
      </c>
      <c r="S315" s="52" t="s">
        <v>411</v>
      </c>
      <c r="T315" s="52">
        <v>1</v>
      </c>
    </row>
    <row r="316" spans="1:20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448</v>
      </c>
      <c r="S316" s="52" t="s">
        <v>419</v>
      </c>
      <c r="T316" s="52">
        <v>1</v>
      </c>
    </row>
    <row r="317" spans="1:20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448</v>
      </c>
      <c r="S317" s="52" t="s">
        <v>420</v>
      </c>
      <c r="T317" s="52">
        <v>1</v>
      </c>
    </row>
    <row r="318" spans="1:20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446</v>
      </c>
      <c r="T318" s="52">
        <v>1</v>
      </c>
    </row>
    <row r="319" spans="1:20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447</v>
      </c>
      <c r="T319" s="52">
        <v>1</v>
      </c>
    </row>
    <row r="320" spans="1:20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427</v>
      </c>
      <c r="T321" s="52">
        <v>1</v>
      </c>
    </row>
    <row r="322" spans="1:20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430</v>
      </c>
      <c r="T323" s="52">
        <v>1</v>
      </c>
    </row>
    <row r="324" spans="1:20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437</v>
      </c>
      <c r="T324" s="52">
        <v>1</v>
      </c>
    </row>
    <row r="325" spans="1:20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585</v>
      </c>
      <c r="T325" s="52">
        <v>1</v>
      </c>
    </row>
    <row r="326" spans="1:20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581</v>
      </c>
      <c r="S326" s="52" t="s">
        <v>579</v>
      </c>
      <c r="T326" s="52">
        <v>1</v>
      </c>
    </row>
    <row r="327" spans="1:20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581</v>
      </c>
      <c r="S327" s="52" t="s">
        <v>580</v>
      </c>
      <c r="T327" s="52">
        <v>1</v>
      </c>
    </row>
    <row r="328" spans="1:20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455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3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454</v>
      </c>
      <c r="T331" s="52">
        <v>1</v>
      </c>
    </row>
    <row r="332" spans="1:20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457</v>
      </c>
      <c r="T332" s="52">
        <v>1</v>
      </c>
    </row>
    <row r="333" spans="1:20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470</v>
      </c>
      <c r="T333" s="52">
        <v>1</v>
      </c>
    </row>
    <row r="334" spans="1:20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473</v>
      </c>
      <c r="T334" s="52">
        <v>1</v>
      </c>
    </row>
    <row r="335" spans="1:20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474</v>
      </c>
      <c r="T335" s="52">
        <v>1</v>
      </c>
    </row>
    <row r="336" spans="1:20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476</v>
      </c>
      <c r="T336" s="52">
        <v>1</v>
      </c>
    </row>
    <row r="337" spans="1:20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482</v>
      </c>
      <c r="S337" s="52" t="s">
        <v>483</v>
      </c>
      <c r="T337" s="52">
        <v>1</v>
      </c>
    </row>
    <row r="338" spans="1:20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482</v>
      </c>
      <c r="S338" s="52" t="s">
        <v>484</v>
      </c>
      <c r="T338" s="52">
        <v>1</v>
      </c>
    </row>
    <row r="339" spans="1:20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482</v>
      </c>
      <c r="S339" s="52" t="s">
        <v>485</v>
      </c>
      <c r="T339" s="52">
        <v>1</v>
      </c>
    </row>
    <row r="340" spans="1:20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482</v>
      </c>
      <c r="S340" s="52" t="s">
        <v>486</v>
      </c>
      <c r="T340" s="52">
        <v>1</v>
      </c>
    </row>
    <row r="341" spans="1:20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482</v>
      </c>
      <c r="S341" s="52" t="s">
        <v>487</v>
      </c>
      <c r="T341" s="52">
        <v>1</v>
      </c>
    </row>
    <row r="342" spans="1:20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G342" s="106">
        <f>VLOOKUP($A342, Stat!$A$1:$C$501, 2,0)</f>
        <v>39</v>
      </c>
      <c r="H342" s="106">
        <f>VLOOKUP($A342, Stat!$A$1:$C$501, 3,0)</f>
        <v>0</v>
      </c>
      <c r="I342" s="109"/>
      <c r="J342" s="48">
        <v>1</v>
      </c>
      <c r="N342" s="48">
        <v>1</v>
      </c>
      <c r="P342" s="52">
        <v>0</v>
      </c>
      <c r="Q342" s="52">
        <v>0</v>
      </c>
      <c r="S342" s="52" t="s">
        <v>489</v>
      </c>
      <c r="T342" s="52">
        <v>1</v>
      </c>
    </row>
    <row r="343" spans="1:20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557</v>
      </c>
      <c r="T343" s="52">
        <v>1</v>
      </c>
    </row>
    <row r="344" spans="1:20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557</v>
      </c>
      <c r="T344" s="52">
        <v>1</v>
      </c>
    </row>
    <row r="345" spans="1:20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500</v>
      </c>
      <c r="T345" s="52">
        <v>1</v>
      </c>
    </row>
    <row r="346" spans="1:20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500</v>
      </c>
      <c r="T346" s="52">
        <v>1</v>
      </c>
    </row>
    <row r="347" spans="1:20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500</v>
      </c>
      <c r="T347" s="52">
        <v>1</v>
      </c>
    </row>
    <row r="348" spans="1:20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448</v>
      </c>
      <c r="S348" s="52" t="s">
        <v>502</v>
      </c>
      <c r="T348" s="52">
        <v>1</v>
      </c>
    </row>
    <row r="349" spans="1:20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507</v>
      </c>
      <c r="T349" s="52">
        <v>1</v>
      </c>
    </row>
    <row r="350" spans="1:20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512</v>
      </c>
      <c r="T350" s="52">
        <v>1</v>
      </c>
    </row>
    <row r="351" spans="1:20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513</v>
      </c>
      <c r="T351" s="52">
        <v>1</v>
      </c>
    </row>
    <row r="352" spans="1:20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231</v>
      </c>
      <c r="T352" s="52">
        <v>1</v>
      </c>
    </row>
    <row r="353" spans="1:20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231</v>
      </c>
      <c r="T353" s="52">
        <v>1</v>
      </c>
    </row>
    <row r="354" spans="1:20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231</v>
      </c>
      <c r="T354" s="52">
        <v>1</v>
      </c>
    </row>
    <row r="355" spans="1:20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551</v>
      </c>
      <c r="T360" s="52">
        <v>1</v>
      </c>
    </row>
    <row r="361" spans="1:20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556</v>
      </c>
      <c r="T361" s="52">
        <v>1</v>
      </c>
    </row>
    <row r="362" spans="1:20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572</v>
      </c>
      <c r="P362" s="52">
        <v>100</v>
      </c>
      <c r="Q362" s="52">
        <v>0</v>
      </c>
      <c r="R362" s="52" t="s">
        <v>556</v>
      </c>
      <c r="T362" s="52">
        <v>1</v>
      </c>
    </row>
    <row r="363" spans="1:20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556</v>
      </c>
      <c r="T363" s="52">
        <v>1</v>
      </c>
    </row>
    <row r="364" spans="1:20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552</v>
      </c>
      <c r="T364" s="52">
        <v>1</v>
      </c>
    </row>
    <row r="365" spans="1:20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557</v>
      </c>
      <c r="T365" s="52">
        <v>1</v>
      </c>
    </row>
    <row r="366" spans="1:20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555</v>
      </c>
      <c r="T366" s="52">
        <v>1</v>
      </c>
    </row>
    <row r="367" spans="1:20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555</v>
      </c>
      <c r="T367" s="52">
        <v>1</v>
      </c>
    </row>
    <row r="368" spans="1:20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555</v>
      </c>
      <c r="T368" s="52">
        <v>1</v>
      </c>
    </row>
    <row r="369" spans="1:20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555</v>
      </c>
      <c r="T369" s="52">
        <v>1</v>
      </c>
    </row>
    <row r="370" spans="1:20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555</v>
      </c>
      <c r="T370" s="52">
        <v>1</v>
      </c>
    </row>
    <row r="371" spans="1:20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555</v>
      </c>
      <c r="T371" s="52">
        <v>1</v>
      </c>
    </row>
    <row r="372" spans="1:20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603</v>
      </c>
      <c r="T372" s="52">
        <v>1</v>
      </c>
    </row>
    <row r="373" spans="1:20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603</v>
      </c>
      <c r="T373" s="52">
        <v>1</v>
      </c>
    </row>
    <row r="374" spans="1:20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603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448</v>
      </c>
      <c r="S375" s="52" t="s">
        <v>567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571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448</v>
      </c>
      <c r="S377" s="52" t="s">
        <v>573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576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577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590</v>
      </c>
      <c r="T385" s="52">
        <v>1</v>
      </c>
    </row>
    <row r="386" spans="1:20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P386" s="52">
        <v>30</v>
      </c>
      <c r="Q386" s="52">
        <v>0</v>
      </c>
      <c r="R386" s="52" t="s">
        <v>448</v>
      </c>
      <c r="S386" s="52" t="s">
        <v>596</v>
      </c>
      <c r="T386" s="52">
        <v>1</v>
      </c>
    </row>
    <row r="387" spans="1:20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G387" s="108">
        <f>VLOOKUP($A387, Stat!$A$1:$C$501, 2,0)</f>
        <v>0</v>
      </c>
      <c r="P387" s="52">
        <v>100</v>
      </c>
      <c r="Q387" s="52">
        <v>0</v>
      </c>
      <c r="R387" s="52" t="s">
        <v>88</v>
      </c>
      <c r="S387" s="52" t="s">
        <v>597</v>
      </c>
      <c r="T387" s="52">
        <v>1</v>
      </c>
    </row>
    <row r="388" spans="1:20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P388" s="52">
        <v>30</v>
      </c>
      <c r="Q388" s="52">
        <v>1</v>
      </c>
      <c r="T388" s="52">
        <v>1</v>
      </c>
    </row>
    <row r="389" spans="1:20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P389" s="52">
        <v>60</v>
      </c>
      <c r="Q389" s="52">
        <v>0</v>
      </c>
      <c r="T389" s="52">
        <v>1</v>
      </c>
    </row>
  </sheetData>
  <autoFilter ref="A1:T387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2018-01-05T08:47:42Z</dcterms:modified>
</cp:coreProperties>
</file>